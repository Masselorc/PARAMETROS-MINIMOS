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83e14e3e94d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Metodologia" sheetId="1" r:id="Rc1dd43a35be0418a"/>
    <x:sheet xmlns:r="http://schemas.openxmlformats.org/officeDocument/2006/relationships" name="01_Institucionalização" sheetId="2" r:id="R841182bbf9b44df9"/>
    <x:sheet xmlns:r="http://schemas.openxmlformats.org/officeDocument/2006/relationships" name="02_Autonomia" sheetId="3" r:id="R3a645c48541b4a4b"/>
    <x:sheet xmlns:r="http://schemas.openxmlformats.org/officeDocument/2006/relationships" name="03_Imparcialidade" sheetId="4" r:id="R2ceeb6707b614e41"/>
    <x:sheet xmlns:r="http://schemas.openxmlformats.org/officeDocument/2006/relationships" name="04_Acessibilidade" sheetId="5" r:id="Rd12dddbc55b94b56"/>
    <x:sheet xmlns:r="http://schemas.openxmlformats.org/officeDocument/2006/relationships" name="05_Transparência" sheetId="6" r:id="R6105936786174c6f"/>
    <x:sheet xmlns:r="http://schemas.openxmlformats.org/officeDocument/2006/relationships" name="06_Integração Tec" sheetId="7" r:id="Rd9986596174847b8"/>
    <x:sheet xmlns:r="http://schemas.openxmlformats.org/officeDocument/2006/relationships" name="07_Maturidade" sheetId="8" r:id="R2e424d15dc5f4d71"/>
    <x:sheet xmlns:r="http://schemas.openxmlformats.org/officeDocument/2006/relationships" name="08_Resumo" sheetId="9" r:id="R3519bc739c1645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5"/>
      <x:color rgb="FFFFFFFF"/>
      <x:name val="Carlito"/>
    </x:font>
    <x:font>
      <x:sz val="9"/>
      <x:color rgb="FF7F600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sz val="9"/>
      <x:color rgb="FF1F1F1F"/>
      <x:name val="Carlito"/>
    </x:font>
    <x:font>
      <x:sz val="9"/>
      <x:color rgb="FF40404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</x:fills>
  <x:borders count="2">
    <x:border/>
    <x:border/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6" fillId="8" borderId="1" xfId="0" applyNumberFormat="1" applyFont="1" applyFill="1" applyBorder="1" applyAlignment="1">
      <x:alignment horizontal="center" wrapText="1"/>
    </x:xf>
    <x:xf numFmtId="0" fontId="6" fillId="8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02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f9d61b2fb94055" /><Relationship Type="http://schemas.openxmlformats.org/officeDocument/2006/relationships/theme" Target="/xl/theme/theme1.xml" Id="R39baf84322d040c0" /><Relationship Type="http://schemas.openxmlformats.org/officeDocument/2006/relationships/sharedStrings" Target="/xl/sharedStrings.xml" Id="Ra273d6312f284203" /><Relationship Type="http://schemas.openxmlformats.org/officeDocument/2006/relationships/worksheet" Target="/xl/worksheets/sheet1.xml" Id="Rc1dd43a35be0418a" /><Relationship Type="http://schemas.openxmlformats.org/officeDocument/2006/relationships/worksheet" Target="/xl/worksheets/sheet2.xml" Id="R841182bbf9b44df9" /><Relationship Type="http://schemas.openxmlformats.org/officeDocument/2006/relationships/worksheet" Target="/xl/worksheets/sheet3.xml" Id="R3a645c48541b4a4b" /><Relationship Type="http://schemas.openxmlformats.org/officeDocument/2006/relationships/worksheet" Target="/xl/worksheets/sheet4.xml" Id="R2ceeb6707b614e41" /><Relationship Type="http://schemas.openxmlformats.org/officeDocument/2006/relationships/worksheet" Target="/xl/worksheets/sheet5.xml" Id="Rd12dddbc55b94b56" /><Relationship Type="http://schemas.openxmlformats.org/officeDocument/2006/relationships/worksheet" Target="/xl/worksheets/sheet6.xml" Id="R6105936786174c6f" /><Relationship Type="http://schemas.openxmlformats.org/officeDocument/2006/relationships/worksheet" Target="/xl/worksheets/sheet7.xml" Id="Rd9986596174847b8" /><Relationship Type="http://schemas.openxmlformats.org/officeDocument/2006/relationships/worksheet" Target="/xl/worksheets/sheet8.xml" Id="R2e424d15dc5f4d71" /><Relationship Type="http://schemas.openxmlformats.org/officeDocument/2006/relationships/worksheet" Target="/xl/worksheets/sheet9.xml" Id="R3519bc739c1645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2" hidden="0" customWidth="1"/>
    <x:col min="3" max="3" width="42" hidden="0" customWidth="1"/>
    <x:col min="4" max="4" width="38" hidden="0" customWidth="1"/>
    <x:col min="5" max="5" width="34" hidden="0" customWidth="1"/>
    <x:col min="6" max="6" width="30" hidden="0" customWidth="1"/>
    <x:col min="7" max="7" width="38" hidden="0" customWidth="1"/>
    <x:col min="8" max="8" width="10" hidden="0" customWidth="1"/>
    <x:col min="9" max="9" width="24" hidden="0" customWidth="1"/>
    <x:col min="10" max="10" width="22" hidden="0" customWidth="1"/>
  </x:cols>
  <x:sheetData>
    <x:row r="1" ht="28" customHeight="1">
      <x:c r="A1" s="4" t="str">
        <x:v>Matriz de Aderência à IN GABSEC/SENAPPEN/MJSP nº 75/2026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46" customHeight="1">
      <x:c r="A2" s="11" t="str">
        <x:v>Modelo de monitoramento ONASP. As respostas reproduzidas nas abas foram extraídas do diagnóstico enviado nesta conversa.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>
      <x:c r="A4" s="20" t="str">
        <x:v>Dimensão</x:v>
      </x:c>
      <x:c r="B4" s="20" t="str">
        <x:v>Peso-base</x:v>
      </x:c>
      <x:c r="C4" s="20" t="str">
        <x:v>Perguntas do Diagnóstico</x:v>
      </x:c>
      <x:c r="D4" s="20" t="str">
        <x:v>Função</x:v>
      </x:c>
      <x:c r="E4" s="20" t="str">
        <x:v>Regra geral</x:v>
      </x:c>
      <x:c r="F4" s="20" t="str">
        <x:v>Fundamento predominante</x:v>
      </x:c>
      <x:c r="G4" s="20" t="str">
        <x:v>Observação</x:v>
      </x:c>
      <x:c r="H4" s="20" t="str">
        <x:v>Bônus?</x:v>
      </x:c>
      <x:c r="I4" s="20" t="str">
        <x:v>Aba</x:v>
      </x:c>
      <x:c r="J4" s="20" t="str">
        <x:v>Fonte das respostas</x:v>
      </x:c>
    </x:row>
    <x:row r="5">
      <x:c r="A5" s="26" t="str">
        <x:v>01 — Institucionalização</x:v>
      </x:c>
      <x:c r="B5" s="26" t="n">
        <x:v>15</x:v>
      </x:c>
      <x:c r="C5" s="26" t="str">
        <x:v>M1-11</x:v>
      </x:c>
      <x:c r="D5" s="26" t="str">
        <x:v>Instituição formal e porta de entrada</x:v>
      </x:c>
      <x:c r="E5" s="26" t="str">
        <x:v>Sim/Atende = 15; ausência = 0 e UF não instituída</x:v>
      </x:c>
      <x:c r="F5" s="26" t="str">
        <x:v>Art. 6º, caput</x:v>
      </x:c>
      <x:c r="G5" s="26" t="str">
        <x:v>Mesmo pontuando, permanece requisito de entrada.</x:v>
      </x:c>
      <x:c r="H5" s="26" t="str">
        <x:v>Não</x:v>
      </x:c>
      <x:c r="I5" s="26" t="str">
        <x:v>01_Institucionalização</x:v>
      </x:c>
      <x:c r="J5" s="26" t="str">
        <x:v>Diagnóstico enviado</x:v>
      </x:c>
    </x:row>
    <x:row r="6">
      <x:c r="A6" s="26" t="str">
        <x:v>02 — Autonomia técnica e funcional</x:v>
      </x:c>
      <x:c r="B6" s="26" t="n">
        <x:v>15</x:v>
      </x:c>
      <x:c r="C6" s="26" t="str">
        <x:v>M3-56; M3-57; M1-12; M4-67; M4-68</x:v>
      </x:c>
      <x:c r="D6" s="26" t="str">
        <x:v>Autonomia institucional e condições de atuação</x:v>
      </x:c>
      <x:c r="E6" s="26" t="str">
        <x:v>Atende = peso integral; Parcial = 50%; demais = 0</x:v>
      </x:c>
      <x:c r="F6" s="26" t="str">
        <x:v>Arts. 4º, I; 6º; 8º; 10; 13</x:v>
      </x:c>
      <x:c r="G6" s="26" t="str">
        <x:v>Cinco perguntas × 3 pontos.</x:v>
      </x:c>
      <x:c r="H6" s="26" t="str">
        <x:v>Não</x:v>
      </x:c>
      <x:c r="I6" s="26" t="str">
        <x:v>02_Autonomia</x:v>
      </x:c>
      <x:c r="J6" s="26" t="str">
        <x:v>Diagnóstico enviado</x:v>
      </x:c>
    </x:row>
    <x:row r="7">
      <x:c r="A7" s="26" t="str">
        <x:v>03 — Imparcialidade, sigilo e proteção</x:v>
      </x:c>
      <x:c r="B7" s="26" t="n">
        <x:v>15</x:v>
      </x:c>
      <x:c r="C7" s="26" t="str">
        <x:v>M4-66; M4-69; M2-37; M3-63</x:v>
      </x:c>
      <x:c r="D7" s="26" t="str">
        <x:v>Proteção da identidade e confidencialidade</x:v>
      </x:c>
      <x:c r="E7" s="26" t="str">
        <x:v>Atende = peso integral; Parcial = 50%; demais = 0</x:v>
      </x:c>
      <x:c r="F7" s="26" t="str">
        <x:v>Arts. 4º, II; 7º; 9º; 10; 11; 12</x:v>
      </x:c>
      <x:c r="G7" s="26" t="str">
        <x:v>Pesos: 4 + 4 + 4 + 3.</x:v>
      </x:c>
      <x:c r="H7" s="26" t="str">
        <x:v>Não</x:v>
      </x:c>
      <x:c r="I7" s="26" t="str">
        <x:v>03_Imparcialidade</x:v>
      </x:c>
      <x:c r="J7" s="26" t="str">
        <x:v>Diagnóstico enviado</x:v>
      </x:c>
    </x:row>
    <x:row r="8">
      <x:c r="A8" s="26" t="str">
        <x:v>04 — Acessibilidade e atendimento humanizado</x:v>
      </x:c>
      <x:c r="B8" s="26" t="n">
        <x:v>15</x:v>
      </x:c>
      <x:c r="C8" s="26" t="str">
        <x:v>M2-41; M2-43; M2-45; M2-47; M2-16; M1-13; M4-64</x:v>
      </x:c>
      <x:c r="D8" s="26" t="str">
        <x:v>Canais, espaço de atendimento e públicos alcançados</x:v>
      </x:c>
      <x:c r="E8" s="26" t="str">
        <x:v>Atende = peso integral; Parcial = 50%; demais = 0</x:v>
      </x:c>
      <x:c r="F8" s="26" t="str">
        <x:v>Arts. 4º, III; 7º; 10</x:v>
      </x:c>
      <x:c r="G8" s="26" t="str">
        <x:v>Pesos: 2+2+2+2+3+2+2.</x:v>
      </x:c>
      <x:c r="H8" s="26" t="str">
        <x:v>Não</x:v>
      </x:c>
      <x:c r="I8" s="26" t="str">
        <x:v>04_Acessibilidade</x:v>
      </x:c>
      <x:c r="J8" s="26" t="str">
        <x:v>Diagnóstico enviado</x:v>
      </x:c>
    </x:row>
    <x:row r="9">
      <x:c r="A9" s="26" t="str">
        <x:v>05 — Transparência e publicidade</x:v>
      </x:c>
      <x:c r="B9" s="26" t="n">
        <x:v>15</x:v>
      </x:c>
      <x:c r="C9" s="26" t="str">
        <x:v>M2-35; M1-12; M4-71</x:v>
      </x:c>
      <x:c r="D9" s="26" t="str">
        <x:v>Visibilidade, divulgação e publicidade das atividades</x:v>
      </x:c>
      <x:c r="E9" s="26" t="str">
        <x:v>Atende = peso integral; Parcial = 50%; demais = 0</x:v>
      </x:c>
      <x:c r="F9" s="26" t="str">
        <x:v>Arts. 4º, IV; 6º; 7º; 10; 12</x:v>
      </x:c>
      <x:c r="G9" s="26" t="str">
        <x:v>Pesos: 5 + 5 + 5.</x:v>
      </x:c>
      <x:c r="H9" s="26" t="str">
        <x:v>Não</x:v>
      </x:c>
      <x:c r="I9" s="26" t="str">
        <x:v>05_Transparência</x:v>
      </x:c>
      <x:c r="J9" s="26" t="str">
        <x:v>Diagnóstico enviado</x:v>
      </x:c>
    </x:row>
    <x:row r="10">
      <x:c r="A10" s="26" t="str">
        <x:v>06 — Integração tecnológica</x:v>
      </x:c>
      <x:c r="B10" s="26" t="n">
        <x:v>25</x:v>
      </x:c>
      <x:c r="C10" s="26" t="str">
        <x:v>M2-45; M4-66; M4-67; M2-37; M2-17; M2-19; M2-21; M2-27</x:v>
      </x:c>
      <x:c r="D10" s="26" t="str">
        <x:v>Canais/sistemas, rastreabilidade, segurança e equipamentos</x:v>
      </x:c>
      <x:c r="E10" s="26" t="str">
        <x:v>Atende = peso integral; Parcial = 50%; demais = 0</x:v>
      </x:c>
      <x:c r="F10" s="26" t="str">
        <x:v>Arts. 4º, V; 7º; 11; 13</x:v>
      </x:c>
      <x:c r="G10" s="26" t="str">
        <x:v>Pesos: 5+3+3+4+4+2+2+2.</x:v>
      </x:c>
      <x:c r="H10" s="26" t="str">
        <x:v>Não</x:v>
      </x:c>
      <x:c r="I10" s="26" t="str">
        <x:v>06_Integração Tec</x:v>
      </x:c>
      <x:c r="J10" s="26" t="str">
        <x:v>Diagnóstico enviado</x:v>
      </x:c>
    </x:row>
    <x:row r="11">
      <x:c r="A11" s="26" t="str">
        <x:v>TOTAL BASE</x:v>
      </x:c>
      <x:c r="B11" s="26" t="n">
        <x:v>100</x:v>
      </x:c>
      <x:c r="C11" s="26" t="str">
        <x:v>—</x:v>
      </x:c>
      <x:c r="D11" s="26" t="str">
        <x:v>Nota-base</x:v>
      </x:c>
      <x:c r="E11" s="26" t="str">
        <x:v>Soma das seis dimensões</x:v>
      </x:c>
      <x:c r="F11" s="26" t="str">
        <x:v>Metodologia ONASP</x:v>
      </x:c>
      <x:c r="G11" s="26" t="str">
        <x:v>Nota-base máxima = 100.</x:v>
      </x:c>
      <x:c r="H11" s="26" t="str">
        <x:v>—</x:v>
      </x:c>
      <x:c r="I11" s="26" t="str">
        <x:v>08_Resumo</x:v>
      </x:c>
      <x:c r="J11" s="26" t="str">
        <x:v>—</x:v>
      </x:c>
    </x:row>
    <x:row r="12">
      <x:c r="A12" s="26" t="str">
        <x:v>07 — Maturidade / bônus</x:v>
      </x:c>
      <x:c r="B12" s="26" t="n">
        <x:v>10</x:v>
      </x:c>
      <x:c r="C12" s="26" t="str">
        <x:v>M2-46; M0-08; M3-60; M3-58; M2-50; M2-49; M2-36</x:v>
      </x:c>
      <x:c r="D12" s="26" t="str">
        <x:v>Reconhecimento de soluções preferenciais/recomendadas</x:v>
      </x:c>
      <x:c r="E12" s="26" t="str">
        <x:v>Bônus somente com evidência</x:v>
      </x:c>
      <x:c r="F12" s="26" t="str">
        <x:v>Arts. 4º; 6º; 7º; 8º; 9º</x:v>
      </x:c>
      <x:c r="G12" s="26" t="str">
        <x:v>Aplicado apenas até completar 100.</x:v>
      </x:c>
      <x:c r="H12" s="26" t="str">
        <x:v>Sim</x:v>
      </x:c>
      <x:c r="I12" s="26" t="str">
        <x:v>07_Maturidade</x:v>
      </x:c>
      <x:c r="J12" s="26" t="str">
        <x:v>Diagnóstico enviado</x:v>
      </x:c>
    </x:row>
    <x:row r="14" ht="48" customHeight="1">
      <x:c r="A14" s="11" t="str">
        <x:v>Tratamento das duplicidades: ES mantém duas respostas (Polícia Penal e SEJUS/ES). RO e SC utilizam somente a resposta mais recente. A base também contém duas respostas para PA; para manter uma linha por UF fora do caso especial do ES, foi utilizada a resposta mais recente.</x:v>
      </x:c>
      <x:c r="B14" s="11"/>
      <x:c r="C14" s="11"/>
      <x:c r="D14" s="11"/>
      <x:c r="E14" s="11"/>
      <x:c r="F14" s="11"/>
      <x:c r="G14" s="11"/>
      <x:c r="H14" s="11"/>
      <x:c r="I14" s="11"/>
      <x:c r="J14" s="11"/>
    </x:row>
  </x:sheetData>
  <x:mergeCells>
    <x:mergeCell ref="A1:J1"/>
    <x:mergeCell ref="A2:J2"/>
    <x:mergeCell ref="A14:J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42" hidden="0" customWidth="1"/>
    <x:col min="4" max="4" width="42" hidden="0" customWidth="1"/>
    <x:col min="5" max="5" width="24" hidden="0" customWidth="1"/>
    <x:col min="6" max="6" width="10" hidden="0" customWidth="1"/>
    <x:col min="7" max="7" width="13" hidden="0" customWidth="1"/>
    <x:col min="8" max="8" width="18" hidden="0" customWidth="1"/>
    <x:col min="9" max="9" width="38" hidden="0" customWidth="1"/>
  </x:cols>
  <x:sheetData>
    <x:row r="1" ht="28" customHeight="1">
      <x:c r="A1" s="4" t="str">
        <x:v>01 — Institucionalização</x:v>
      </x:c>
      <x:c r="B1" s="4"/>
      <x:c r="C1" s="4"/>
      <x:c r="D1" s="4"/>
      <x:c r="E1" s="4"/>
      <x:c r="F1" s="4"/>
      <x:c r="G1" s="4"/>
      <x:c r="H1" s="4"/>
      <x:c r="I1" s="4"/>
    </x:row>
    <x:row r="2" ht="46" customHeight="1">
      <x:c r="A2" s="11" t="str">
        <x:v>Peso: 15 pontos. A resposta original do diagnóstico aparece em verde. ES possui duas linhas; RO e SC usam somente a resposta mais recente.</x:v>
      </x:c>
      <x:c r="B2" s="11"/>
      <x:c r="C2" s="11"/>
      <x:c r="D2" s="11"/>
      <x:c r="E2" s="11"/>
      <x:c r="F2" s="11"/>
      <x:c r="G2" s="11"/>
      <x:c r="H2" s="11"/>
      <x:c r="I2" s="11"/>
    </x:row>
    <x:row r="4">
      <x:c r="A4" s="31" t="str">
        <x:v>Identificação</x:v>
      </x:c>
      <x:c r="B4" s="31"/>
      <x:c r="C4" s="31" t="str">
        <x:v>Item 1 — Instituição formal da Ouvidoria de Serviços Penais</x:v>
      </x:c>
      <x:c r="D4" s="31"/>
      <x:c r="E4" s="31"/>
      <x:c r="F4" s="31"/>
      <x:c r="G4" s="31" t="str">
        <x:v>Resultado</x:v>
      </x:c>
      <x:c r="H4" s="31"/>
      <x:c r="I4" s="31"/>
    </x:row>
    <x:row r="5">
      <x:c r="A5" s="20" t="str">
        <x:v>UF</x:v>
      </x:c>
      <x:c r="B5" s="20" t="str">
        <x:v>Unidade Federativa</x:v>
      </x:c>
      <x:c r="C5" s="20" t="str">
        <x:v>M1-11 — Existe ato normativo específico que cria a Ouvidoria de Serviços Penais ou núcleo especializado?</x:v>
      </x:c>
      <x:c r="D5" s="20" t="str">
        <x:v>Resposta do diagnóstico</x:v>
      </x:c>
      <x:c r="E5" s="20" t="str">
        <x:v>Fundamentação na IN nº 75/2026</x:v>
      </x:c>
      <x:c r="F5" s="20" t="str">
        <x:v>15 pts</x:v>
      </x:c>
      <x:c r="G5" s="20" t="str">
        <x:v>Pontuação /15</x:v>
      </x:c>
      <x:c r="H5" s="20" t="str">
        <x:v>Situação institucional</x:v>
      </x:c>
      <x:c r="I5" s="20" t="str">
        <x:v>Evidências / observações</x:v>
      </x:c>
    </x:row>
    <x:row r="6" ht="100" customHeight="1">
      <x:c r="A6" s="40" t="str">
        <x:v>Como aplicar / resposta / fundamento →</x:v>
      </x:c>
      <x:c r="B6" s="40"/>
      <x:c r="C6" s="49" t="str">
        <x:v>15 pts: existe ato normativo específico vigente que cria/institui a Ouvidoria de Serviços Penais ou núcleo especializado. 0 pt: não existe ato específico ou não há evidência suficiente. Sem o ato, a UF é classificada como Não instituída.</x:v>
      </x:c>
      <x:c r="D6" s="57" t="str">
        <x:v>Resposta original da UF no diagnóstico enviado.</x:v>
      </x:c>
      <x:c r="E6" s="66" t="str">
        <x:v>Art. 6º, caput.</x:v>
      </x:c>
      <x:c r="F6" s="11" t="str">
        <x:v>15 = instituída
0 = não instituída / sem evidência</x:v>
      </x:c>
      <x:c r="G6" s="11" t="str">
        <x:v>Pontuação automática conforme status escolhido.</x:v>
      </x:c>
      <x:c r="H6" s="11" t="str">
        <x:v>Sem ato, não há classificação de aderência nas demais dimensões.</x:v>
      </x:c>
      <x:c r="I6" s="11" t="str">
        <x:v>Registre observações adicionais, se necessário.</x:v>
      </x:c>
    </x:row>
    <x:row r="7">
      <x:c r="A7" s="26" t="str">
        <x:v>AC</x:v>
      </x:c>
      <x:c r="B7" s="26" t="str">
        <x:v>Acre</x:v>
      </x:c>
      <x:c r="C7" s="26" t="str"/>
      <x:c r="D7" s="57" t="str">
        <x:v>Existe ato infralegal (portaria, resolução, ordem de serviço) que cria ouvidoria de serviços penais ou núcleo especializado</x:v>
      </x:c>
      <x:c r="E7" s="26" t="str">
        <x:v>Art. 6º, caput.</x:v>
      </x:c>
      <x:c r="F7" s="26" t="n">
        <x:f>IF(C7="Sim",15,0)</x:f>
        <x:v>0</x:v>
      </x:c>
      <x:c r="G7" s="26" t="n">
        <x:f>F7</x:f>
        <x:v>0</x:v>
      </x:c>
      <x:c r="H7" s="26" t="str">
        <x:f>IF(C7="Sim","Instituída",IF(C7="Não","Não instituída","Sem evidência"))</x:f>
        <x:v>Sem evidência</x:v>
      </x:c>
      <x:c r="I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Existe lei ou decreto que cria ouvidoria de serviços penais ou núcleo especializado</x:v>
      </x:c>
      <x:c r="E8" s="26" t="str">
        <x:v>Art. 6º, caput.</x:v>
      </x:c>
      <x:c r="F8" s="26" t="n">
        <x:f>IF(C8="Sim",15,0)</x:f>
        <x:v>0</x:v>
      </x:c>
      <x:c r="G8" s="26" t="n">
        <x:f>F8</x:f>
        <x:v>0</x:v>
      </x:c>
      <x:c r="H8" s="26" t="str">
        <x:f>IF(C8="Sim","Instituída",IF(C8="Não","Não instituída","Sem evidência"))</x:f>
        <x:v>Sem evidência</x:v>
      </x:c>
      <x:c r="I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Existe lei ou decreto que cria ouvidoria de serviços penais ou núcleo especializado</x:v>
      </x:c>
      <x:c r="E9" s="26" t="str">
        <x:v>Art. 6º, caput.</x:v>
      </x:c>
      <x:c r="F9" s="26" t="n">
        <x:f>IF(C9="Sim",15,0)</x:f>
        <x:v>0</x:v>
      </x:c>
      <x:c r="G9" s="26" t="n">
        <x:f>F9</x:f>
        <x:v>0</x:v>
      </x:c>
      <x:c r="H9" s="26" t="str">
        <x:f>IF(C9="Sim","Instituída",IF(C9="Não","Não instituída","Sem evidência"))</x:f>
        <x:v>Sem evidência</x:v>
      </x:c>
      <x:c r="I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Existe lei ou decreto que cria ouvidoria de serviços penais ou núcleo especializado</x:v>
      </x:c>
      <x:c r="E10" s="26" t="str">
        <x:v>Art. 6º, caput.</x:v>
      </x:c>
      <x:c r="F10" s="26" t="n">
        <x:f>IF(C10="Sim",15,0)</x:f>
        <x:v>0</x:v>
      </x:c>
      <x:c r="G10" s="26" t="n">
        <x:f>F10</x:f>
        <x:v>0</x:v>
      </x:c>
      <x:c r="H10" s="26" t="str">
        <x:f>IF(C10="Sim","Instituída",IF(C10="Não","Não instituída","Sem evidência"))</x:f>
        <x:v>Sem evidência</x:v>
      </x:c>
      <x:c r="I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Existe lei ou decreto que cria ouvidoria de serviços penais ou núcleo especializado</x:v>
      </x:c>
      <x:c r="E11" s="26" t="str">
        <x:v>Art. 6º, caput.</x:v>
      </x:c>
      <x:c r="F11" s="26" t="n">
        <x:f>IF(C11="Sim",15,0)</x:f>
        <x:v>0</x:v>
      </x:c>
      <x:c r="G11" s="26" t="n">
        <x:f>F11</x:f>
        <x:v>0</x:v>
      </x:c>
      <x:c r="H11" s="26" t="str">
        <x:f>IF(C11="Sim","Instituída",IF(C11="Não","Não instituída","Sem evidência"))</x:f>
        <x:v>Sem evidência</x:v>
      </x:c>
      <x:c r="I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Existe lei ou decreto que cria ouvidoria de serviços penais ou núcleo especializado</x:v>
      </x:c>
      <x:c r="E12" s="26" t="str">
        <x:v>Art. 6º, caput.</x:v>
      </x:c>
      <x:c r="F12" s="26" t="n">
        <x:f>IF(C12="Sim",15,0)</x:f>
        <x:v>0</x:v>
      </x:c>
      <x:c r="G12" s="26" t="n">
        <x:f>F12</x:f>
        <x:v>0</x:v>
      </x:c>
      <x:c r="H12" s="26" t="str">
        <x:f>IF(C12="Sim","Instituída",IF(C12="Não","Não instituída","Sem evidência"))</x:f>
        <x:v>Sem evidência</x:v>
      </x:c>
      <x:c r="I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Existe lei ou decreto que cria ouvidoria de serviços penais ou núcleo especializado</x:v>
      </x:c>
      <x:c r="E13" s="26" t="str">
        <x:v>Art. 6º, caput.</x:v>
      </x:c>
      <x:c r="F13" s="26" t="n">
        <x:f>IF(C13="Sim",15,0)</x:f>
        <x:v>0</x:v>
      </x:c>
      <x:c r="G13" s="26" t="n">
        <x:f>F13</x:f>
        <x:v>0</x:v>
      </x:c>
      <x:c r="H13" s="26" t="str">
        <x:f>IF(C13="Sim","Instituída",IF(C13="Não","Não instituída","Sem evidência"))</x:f>
        <x:v>Sem evidência</x:v>
      </x:c>
      <x:c r="I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Existe lei ou decreto que cria ouvidoria de serviços penais ou núcleo especializado</x:v>
      </x:c>
      <x:c r="E14" s="26" t="str">
        <x:v>Art. 6º, caput.</x:v>
      </x:c>
      <x:c r="F14" s="26" t="n">
        <x:f>IF(C14="Sim",15,0)</x:f>
        <x:v>0</x:v>
      </x:c>
      <x:c r="G14" s="26" t="n">
        <x:f>F14</x:f>
        <x:v>0</x:v>
      </x:c>
      <x:c r="H14" s="26" t="str">
        <x:f>IF(C14="Sim","Instituída",IF(C14="Não","Não instituída","Sem evidência"))</x:f>
        <x:v>Sem evidência</x:v>
      </x:c>
      <x:c r="I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Existe ato infralegal (portaria, resolução, ordem de serviço) que cria ouvidoria de serviços penais ou núcleo especializado</x:v>
      </x:c>
      <x:c r="E15" s="26" t="str">
        <x:v>Art. 6º, caput.</x:v>
      </x:c>
      <x:c r="F15" s="26" t="n">
        <x:f>IF(C15="Sim",15,0)</x:f>
        <x:v>0</x:v>
      </x:c>
      <x:c r="G15" s="26" t="n">
        <x:f>F15</x:f>
        <x:v>0</x:v>
      </x:c>
      <x:c r="H15" s="26" t="str">
        <x:f>IF(C15="Sim","Instituída",IF(C15="Não","Não instituída","Sem evidência"))</x:f>
        <x:v>Sem evidência</x:v>
      </x:c>
      <x:c r="I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Existe ato infralegal (portaria, resolução, ordem de serviço) que cria ouvidoria de serviços penais ou núcleo especializado</x:v>
      </x:c>
      <x:c r="E16" s="26" t="str">
        <x:v>Art. 6º, caput.</x:v>
      </x:c>
      <x:c r="F16" s="26" t="n">
        <x:f>IF(C16="Sim",15,0)</x:f>
        <x:v>0</x:v>
      </x:c>
      <x:c r="G16" s="26" t="n">
        <x:f>F16</x:f>
        <x:v>0</x:v>
      </x:c>
      <x:c r="H16" s="26" t="str">
        <x:f>IF(C16="Sim","Instituída",IF(C16="Não","Não instituída","Sem evidência"))</x:f>
        <x:v>Sem evidência</x:v>
      </x:c>
      <x:c r="I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Existe lei ou decreto que cria ouvidoria de serviços penais ou núcleo especializado</x:v>
      </x:c>
      <x:c r="E17" s="26" t="str">
        <x:v>Art. 6º, caput.</x:v>
      </x:c>
      <x:c r="F17" s="26" t="n">
        <x:f>IF(C17="Sim",15,0)</x:f>
        <x:v>0</x:v>
      </x:c>
      <x:c r="G17" s="26" t="n">
        <x:f>F17</x:f>
        <x:v>0</x:v>
      </x:c>
      <x:c r="H17" s="26" t="str">
        <x:f>IF(C17="Sim","Instituída",IF(C17="Não","Não instituída","Sem evidência"))</x:f>
        <x:v>Sem evidência</x:v>
      </x:c>
      <x:c r="I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Existe lei ou decreto que cria ouvidoria de serviços penais ou núcleo especializado</x:v>
      </x:c>
      <x:c r="E18" s="26" t="str">
        <x:v>Art. 6º, caput.</x:v>
      </x:c>
      <x:c r="F18" s="26" t="n">
        <x:f>IF(C18="Sim",15,0)</x:f>
        <x:v>0</x:v>
      </x:c>
      <x:c r="G18" s="26" t="n">
        <x:f>F18</x:f>
        <x:v>0</x:v>
      </x:c>
      <x:c r="H18" s="26" t="str">
        <x:f>IF(C18="Sim","Instituída",IF(C18="Não","Não instituída","Sem evidência"))</x:f>
        <x:v>Sem evidência</x:v>
      </x:c>
      <x:c r="I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Existe apenas ato de ouvidoria geral do Estado, sem criação de unidade/núcleo específico para serviços penais</x:v>
      </x:c>
      <x:c r="E19" s="26" t="str">
        <x:v>Art. 6º, caput.</x:v>
      </x:c>
      <x:c r="F19" s="26" t="n">
        <x:f>IF(C19="Sim",15,0)</x:f>
        <x:v>0</x:v>
      </x:c>
      <x:c r="G19" s="26" t="n">
        <x:f>F19</x:f>
        <x:v>0</x:v>
      </x:c>
      <x:c r="H19" s="26" t="str">
        <x:f>IF(C19="Sim","Instituída",IF(C19="Não","Não instituída","Sem evidência"))</x:f>
        <x:v>Sem evidência</x:v>
      </x:c>
      <x:c r="I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Existe lei ou decreto que cria ouvidoria de serviços penais ou núcleo especializado</x:v>
      </x:c>
      <x:c r="E20" s="26" t="str">
        <x:v>Art. 6º, caput.</x:v>
      </x:c>
      <x:c r="F20" s="26" t="n">
        <x:f>IF(C20="Sim",15,0)</x:f>
        <x:v>0</x:v>
      </x:c>
      <x:c r="G20" s="26" t="n">
        <x:f>F20</x:f>
        <x:v>0</x:v>
      </x:c>
      <x:c r="H20" s="26" t="str">
        <x:f>IF(C20="Sim","Instituída",IF(C20="Não","Não instituída","Sem evidência"))</x:f>
        <x:v>Sem evidência</x:v>
      </x:c>
      <x:c r="I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Não há normativos específicos da Secretaria, apenas do Estado</x:v>
      </x:c>
      <x:c r="E21" s="26" t="str">
        <x:v>Art. 6º, caput.</x:v>
      </x:c>
      <x:c r="F21" s="26" t="n">
        <x:f>IF(C21="Sim",15,0)</x:f>
        <x:v>0</x:v>
      </x:c>
      <x:c r="G21" s="26" t="n">
        <x:f>F21</x:f>
        <x:v>0</x:v>
      </x:c>
      <x:c r="H21" s="26" t="str">
        <x:f>IF(C21="Sim","Instituída",IF(C21="Não","Não instituída","Sem evidência"))</x:f>
        <x:v>Sem evidência</x:v>
      </x:c>
      <x:c r="I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Existe lei ou decreto que cria ouvidoria de serviços penais ou núcleo especializado</x:v>
      </x:c>
      <x:c r="E22" s="26" t="str">
        <x:v>Art. 6º, caput.</x:v>
      </x:c>
      <x:c r="F22" s="26" t="n">
        <x:f>IF(C22="Sim",15,0)</x:f>
        <x:v>0</x:v>
      </x:c>
      <x:c r="G22" s="26" t="n">
        <x:f>F22</x:f>
        <x:v>0</x:v>
      </x:c>
      <x:c r="H22" s="26" t="str">
        <x:f>IF(C22="Sim","Instituída",IF(C22="Não","Não instituída","Sem evidência"))</x:f>
        <x:v>Sem evidência</x:v>
      </x:c>
      <x:c r="I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Existe apenas ato de ouvidoria geral do Estado, sem criação de unidade/núcleo específico para serviços penais</x:v>
      </x:c>
      <x:c r="E23" s="26" t="str">
        <x:v>Art. 6º, caput.</x:v>
      </x:c>
      <x:c r="F23" s="26" t="n">
        <x:f>IF(C23="Sim",15,0)</x:f>
        <x:v>0</x:v>
      </x:c>
      <x:c r="G23" s="26" t="n">
        <x:f>F23</x:f>
        <x:v>0</x:v>
      </x:c>
      <x:c r="H23" s="26" t="str">
        <x:f>IF(C23="Sim","Instituída",IF(C23="Não","Não instituída","Sem evidência"))</x:f>
        <x:v>Sem evidência</x:v>
      </x:c>
      <x:c r="I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Existe apenas ato de ouvidoria geral do Estado, sem criação de unidade/núcleo específico para serviços penais</x:v>
      </x:c>
      <x:c r="E24" s="26" t="str">
        <x:v>Art. 6º, caput.</x:v>
      </x:c>
      <x:c r="F24" s="26" t="n">
        <x:f>IF(C24="Sim",15,0)</x:f>
        <x:v>0</x:v>
      </x:c>
      <x:c r="G24" s="26" t="n">
        <x:f>F24</x:f>
        <x:v>0</x:v>
      </x:c>
      <x:c r="H24" s="26" t="str">
        <x:f>IF(C24="Sim","Instituída",IF(C24="Não","Não instituída","Sem evidência"))</x:f>
        <x:v>Sem evidência</x:v>
      </x:c>
      <x:c r="I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Existe lei ou decreto que cria ouvidoria de serviços penais ou núcleo especializado</x:v>
      </x:c>
      <x:c r="E25" s="26" t="str">
        <x:v>Art. 6º, caput.</x:v>
      </x:c>
      <x:c r="F25" s="26" t="n">
        <x:f>IF(C25="Sim",15,0)</x:f>
        <x:v>0</x:v>
      </x:c>
      <x:c r="G25" s="26" t="n">
        <x:f>F25</x:f>
        <x:v>0</x:v>
      </x:c>
      <x:c r="H25" s="26" t="str">
        <x:f>IF(C25="Sim","Instituída",IF(C25="Não","Não instituída","Sem evidência"))</x:f>
        <x:v>Sem evidência</x:v>
      </x:c>
      <x:c r="I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Existe lei ou decreto que cria ouvidoria de serviços penais ou núcleo especializado</x:v>
      </x:c>
      <x:c r="E26" s="26" t="str">
        <x:v>Art. 6º, caput.</x:v>
      </x:c>
      <x:c r="F26" s="26" t="n">
        <x:f>IF(C26="Sim",15,0)</x:f>
        <x:v>0</x:v>
      </x:c>
      <x:c r="G26" s="26" t="n">
        <x:f>F26</x:f>
        <x:v>0</x:v>
      </x:c>
      <x:c r="H26" s="26" t="str">
        <x:f>IF(C26="Sim","Instituída",IF(C26="Não","Não instituída","Sem evidência"))</x:f>
        <x:v>Sem evidência</x:v>
      </x:c>
      <x:c r="I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Existe lei ou decreto que cria ouvidoria de serviços penais ou núcleo especializado</x:v>
      </x:c>
      <x:c r="E27" s="26" t="str">
        <x:v>Art. 6º, caput.</x:v>
      </x:c>
      <x:c r="F27" s="26" t="n">
        <x:f>IF(C27="Sim",15,0)</x:f>
        <x:v>0</x:v>
      </x:c>
      <x:c r="G27" s="26" t="n">
        <x:f>F27</x:f>
        <x:v>0</x:v>
      </x:c>
      <x:c r="H27" s="26" t="str">
        <x:f>IF(C27="Sim","Instituída",IF(C27="Não","Não instituída","Sem evidência"))</x:f>
        <x:v>Sem evidência</x:v>
      </x:c>
      <x:c r="I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Existe lei ou decreto que cria ouvidoria de serviços penais ou núcleo especializado</x:v>
      </x:c>
      <x:c r="E28" s="26" t="str">
        <x:v>Art. 6º, caput.</x:v>
      </x:c>
      <x:c r="F28" s="26" t="n">
        <x:f>IF(C28="Sim",15,0)</x:f>
        <x:v>0</x:v>
      </x:c>
      <x:c r="G28" s="26" t="n">
        <x:f>F28</x:f>
        <x:v>0</x:v>
      </x:c>
      <x:c r="H28" s="26" t="str">
        <x:f>IF(C28="Sim","Instituída",IF(C28="Não","Não instituída","Sem evidência"))</x:f>
        <x:v>Sem evidência</x:v>
      </x:c>
      <x:c r="I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Não existe qualquer ato específico</x:v>
      </x:c>
      <x:c r="E29" s="26" t="str">
        <x:v>Art. 6º, caput.</x:v>
      </x:c>
      <x:c r="F29" s="26" t="n">
        <x:f>IF(C29="Sim",15,0)</x:f>
        <x:v>0</x:v>
      </x:c>
      <x:c r="G29" s="26" t="n">
        <x:f>F29</x:f>
        <x:v>0</x:v>
      </x:c>
      <x:c r="H29" s="26" t="str">
        <x:f>IF(C29="Sim","Instituída",IF(C29="Não","Não instituída","Sem evidência"))</x:f>
        <x:v>Sem evidência</x:v>
      </x:c>
      <x:c r="I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Existe lei ou decreto que cria ouvidoria de serviços penais ou núcleo especializado</x:v>
      </x:c>
      <x:c r="E30" s="26" t="str">
        <x:v>Art. 6º, caput.</x:v>
      </x:c>
      <x:c r="F30" s="26" t="n">
        <x:f>IF(C30="Sim",15,0)</x:f>
        <x:v>0</x:v>
      </x:c>
      <x:c r="G30" s="26" t="n">
        <x:f>F30</x:f>
        <x:v>0</x:v>
      </x:c>
      <x:c r="H30" s="26" t="str">
        <x:f>IF(C30="Sim","Instituída",IF(C30="Não","Não instituída","Sem evidência"))</x:f>
        <x:v>Sem evidência</x:v>
      </x:c>
      <x:c r="I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Existe ato infralegal (portaria, resolução, ordem de serviço) que cria ouvidoria de serviços penais ou núcleo especializado</x:v>
      </x:c>
      <x:c r="E31" s="26" t="str">
        <x:v>Art. 6º, caput.</x:v>
      </x:c>
      <x:c r="F31" s="26" t="n">
        <x:f>IF(C31="Sim",15,0)</x:f>
        <x:v>0</x:v>
      </x:c>
      <x:c r="G31" s="26" t="n">
        <x:f>F31</x:f>
        <x:v>0</x:v>
      </x:c>
      <x:c r="H31" s="26" t="str">
        <x:f>IF(C31="Sim","Instituída",IF(C31="Não","Não instituída","Sem evidência"))</x:f>
        <x:v>Sem evidência</x:v>
      </x:c>
      <x:c r="I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Existe ato infralegal (portaria, resolução, ordem de serviço) que cria ouvidoria de serviços penais ou núcleo especializado</x:v>
      </x:c>
      <x:c r="E32" s="26" t="str">
        <x:v>Art. 6º, caput.</x:v>
      </x:c>
      <x:c r="F32" s="26" t="n">
        <x:f>IF(C32="Sim",15,0)</x:f>
        <x:v>0</x:v>
      </x:c>
      <x:c r="G32" s="26" t="n">
        <x:f>F32</x:f>
        <x:v>0</x:v>
      </x:c>
      <x:c r="H32" s="26" t="str">
        <x:f>IF(C32="Sim","Instituída",IF(C32="Não","Não instituída","Sem evidência"))</x:f>
        <x:v>Sem evidência</x:v>
      </x:c>
      <x:c r="I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26" t="str">
        <x:v>Art. 6º, caput.</x:v>
      </x:c>
      <x:c r="F33" s="26" t="n">
        <x:f>IF(C33="Sim",15,0)</x:f>
        <x:v>0</x:v>
      </x:c>
      <x:c r="G33" s="26" t="n">
        <x:f>F33</x:f>
        <x:v>0</x:v>
      </x:c>
      <x:c r="H33" s="26" t="str">
        <x:f>IF(C33="Sim","Instituída",IF(C33="Não","Não instituída","Sem evidência"))</x:f>
        <x:v>Sem evidência</x:v>
      </x:c>
      <x:c r="I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Não existe qualquer ato específico</x:v>
      </x:c>
      <x:c r="E34" s="26" t="str">
        <x:v>Art. 6º, caput.</x:v>
      </x:c>
      <x:c r="F34" s="26" t="n">
        <x:f>IF(C34="Sim",15,0)</x:f>
        <x:v>0</x:v>
      </x:c>
      <x:c r="G34" s="26" t="n">
        <x:f>F34</x:f>
        <x:v>0</x:v>
      </x:c>
      <x:c r="H34" s="26" t="str">
        <x:f>IF(C34="Sim","Instituída",IF(C34="Não","Não instituída","Sem evidência"))</x:f>
        <x:v>Sem evidência</x:v>
      </x:c>
      <x:c r="I34" s="26" t="str">
        <x:v>Doc. SEI 37070578</x:v>
      </x:c>
    </x:row>
  </x:sheetData>
  <x:mergeCells>
    <x:mergeCell ref="A1:I1"/>
    <x:mergeCell ref="A2:I2"/>
    <x:mergeCell ref="A4:B4"/>
    <x:mergeCell ref="C4:F4"/>
    <x:mergeCell ref="G4:I4"/>
    <x:mergeCell ref="A6:B6"/>
  </x:mergeCells>
  <x:dataValidations count="1">
    <x:dataValidation type="list" sqref="C7:C34">
      <x:formula1>"Sim,Não,Sem evidência"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30" hidden="0" customWidth="1"/>
    <x:col min="4" max="4" width="40" hidden="0" customWidth="1"/>
    <x:col min="5" max="5" width="25" hidden="0" customWidth="1"/>
    <x:col min="6" max="6" width="8" hidden="0" customWidth="1"/>
    <x:col min="7" max="7" width="30" hidden="0" customWidth="1"/>
    <x:col min="8" max="8" width="40" hidden="0" customWidth="1"/>
    <x:col min="9" max="9" width="25" hidden="0" customWidth="1"/>
    <x:col min="10" max="10" width="8" hidden="0" customWidth="1"/>
    <x:col min="11" max="11" width="30" hidden="0" customWidth="1"/>
    <x:col min="12" max="12" width="40" hidden="0" customWidth="1"/>
    <x:col min="13" max="13" width="25" hidden="0" customWidth="1"/>
    <x:col min="14" max="14" width="8" hidden="0" customWidth="1"/>
    <x:col min="15" max="15" width="30" hidden="0" customWidth="1"/>
    <x:col min="16" max="16" width="40" hidden="0" customWidth="1"/>
    <x:col min="17" max="17" width="25" hidden="0" customWidth="1"/>
    <x:col min="18" max="18" width="8" hidden="0" customWidth="1"/>
    <x:col min="19" max="19" width="30" hidden="0" customWidth="1"/>
    <x:col min="20" max="20" width="40" hidden="0" customWidth="1"/>
    <x:col min="21" max="21" width="25" hidden="0" customWidth="1"/>
    <x:col min="22" max="22" width="8" hidden="0" customWidth="1"/>
    <x:col min="23" max="23" width="14" hidden="0" customWidth="1"/>
    <x:col min="24" max="24" width="38" hidden="0" customWidth="1"/>
  </x:cols>
  <x:sheetData>
    <x:row r="1" ht="28" customHeight="1">
      <x:c r="A1" s="4" t="str">
        <x:v>02 — Autonomia técnica e funcional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46" customHeight="1">
      <x:c r="A2" s="11" t="str">
        <x:v>Peso da dimensão: 15 pontos. A coluna verde reproduz a resposta dada no Diagnóstico das Ouvidorias Estaduais de Serviços Penais.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</x:row>
    <x:row r="4">
      <x:c r="A4" s="31" t="str">
        <x:v>Identificação</x:v>
      </x:c>
      <x:c r="B4" s="31"/>
      <x:c r="C4" s="31" t="str">
        <x:v>Item 1 — Garantia normativa de autonomia técnica/funcional</x:v>
      </x:c>
      <x:c r="D4" s="31"/>
      <x:c r="E4" s="31"/>
      <x:c r="F4" s="31"/>
      <x:c r="G4" s="31"/>
      <x:c r="H4" s="31"/>
      <x:c r="I4" s="31"/>
      <x:c r="J4" s="31"/>
      <x:c r="K4" s="31" t="str">
        <x:v>Item 2 — Condições institucionais de atuação sem interferência indevida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 t="str">
        <x:v>Resultado da dimensão</x:v>
      </x:c>
      <x:c r="X4" s="31"/>
    </x:row>
    <x:row r="5" ht="58" customHeight="1">
      <x:c r="A5" s="20" t="str">
        <x:v>UF</x:v>
      </x:c>
      <x:c r="B5" s="20" t="str">
        <x:v>Unidade Federativa</x:v>
      </x:c>
      <x:c r="C5" s="20" t="str">
        <x:v>M3-56 — Vinculação institucional da Ouvidoria de Serviços Penais</x:v>
      </x:c>
      <x:c r="D5" s="20" t="str">
        <x:v>Resposta do diagnóstico</x:v>
      </x:c>
      <x:c r="E5" s="20" t="str">
        <x:v>Fundamentação na IN nº 75/2026</x:v>
      </x:c>
      <x:c r="F5" s="20" t="str">
        <x:v>3 pts</x:v>
      </x:c>
      <x:c r="G5" s="20" t="str">
        <x:v>M3-57 — Existência e designação do(a) Ouvidor(a) de Serviços Penais</x:v>
      </x:c>
      <x:c r="H5" s="20" t="str">
        <x:v>Resposta do diagnóstico</x:v>
      </x:c>
      <x:c r="I5" s="20" t="str">
        <x:v>Fundamentação na IN nº 75/2026</x:v>
      </x:c>
      <x:c r="J5" s="20" t="str">
        <x:v>3 pts</x:v>
      </x:c>
      <x:c r="K5" s="20" t="str">
        <x:v>M1-12 — Conteúdo do ato de criação da Ouvidoria de Serviços Penais</x:v>
      </x:c>
      <x:c r="L5" s="20" t="str">
        <x:v>Resposta do diagnóstico</x:v>
      </x:c>
      <x:c r="M5" s="20" t="str">
        <x:v>Fundamentação na IN nº 75/2026</x:v>
      </x:c>
      <x:c r="N5" s="20" t="str">
        <x:v>3 pts</x:v>
      </x:c>
      <x:c r="O5" s="20" t="str">
        <x:v>M4-67 — Fluxo de trabalho interno da Ouvidoria de Serviços Penais</x:v>
      </x:c>
      <x:c r="P5" s="20" t="str">
        <x:v>Resposta do diagnóstico</x:v>
      </x:c>
      <x:c r="Q5" s="20" t="str">
        <x:v>Fundamentação na IN nº 75/2026</x:v>
      </x:c>
      <x:c r="R5" s="20" t="str">
        <x:v>3 pts</x:v>
      </x:c>
      <x:c r="S5" s="20" t="str">
        <x:v>M4-68 — Prazos e qualidade da resposta às manifestações</x:v>
      </x:c>
      <x:c r="T5" s="20" t="str">
        <x:v>Resposta do diagnóstico</x:v>
      </x:c>
      <x:c r="U5" s="20" t="str">
        <x:v>Fundamentação na IN nº 75/2026</x:v>
      </x:c>
      <x:c r="V5" s="20" t="str">
        <x:v>3 pts</x:v>
      </x:c>
      <x:c r="W5" s="20" t="str">
        <x:v>Pontuação /15</x:v>
      </x:c>
      <x:c r="X5" s="20" t="str">
        <x:v>Evidências / observações</x:v>
      </x:c>
    </x:row>
    <x:row r="6" ht="132" customHeight="1">
      <x:c r="A6" s="40" t="str">
        <x:v>Como aplicar / resposta / fundamento →</x:v>
      </x:c>
      <x:c r="B6" s="40"/>
      <x:c r="C6" s="49" t="str">
        <x:v>3 pts: vinculada diretamente ao Gabinete/autoridade máxima, ou situação equivalente que assegure posição institucional autônoma. 1,5 pt: vinculada à estrutura central da Secretaria, sem subordinação a área operacional. 0 pt: vinculada a área operacional, não se aplica ou sem evidência.</x:v>
      </x:c>
      <x:c r="D6" s="57" t="str">
        <x:v>Resposta original da UF no diagnóstico enviado.</x:v>
      </x:c>
      <x:c r="E6" s="66" t="str">
        <x:v>Art. 4º, I; art. 6º, §1º, I.</x:v>
      </x:c>
      <x:c r="F6" s="11" t="str">
        <x:v>3 = atende
1.5 = parcial
0 = não atende / sem evidência</x:v>
      </x:c>
      <x:c r="G6" s="49" t="str">
        <x:v>3 pts: há Ouvidor(a) formalmente designado(a) pela autoridade máxima ou autoridade superior equivalente. 1,5 pt: designação formal em condição intermediária. 0 pt: ponto focal informal, inexistência de Ouvidor específico ou sem evidência.</x:v>
      </x:c>
      <x:c r="H6" s="57" t="str">
        <x:v>Resposta original da UF no diagnóstico enviado.</x:v>
      </x:c>
      <x:c r="I6" s="66" t="str">
        <x:v>Art. 4º, I; art. 8º, caput.</x:v>
      </x:c>
      <x:c r="J6" s="11" t="str">
        <x:v>3 = atende
1.5 = parcial
0 = não atende / sem evidência</x:v>
      </x:c>
      <x:c r="K6" s="49" t="str">
        <x:v>3 pts: o ato prevê simultaneamente dever de colaboração das áreas e prerrogativa de solicitar informações/documentos e requisitar apuração. 1,5 pt: apenas um desses elementos. 0 pt: nenhum ou sem evidência.</x:v>
      </x:c>
      <x:c r="L6" s="57" t="str">
        <x:v>Resposta original da UF no diagnóstico enviado.</x:v>
      </x:c>
      <x:c r="M6" s="66" t="str">
        <x:v>Art. 6º, §1º, III; art. 10, II.</x:v>
      </x:c>
      <x:c r="N6" s="11" t="str">
        <x:v>3 = atende
1.5 = parcial
0 = não atende / sem evidência</x:v>
      </x:c>
      <x:c r="O6" s="49" t="str">
        <x:v>3 pts: fluxo formalizado e efetivamente utilizado, contemplando recebimento, registro, encaminhamento, acompanhamento e devolutiva. 1,5 pt: fluxo descrito, mas pouco aplicado. 0 pt: fluxo informal/inexistente ou sem evidência.</x:v>
      </x:c>
      <x:c r="P6" s="57" t="str">
        <x:v>Resposta original da UF no diagnóstico enviado.</x:v>
      </x:c>
      <x:c r="Q6" s="66" t="str">
        <x:v>Art. 13, caput e incisos I a V.</x:v>
      </x:c>
      <x:c r="R6" s="11" t="str">
        <x:v>3 = atende
1.5 = parcial
0 = não atende / sem evidência</x:v>
      </x:c>
      <x:c r="S6" s="49" t="str">
        <x:v>3 pts: prazos claros e registrados, monitoramento e medidas diante de descumprimento. 1,5 pt: há prazos, mas sem controle sistemático. 0 pt: inexistência de prazos/monitoramento ou sem evidência.</x:v>
      </x:c>
      <x:c r="T6" s="57" t="str">
        <x:v>Resposta original da UF no diagnóstico enviado.</x:v>
      </x:c>
      <x:c r="U6" s="66" t="str">
        <x:v>Art. 6º, §1º, IV; art. 10, II e IV; art. 13, IV e V.</x:v>
      </x:c>
      <x:c r="V6" s="11" t="str">
        <x:v>3 = atende
1.5 = parcial
0 = não atende / sem evidência</x:v>
      </x:c>
      <x:c r="W6" s="11" t="str">
        <x:v>Soma automática das perguntas desta dimensão.</x:v>
      </x:c>
      <x:c r="X6" s="11" t="str">
        <x:v>Registre observações adicionais, se necessário.</x:v>
      </x:c>
    </x:row>
    <x:row r="7">
      <x:c r="A7" s="26" t="str">
        <x:v>AC</x:v>
      </x:c>
      <x:c r="B7" s="26" t="str">
        <x:v>Acre</x:v>
      </x:c>
      <x:c r="C7" s="26" t="str"/>
      <x:c r="D7" s="57" t="str">
        <x:v>Vinculada diretamente ao Gabinete ou à autoridade máxima do órgão gestor do sistema penal</x:v>
      </x:c>
      <x:c r="E7" s="66" t="str">
        <x:v>Art. 4º, I; art. 6º, §1º, I.</x:v>
      </x:c>
      <x:c r="F7" s="26" t="n">
        <x:f>IF(C7="Atende",3,IF(C7="Parcial",1.5,0))</x:f>
        <x:v>0</x:v>
      </x:c>
      <x:c r="G7" s="26" t="str"/>
      <x:c r="H7" s="57" t="str">
        <x:v>Há ouvidor(a) designado(a) formalmente pela autoridade máxima do órgão gestor do sistema penal</x:v>
      </x:c>
      <x:c r="I7" s="66" t="str">
        <x:v>Art. 4º, I; art. 8º, caput.</x:v>
      </x:c>
      <x:c r="J7" s="26" t="n">
        <x:f>IF(G7="Atende",3,IF(G7="Parcial",1.5,0))</x:f>
        <x:v>0</x:v>
      </x:c>
      <x:c r="K7" s="26" t="str"/>
      <x:c r="L7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familiares;Garante a proteção da identidade do(a) manifestante e a confidencialidade das informações;Enuncia a finalidade da Ouvidoria de Serviços Penais como instância permanente de interlocução entre cidadãos, pessoas privadas de liberdade, familiares e servidores(as) penais e a administração penitenciária;</x:v>
      </x:c>
      <x:c r="M7" s="66" t="str">
        <x:v>Art. 6º, §1º, III; art. 10, II.</x:v>
      </x:c>
      <x:c r="N7" s="26" t="n">
        <x:f>IF(K7="Atende",3,IF(K7="Parcial",1.5,0))</x:f>
        <x:v>0</x:v>
      </x:c>
      <x:c r="O7" s="26" t="str"/>
      <x:c r="P7" s="57" t="str">
        <x:v>Há fluxo descrito, mas pouco aplicado na prática</x:v>
      </x:c>
      <x:c r="Q7" s="66" t="str">
        <x:v>Art. 13, caput e incisos I a V.</x:v>
      </x:c>
      <x:c r="R7" s="26" t="n">
        <x:f>IF(O7="Atende",3,IF(O7="Parcial",1.5,0))</x:f>
        <x:v>0</x:v>
      </x:c>
      <x:c r="S7" s="26" t="str"/>
      <x:c r="T7" s="57" t="str">
        <x:v>Há prazos definidos (em norma ou ato interno), com tentativas de cumprimento, mas sem controle sistemático</x:v>
      </x:c>
      <x:c r="U7" s="66" t="str">
        <x:v>Art. 6º, §1º, IV; art. 10, II e IV; art. 13, IV e V.</x:v>
      </x:c>
      <x:c r="V7" s="26" t="n">
        <x:f>IF(S7="Atende",3,IF(S7="Parcial",1.5,0))</x:f>
        <x:v>0</x:v>
      </x:c>
      <x:c r="W7" s="26" t="n">
        <x:f>SUM(F7,J7,N7,R7,V7)</x:f>
        <x:v>0</x:v>
      </x:c>
      <x:c r="X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Vinculada diretamente ao Gabinete ou à autoridade máxima do órgão gestor do sistema penal</x:v>
      </x:c>
      <x:c r="E8" s="66" t="str">
        <x:v>Art. 4º, I; art. 6º, §1º, I.</x:v>
      </x:c>
      <x:c r="F8" s="26" t="n">
        <x:f>IF(C8="Atende",3,IF(C8="Parcial",1.5,0))</x:f>
        <x:v>0</x:v>
      </x:c>
      <x:c r="G8" s="26" t="str"/>
      <x:c r="H8" s="57" t="str">
        <x:v>Há ouvidor(a) designado(a) formalmente pela autoridade máxima do órgão gestor do sistema penal</x:v>
      </x:c>
      <x:c r="I8" s="66" t="str">
        <x:v>Art. 4º, I; art. 8º, caput.</x:v>
      </x:c>
      <x:c r="J8" s="26" t="n">
        <x:f>IF(G8="Atende",3,IF(G8="Parcial",1.5,0))</x:f>
        <x:v>0</x:v>
      </x:c>
      <x:c r="K8" s="26" t="str"/>
      <x:c r="L8" s="57" t="str">
        <x:v>Não há normativa;</x:v>
      </x:c>
      <x:c r="M8" s="66" t="str">
        <x:v>Art. 6º, §1º, III; art. 10, II.</x:v>
      </x:c>
      <x:c r="N8" s="26" t="n">
        <x:f>IF(K8="Atende",3,IF(K8="Parcial",1.5,0))</x:f>
        <x:v>0</x:v>
      </x:c>
      <x:c r="O8" s="26" t="str"/>
      <x:c r="P8" s="57" t="str">
        <x:v>Há fluxo informal (cada caso é tratado de forma diferente, sem padronização)</x:v>
      </x:c>
      <x:c r="Q8" s="66" t="str">
        <x:v>Art. 13, caput e incisos I a V.</x:v>
      </x:c>
      <x:c r="R8" s="26" t="n">
        <x:f>IF(O8="Atende",3,IF(O8="Parcial",1.5,0))</x:f>
        <x:v>0</x:v>
      </x:c>
      <x:c r="S8" s="26" t="str"/>
      <x:c r="T8" s="57" t="str">
        <x:v>Há prazos claros e registrados, com monitoramento das respostas das áreas e medidas adotadas em caso de descumprimento (cobrança, reencaminhamento, informação a instâncias superiores etc.)</x:v>
      </x:c>
      <x:c r="U8" s="66" t="str">
        <x:v>Art. 6º, §1º, IV; art. 10, II e IV; art. 13, IV e V.</x:v>
      </x:c>
      <x:c r="V8" s="26" t="n">
        <x:f>IF(S8="Atende",3,IF(S8="Parcial",1.5,0))</x:f>
        <x:v>0</x:v>
      </x:c>
      <x:c r="W8" s="26" t="n">
        <x:f>SUM(F8,J8,N8,R8,V8)</x:f>
        <x:v>0</x:v>
      </x:c>
      <x:c r="X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Vinculada diretamente ao Gabinete ou à autoridade máxima do órgão gestor do sistema penal</x:v>
      </x:c>
      <x:c r="E9" s="66" t="str">
        <x:v>Art. 4º, I; art. 6º, §1º, I.</x:v>
      </x:c>
      <x:c r="F9" s="26" t="n">
        <x:f>IF(C9="Atende",3,IF(C9="Parcial",1.5,0))</x:f>
        <x:v>0</x:v>
      </x:c>
      <x:c r="G9" s="26" t="str"/>
      <x:c r="H9" s="57" t="str">
        <x:v>Há ouvidor(a) designado(a) formalmente pela autoridade máxima do órgão gestor do sistema penal</x:v>
      </x:c>
      <x:c r="I9" s="66" t="str">
        <x:v>Art. 4º, I; art. 8º, caput.</x:v>
      </x:c>
      <x:c r="J9" s="26" t="n">
        <x:f>IF(G9="Atende",3,IF(G9="Parcial",1.5,0))</x:f>
        <x:v>0</x:v>
      </x:c>
      <x:c r="K9" s="26" t="str"/>
      <x:c r="L9" s="57" t="str">
        <x:v>Indica a denominação da Ouvidoria de Serviços Penais e sua vinculação na estrutura organizacional do órgão;Estabelece prazos para resposta das áreas competentes e para devolutiva ao(à) manifestante;Define as competências básicas, compreendendo o recebimento, a análise, o encaminhamento e a resposta às manifestações;Garante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contínuas;Enuncia a finalidade da Ouvidoria de Serviços Penais como instância permanente de interlocução entre cidadãos, pessoas privadas de liberdade, familiares e servidores(as) penais e a administração penitenciária;Prevê que a Ouvidoria pode solicitar informações e documentos e requisitar apuração às áreas competentes, com prazos definidos;</x:v>
      </x:c>
      <x:c r="M9" s="66" t="str">
        <x:v>Art. 6º, §1º, III; art. 10, II.</x:v>
      </x:c>
      <x:c r="N9" s="26" t="n">
        <x:f>IF(K9="Atende",3,IF(K9="Parcial",1.5,0))</x:f>
        <x:v>0</x:v>
      </x:c>
      <x:c r="O9" s="26" t="str"/>
      <x:c r="P9" s="57" t="str">
        <x:v>Há fluxo formalizado e efetivamente utilizado, contemplando, no mínimo, recebimento, registro, encaminhamento à área competente, acompanhamento da resposta e devolutiva ao(à) manifestante, quando aplicável</x:v>
      </x:c>
      <x:c r="Q9" s="66" t="str">
        <x:v>Art. 13, caput e incisos I a V.</x:v>
      </x:c>
      <x:c r="R9" s="26" t="n">
        <x:f>IF(O9="Atende",3,IF(O9="Parcial",1.5,0))</x:f>
        <x:v>0</x:v>
      </x:c>
      <x:c r="S9" s="26" t="str"/>
      <x:c r="T9" s="57" t="str">
        <x:v>Há prazos claros e registrados, com monitoramento das respostas das áreas e medidas adotadas em caso de descumprimento (cobrança, reencaminhamento, informação a instâncias superiores etc.)</x:v>
      </x:c>
      <x:c r="U9" s="66" t="str">
        <x:v>Art. 6º, §1º, IV; art. 10, II e IV; art. 13, IV e V.</x:v>
      </x:c>
      <x:c r="V9" s="26" t="n">
        <x:f>IF(S9="Atende",3,IF(S9="Parcial",1.5,0))</x:f>
        <x:v>0</x:v>
      </x:c>
      <x:c r="W9" s="26" t="n">
        <x:f>SUM(F9,J9,N9,R9,V9)</x:f>
        <x:v>0</x:v>
      </x:c>
      <x:c r="X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Vinculada diretamente ao Gabinete ou à autoridade máxima do órgão gestor do sistema penal</x:v>
      </x:c>
      <x:c r="E10" s="66" t="str">
        <x:v>Art. 4º, I; art. 6º, §1º, I.</x:v>
      </x:c>
      <x:c r="F10" s="26" t="n">
        <x:f>IF(C10="Atende",3,IF(C10="Parcial",1.5,0))</x:f>
        <x:v>0</x:v>
      </x:c>
      <x:c r="G10" s="26" t="str"/>
      <x:c r="H10" s="57" t="str">
        <x:v>Há ouvidor(a) designado(a) formalmente pela autoridade máxima do órgão gestor do sistema penal</x:v>
      </x:c>
      <x:c r="I10" s="66" t="str">
        <x:v>Art. 4º, I; art. 8º, caput.</x:v>
      </x:c>
      <x:c r="J10" s="26" t="n">
        <x:f>IF(G10="Atende",3,IF(G10="Parcial",1.5,0))</x:f>
        <x:v>0</x:v>
      </x:c>
      <x:c r="K10" s="26" t="str"/>
      <x:c r="L10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M10" s="66" t="str">
        <x:v>Art. 6º, §1º, III; art. 10, II.</x:v>
      </x:c>
      <x:c r="N10" s="26" t="n">
        <x:f>IF(K10="Atende",3,IF(K10="Parcial",1.5,0))</x:f>
        <x:v>0</x:v>
      </x:c>
      <x:c r="O10" s="26" t="str"/>
      <x:c r="P10" s="57" t="str">
        <x:v>Há fluxo formalizado e efetivamente utilizado, contemplando, no mínimo, recebimento, registro, encaminhamento à área competente, acompanhamento da resposta e devolutiva ao(à) manifestante, quando aplicável</x:v>
      </x:c>
      <x:c r="Q10" s="66" t="str">
        <x:v>Art. 13, caput e incisos I a V.</x:v>
      </x:c>
      <x:c r="R10" s="26" t="n">
        <x:f>IF(O10="Atende",3,IF(O10="Parcial",1.5,0))</x:f>
        <x:v>0</x:v>
      </x:c>
      <x:c r="S10" s="26" t="str"/>
      <x:c r="T10" s="57" t="str">
        <x:v>Há prazos claros e registrados, com monitoramento das respostas das áreas e medidas adotadas em caso de descumprimento (cobrança, reencaminhamento, informação a instâncias superiores etc.)</x:v>
      </x:c>
      <x:c r="U10" s="66" t="str">
        <x:v>Art. 6º, §1º, IV; art. 10, II e IV; art. 13, IV e V.</x:v>
      </x:c>
      <x:c r="V10" s="26" t="n">
        <x:f>IF(S10="Atende",3,IF(S10="Parcial",1.5,0))</x:f>
        <x:v>0</x:v>
      </x:c>
      <x:c r="W10" s="26" t="n">
        <x:f>SUM(F10,J10,N10,R10,V10)</x:f>
        <x:v>0</x:v>
      </x:c>
      <x:c r="X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Vinculada diretamente ao Gabinete ou à autoridade máxima do órgão gestor do sistema penal</x:v>
      </x:c>
      <x:c r="E11" s="66" t="str">
        <x:v>Art. 4º, I; art. 6º, §1º, I.</x:v>
      </x:c>
      <x:c r="F11" s="26" t="n">
        <x:f>IF(C11="Atende",3,IF(C11="Parcial",1.5,0))</x:f>
        <x:v>0</x:v>
      </x:c>
      <x:c r="G11" s="26" t="str"/>
      <x:c r="H11" s="57" t="str">
        <x:v>Há ouvidor(a) designado(a) formalmente pela autoridade máxima do órgão gestor do sistema penal</x:v>
      </x:c>
      <x:c r="I11" s="66" t="str">
        <x:v>Art. 4º, I; art. 8º, caput.</x:v>
      </x:c>
      <x:c r="J11" s="26" t="n">
        <x:f>IF(G11="Atende",3,IF(G11="Parcial",1.5,0))</x:f>
        <x:v>0</x:v>
      </x:c>
      <x:c r="K11" s="26" t="str"/>
      <x:c r="L11" s="57" t="str">
        <x:v>Indica a denominação da Ouvidoria de Serviços Penais e sua vinculação na estrutura organizacional do órgão;Define as competências básicas, compreendendo o recebimento, a análise, o encaminhamento e a resposta às manifestações;</x:v>
      </x:c>
      <x:c r="M11" s="66" t="str">
        <x:v>Art. 6º, §1º, III; art. 10, II.</x:v>
      </x:c>
      <x:c r="N11" s="26" t="n">
        <x:f>IF(K11="Atende",3,IF(K11="Parcial",1.5,0))</x:f>
        <x:v>0</x:v>
      </x:c>
      <x:c r="O11" s="26" t="str"/>
      <x:c r="P11" s="57" t="str">
        <x:v>Há fluxo formalizado e efetivamente utilizado, contemplando, no mínimo, recebimento, registro, encaminhamento à área competente, acompanhamento da resposta e devolutiva ao(à) manifestante, quando aplicável</x:v>
      </x:c>
      <x:c r="Q11" s="66" t="str">
        <x:v>Art. 13, caput e incisos I a V.</x:v>
      </x:c>
      <x:c r="R11" s="26" t="n">
        <x:f>IF(O11="Atende",3,IF(O11="Parcial",1.5,0))</x:f>
        <x:v>0</x:v>
      </x:c>
      <x:c r="S11" s="26" t="str"/>
      <x:c r="T11" s="57" t="str">
        <x:v>Há prazos claros e registrados, com monitoramento das respostas das áreas e medidas adotadas em caso de descumprimento (cobrança, reencaminhamento, informação a instâncias superiores etc.)</x:v>
      </x:c>
      <x:c r="U11" s="66" t="str">
        <x:v>Art. 6º, §1º, IV; art. 10, II e IV; art. 13, IV e V.</x:v>
      </x:c>
      <x:c r="V11" s="26" t="n">
        <x:f>IF(S11="Atende",3,IF(S11="Parcial",1.5,0))</x:f>
        <x:v>0</x:v>
      </x:c>
      <x:c r="W11" s="26" t="n">
        <x:f>SUM(F11,J11,N11,R11,V11)</x:f>
        <x:v>0</x:v>
      </x:c>
      <x:c r="X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Vinculada diretamente ao Gabinete ou à autoridade máxima do órgão gestor do sistema penal</x:v>
      </x:c>
      <x:c r="E12" s="66" t="str">
        <x:v>Art. 4º, I; art. 6º, §1º, I.</x:v>
      </x:c>
      <x:c r="F12" s="26" t="n">
        <x:f>IF(C12="Atende",3,IF(C12="Parcial",1.5,0))</x:f>
        <x:v>0</x:v>
      </x:c>
      <x:c r="G12" s="26" t="str"/>
      <x:c r="H12" s="57" t="str">
        <x:v>Há ouvidor(a) designado(a) formalmente pela autoridade máxima do órgão gestor do sistema penal</x:v>
      </x:c>
      <x:c r="I12" s="66" t="str">
        <x:v>Art. 4º, I; art. 8º, caput.</x:v>
      </x:c>
      <x:c r="J12" s="26" t="n">
        <x:f>IF(G12="Atende",3,IF(G12="Parcial",1.5,0))</x:f>
        <x:v>0</x:v>
      </x:c>
      <x:c r="K12" s="26" t="str"/>
      <x:c r="L12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M12" s="66" t="str">
        <x:v>Art. 6º, §1º, III; art. 10, II.</x:v>
      </x:c>
      <x:c r="N12" s="26" t="n">
        <x:f>IF(K12="Atende",3,IF(K12="Parcial",1.5,0))</x:f>
        <x:v>0</x:v>
      </x:c>
      <x:c r="O12" s="26" t="str"/>
      <x:c r="P12" s="57" t="str">
        <x:v>Há fluxo formalizado e efetivamente utilizado, contemplando, no mínimo, recebimento, registro, encaminhamento à área competente, acompanhamento da resposta e devolutiva ao(à) manifestante, quando aplicável</x:v>
      </x:c>
      <x:c r="Q12" s="66" t="str">
        <x:v>Art. 13, caput e incisos I a V.</x:v>
      </x:c>
      <x:c r="R12" s="26" t="n">
        <x:f>IF(O12="Atende",3,IF(O12="Parcial",1.5,0))</x:f>
        <x:v>0</x:v>
      </x:c>
      <x:c r="S12" s="26" t="str"/>
      <x:c r="T12" s="57" t="str">
        <x:v>Há prazos claros e registrados, com monitoramento das respostas das áreas e medidas adotadas em caso de descumprimento (cobrança, reencaminhamento, informação a instâncias superiores etc.)</x:v>
      </x:c>
      <x:c r="U12" s="66" t="str">
        <x:v>Art. 6º, §1º, IV; art. 10, II e IV; art. 13, IV e V.</x:v>
      </x:c>
      <x:c r="V12" s="26" t="n">
        <x:f>IF(S12="Atende",3,IF(S12="Parcial",1.5,0))</x:f>
        <x:v>0</x:v>
      </x:c>
      <x:c r="W12" s="26" t="n">
        <x:f>SUM(F12,J12,N12,R12,V12)</x:f>
        <x:v>0</x:v>
      </x:c>
      <x:c r="X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Vinculada diretamente ao Gabinete ou à autoridade máxima do órgão gestor do sistema penal</x:v>
      </x:c>
      <x:c r="E13" s="66" t="str">
        <x:v>Art. 4º, I; art. 6º, §1º, I.</x:v>
      </x:c>
      <x:c r="F13" s="26" t="n">
        <x:f>IF(C13="Atende",3,IF(C13="Parcial",1.5,0))</x:f>
        <x:v>0</x:v>
      </x:c>
      <x:c r="G13" s="26" t="str"/>
      <x:c r="H13" s="57" t="str">
        <x:v>Há ouvidor(a) designado(a) formalmente pela autoridade máxima do órgão gestor do sistema penal</x:v>
      </x:c>
      <x:c r="I13" s="66" t="str">
        <x:v>Art. 4º, I; art. 8º, caput.</x:v>
      </x:c>
      <x:c r="J13" s="26" t="n">
        <x:f>IF(G13="Atende",3,IF(G13="Parcial",1.5,0))</x:f>
        <x:v>0</x:v>
      </x:c>
      <x:c r="K13" s="26" t="str"/>
      <x:c r="L13" s="57" t="str">
        <x:v>Indica a denominação da Ouvidoria de Serviços Penais e sua vinculação na estrutura organizacional do órgão;</x:v>
      </x:c>
      <x:c r="M13" s="66" t="str">
        <x:v>Art. 6º, §1º, III; art. 10, II.</x:v>
      </x:c>
      <x:c r="N13" s="26" t="n">
        <x:f>IF(K13="Atende",3,IF(K13="Parcial",1.5,0))</x:f>
        <x:v>0</x:v>
      </x:c>
      <x:c r="O13" s="26" t="str"/>
      <x:c r="P13" s="57" t="str">
        <x:v>Há fluxo formalizado e efetivamente utilizado, contemplando, no mínimo, recebimento, registro, encaminhamento à área competente, acompanhamento da resposta e devolutiva ao(à) manifestante, quando aplicável</x:v>
      </x:c>
      <x:c r="Q13" s="66" t="str">
        <x:v>Art. 13, caput e incisos I a V.</x:v>
      </x:c>
      <x:c r="R13" s="26" t="n">
        <x:f>IF(O13="Atende",3,IF(O13="Parcial",1.5,0))</x:f>
        <x:v>0</x:v>
      </x:c>
      <x:c r="S13" s="26" t="str"/>
      <x:c r="T13" s="57" t="str">
        <x:v>Há prazos claros e registrados, com monitoramento das respostas das áreas e medidas adotadas em caso de descumprimento (cobrança, reencaminhamento, informação a instâncias superiores etc.)</x:v>
      </x:c>
      <x:c r="U13" s="66" t="str">
        <x:v>Art. 6º, §1º, IV; art. 10, II e IV; art. 13, IV e V.</x:v>
      </x:c>
      <x:c r="V13" s="26" t="n">
        <x:f>IF(S13="Atende",3,IF(S13="Parcial",1.5,0))</x:f>
        <x:v>0</x:v>
      </x:c>
      <x:c r="W13" s="26" t="n">
        <x:f>SUM(F13,J13,N13,R13,V13)</x:f>
        <x:v>0</x:v>
      </x:c>
      <x:c r="X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Vinculada diretamente ao Gabinete ou à autoridade máxima do órgão gestor do sistema penal</x:v>
      </x:c>
      <x:c r="E14" s="66" t="str">
        <x:v>Art. 4º, I; art. 6º, §1º, I.</x:v>
      </x:c>
      <x:c r="F14" s="26" t="n">
        <x:f>IF(C14="Atende",3,IF(C14="Parcial",1.5,0))</x:f>
        <x:v>0</x:v>
      </x:c>
      <x:c r="G14" s="26" t="str"/>
      <x:c r="H14" s="57" t="str">
        <x:v>Há ouvidor(a) designado(a) formalmente pela autoridade máxima do órgão gestor do sistema penal</x:v>
      </x:c>
      <x:c r="I14" s="66" t="str">
        <x:v>Art. 4º, I; art. 8º, caput.</x:v>
      </x:c>
      <x:c r="J14" s="26" t="n">
        <x:f>IF(G14="Atende",3,IF(G14="Parcial",1.5,0))</x:f>
        <x:v>0</x:v>
      </x:c>
      <x:c r="K14" s="26" t="str"/>
      <x:c r="L14" s="57" t="str">
        <x:v>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Ouvidoria;Define as competências básicas, compreendendo o recebimento, a análise, o encaminhamento e a resposta às manifestações;Garante a proteção da identidade do(a) manifestante e a confidencialidade das informações;Define mandato, regras de substituição e regras de confidencialidade aplicáveis ao(à) Ouvidor(a) e à equipe;Prevê que a resposta ao(à) manifestante deve ser prestada em linguagem clara, acessível e respeitosa;Indica a denominação da Ouvidoria de Serviços Penais e sua vinculação na estrutura organizacional do órgão;</x:v>
      </x:c>
      <x:c r="M14" s="66" t="str">
        <x:v>Art. 6º, §1º, III; art. 10, II.</x:v>
      </x:c>
      <x:c r="N14" s="26" t="n">
        <x:f>IF(K14="Atende",3,IF(K14="Parcial",1.5,0))</x:f>
        <x:v>0</x:v>
      </x:c>
      <x:c r="O14" s="26" t="str"/>
      <x:c r="P14" s="57" t="str">
        <x:v>Há fluxo formalizado e efetivamente utilizado, contemplando, no mínimo, recebimento, registro, encaminhamento à área competente, acompanhamento da resposta e devolutiva ao(à) manifestante, quando aplicável</x:v>
      </x:c>
      <x:c r="Q14" s="66" t="str">
        <x:v>Art. 13, caput e incisos I a V.</x:v>
      </x:c>
      <x:c r="R14" s="26" t="n">
        <x:f>IF(O14="Atende",3,IF(O14="Parcial",1.5,0))</x:f>
        <x:v>0</x:v>
      </x:c>
      <x:c r="S14" s="26" t="str"/>
      <x:c r="T14" s="57" t="str">
        <x:v>Há prazos claros e registrados, com monitoramento das respostas das áreas e medidas adotadas em caso de descumprimento (cobrança, reencaminhamento, informação a instâncias superiores etc.)</x:v>
      </x:c>
      <x:c r="U14" s="66" t="str">
        <x:v>Art. 6º, §1º, IV; art. 10, II e IV; art. 13, IV e V.</x:v>
      </x:c>
      <x:c r="V14" s="26" t="n">
        <x:f>IF(S14="Atende",3,IF(S14="Parcial",1.5,0))</x:f>
        <x:v>0</x:v>
      </x:c>
      <x:c r="W14" s="26" t="n">
        <x:f>SUM(F14,J14,N14,R14,V14)</x:f>
        <x:v>0</x:v>
      </x:c>
      <x:c r="X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Vinculada diretamente ao Gabinete ou à autoridade máxima do órgão gestor do sistema penal</x:v>
      </x:c>
      <x:c r="E15" s="66" t="str">
        <x:v>Art. 4º, I; art. 6º, §1º, I.</x:v>
      </x:c>
      <x:c r="F15" s="26" t="n">
        <x:f>IF(C15="Atende",3,IF(C15="Parcial",1.5,0))</x:f>
        <x:v>0</x:v>
      </x:c>
      <x:c r="G15" s="26" t="str"/>
      <x:c r="H15" s="57" t="str">
        <x:v>Há ouvidor(a) designado(a) formalmente pela autoridade máxima do órgão gestor do sistema penal</x:v>
      </x:c>
      <x:c r="I15" s="66" t="str">
        <x:v>Art. 4º, I; art. 8º, caput.</x:v>
      </x:c>
      <x:c r="J15" s="26" t="n">
        <x:f>IF(G15="Atende",3,IF(G15="Parcial",1.5,0))</x:f>
        <x:v>0</x:v>
      </x:c>
      <x:c r="K15" s="26" t="str"/>
      <x:c r="L15" s="57" t="str">
        <x:v>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respeitosa;Define as competências básicas, compreendendo o recebimento, a análise, o encaminhamento e a resposta às manifestações;Estabelece o dever de colaboração das áreas técnicas e administrativas do órgão com as demandas encaminhadas pela Ouvidoria;</x:v>
      </x:c>
      <x:c r="M15" s="66" t="str">
        <x:v>Art. 6º, §1º, III; art. 10, II.</x:v>
      </x:c>
      <x:c r="N15" s="26" t="n">
        <x:f>IF(K15="Atende",3,IF(K15="Parcial",1.5,0))</x:f>
        <x:v>0</x:v>
      </x:c>
      <x:c r="O15" s="26" t="str"/>
      <x:c r="P15" s="57" t="str">
        <x:v>Há fluxo formalizado e efetivamente utilizado, contemplando, no mínimo, recebimento, registro, encaminhamento à área competente, acompanhamento da resposta e devolutiva ao(à) manifestante, quando aplicável</x:v>
      </x:c>
      <x:c r="Q15" s="66" t="str">
        <x:v>Art. 13, caput e incisos I a V.</x:v>
      </x:c>
      <x:c r="R15" s="26" t="n">
        <x:f>IF(O15="Atende",3,IF(O15="Parcial",1.5,0))</x:f>
        <x:v>0</x:v>
      </x:c>
      <x:c r="S15" s="26" t="str"/>
      <x:c r="T15" s="57" t="str">
        <x:v>Há prazos claros e registrados, com monitoramento das respostas das áreas e medidas adotadas em caso de descumprimento (cobrança, reencaminhamento, informação a instâncias superiores etc.)</x:v>
      </x:c>
      <x:c r="U15" s="66" t="str">
        <x:v>Art. 6º, §1º, IV; art. 10, II e IV; art. 13, IV e V.</x:v>
      </x:c>
      <x:c r="V15" s="26" t="n">
        <x:f>IF(S15="Atende",3,IF(S15="Parcial",1.5,0))</x:f>
        <x:v>0</x:v>
      </x:c>
      <x:c r="W15" s="26" t="n">
        <x:f>SUM(F15,J15,N15,R15,V15)</x:f>
        <x:v>0</x:v>
      </x:c>
      <x:c r="X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Vinculada diretamente ao Gabinete ou à autoridade máxima do órgão gestor do sistema penal</x:v>
      </x:c>
      <x:c r="E16" s="66" t="str">
        <x:v>Art. 4º, I; art. 6º, §1º, I.</x:v>
      </x:c>
      <x:c r="F16" s="26" t="n">
        <x:f>IF(C16="Atende",3,IF(C16="Parcial",1.5,0))</x:f>
        <x:v>0</x:v>
      </x:c>
      <x:c r="G16" s="26" t="str"/>
      <x:c r="H16" s="57" t="str">
        <x:v>Há ouvidor(a) designado(a) formalmente pela autoridade máxima do órgão gestor do sistema penal</x:v>
      </x:c>
      <x:c r="I16" s="66" t="str">
        <x:v>Art. 4º, I; art. 8º, caput.</x:v>
      </x:c>
      <x:c r="J16" s="26" t="n">
        <x:f>IF(G16="Atende",3,IF(G16="Parcial",1.5,0))</x:f>
        <x:v>0</x:v>
      </x:c>
      <x:c r="K16" s="26" t="str"/>
      <x:c r="L16" s="57" t="str">
        <x:v>Define mandato, regras de substituição e regras de confidencialidade aplicáveis ao(à) Ouvidor(a) e à equipe;Enuncia a finalidade da Ouvidoria de Serviços Penais como instância permanente de interlocução entre cidadãos, pessoas privadas de liberdade, familiares e servidores(as) penais e a administração penitenciária;Prevê a elaboração e publicação de relatórios periódicos de atividades, com dados estatísticos e indicadores de desempenho;Determina que a Ouvidoria deve identificar padrões e tendências nas manifestações para elaborar diagnósticos e propor melhorias contínuas;Prevê que a resposta ao(à) manifestante deve ser prestada em linguagem clara, acessível e respeitosa;Garante a proteção da identidade do(a) manifestante e a confidencialidade das informações;Estabelece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</x:v>
      </x:c>
      <x:c r="M16" s="66" t="str">
        <x:v>Art. 6º, §1º, III; art. 10, II.</x:v>
      </x:c>
      <x:c r="N16" s="26" t="n">
        <x:f>IF(K16="Atende",3,IF(K16="Parcial",1.5,0))</x:f>
        <x:v>0</x:v>
      </x:c>
      <x:c r="O16" s="26" t="str"/>
      <x:c r="P16" s="57" t="str">
        <x:v>Há fluxo formalizado e efetivamente utilizado, contemplando, no mínimo, recebimento, registro, encaminhamento à área competente, acompanhamento da resposta e devolutiva ao(à) manifestante, quando aplicável</x:v>
      </x:c>
      <x:c r="Q16" s="66" t="str">
        <x:v>Art. 13, caput e incisos I a V.</x:v>
      </x:c>
      <x:c r="R16" s="26" t="n">
        <x:f>IF(O16="Atende",3,IF(O16="Parcial",1.5,0))</x:f>
        <x:v>0</x:v>
      </x:c>
      <x:c r="S16" s="26" t="str"/>
      <x:c r="T16" s="57" t="str">
        <x:v>Há prazos claros e registrados, com monitoramento das respostas das áreas e medidas adotadas em caso de descumprimento (cobrança, reencaminhamento, informação a instâncias superiores etc.)</x:v>
      </x:c>
      <x:c r="U16" s="66" t="str">
        <x:v>Art. 6º, §1º, IV; art. 10, II e IV; art. 13, IV e V.</x:v>
      </x:c>
      <x:c r="V16" s="26" t="n">
        <x:f>IF(S16="Atende",3,IF(S16="Parcial",1.5,0))</x:f>
        <x:v>0</x:v>
      </x:c>
      <x:c r="W16" s="26" t="n">
        <x:f>SUM(F16,J16,N16,R16,V16)</x:f>
        <x:v>0</x:v>
      </x:c>
      <x:c r="X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Vinculada diretamente ao Gabinete ou à autoridade máxima do órgão gestor do sistema penal</x:v>
      </x:c>
      <x:c r="E17" s="66" t="str">
        <x:v>Art. 4º, I; art. 6º, §1º, I.</x:v>
      </x:c>
      <x:c r="F17" s="26" t="n">
        <x:f>IF(C17="Atende",3,IF(C17="Parcial",1.5,0))</x:f>
        <x:v>0</x:v>
      </x:c>
      <x:c r="G17" s="26" t="str"/>
      <x:c r="H17" s="57" t="str">
        <x:v>Há ouvidor(a) designado(a) formalmente pela autoridade máxima do órgão gestor do sistema penal</x:v>
      </x:c>
      <x:c r="I17" s="66" t="str">
        <x:v>Art. 4º, I; art. 8º, caput.</x:v>
      </x:c>
      <x:c r="J17" s="26" t="n">
        <x:f>IF(G17="Atende",3,IF(G17="Parcial",1.5,0))</x:f>
        <x:v>0</x:v>
      </x:c>
      <x:c r="K17" s="26" t="str"/>
      <x:c r="L17" s="57" t="str">
        <x:v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Ouvidoria;Enuncia a finalidade da Ouvidoria de Serviços Penais como instância permanente de interlocução entre cidadãos, pessoas privadas de liberdade, familiares e servidores(as) penais e a administração penitenciária;Determina que a Ouvidoria deve identificar padrões e tendências nas manifestações para elaborar diagnósticos e propor melhorias contínuas;Prevê que a Ouvidoria pode solicitar informações e documentos e requisitar apuração às áreas competentes, com prazos definidos;Especifica, entre o público atendido, cidadãos, servidores(as), pessoas privadas de liberdade e seus familiares;</x:v>
      </x:c>
      <x:c r="M17" s="66" t="str">
        <x:v>Art. 6º, §1º, III; art. 10, II.</x:v>
      </x:c>
      <x:c r="N17" s="26" t="n">
        <x:f>IF(K17="Atende",3,IF(K17="Parcial",1.5,0))</x:f>
        <x:v>0</x:v>
      </x:c>
      <x:c r="O17" s="26" t="str"/>
      <x:c r="P17" s="57" t="str">
        <x:v>Há fluxo formalizado e efetivamente utilizado, contemplando, no mínimo, recebimento, registro, encaminhamento à área competente, acompanhamento da resposta e devolutiva ao(à) manifestante, quando aplicável</x:v>
      </x:c>
      <x:c r="Q17" s="66" t="str">
        <x:v>Art. 13, caput e incisos I a V.</x:v>
      </x:c>
      <x:c r="R17" s="26" t="n">
        <x:f>IF(O17="Atende",3,IF(O17="Parcial",1.5,0))</x:f>
        <x:v>0</x:v>
      </x:c>
      <x:c r="S17" s="26" t="str"/>
      <x:c r="T17" s="57" t="str">
        <x:v>Há prazos claros e registrados, com monitoramento das respostas das áreas e medidas adotadas em caso de descumprimento (cobrança, reencaminhamento, informação a instâncias superiores etc.)</x:v>
      </x:c>
      <x:c r="U17" s="66" t="str">
        <x:v>Art. 6º, §1º, IV; art. 10, II e IV; art. 13, IV e V.</x:v>
      </x:c>
      <x:c r="V17" s="26" t="n">
        <x:f>IF(S17="Atende",3,IF(S17="Parcial",1.5,0))</x:f>
        <x:v>0</x:v>
      </x:c>
      <x:c r="W17" s="26" t="n">
        <x:f>SUM(F17,J17,N17,R17,V17)</x:f>
        <x:v>0</x:v>
      </x:c>
      <x:c r="X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Vinculada diretamente ao Gabinete ou à autoridade máxima do órgão gestor do sistema penal</x:v>
      </x:c>
      <x:c r="E18" s="66" t="str">
        <x:v>Art. 4º, I; art. 6º, §1º, I.</x:v>
      </x:c>
      <x:c r="F18" s="26" t="n">
        <x:f>IF(C18="Atende",3,IF(C18="Parcial",1.5,0))</x:f>
        <x:v>0</x:v>
      </x:c>
      <x:c r="G18" s="26" t="str"/>
      <x:c r="H18" s="57" t="str">
        <x:v>Há ouvidor(a) designado(a) formalmente pela autoridade máxima do órgão gestor do sistema penal</x:v>
      </x:c>
      <x:c r="I18" s="66" t="str">
        <x:v>Art. 4º, I; art. 8º, caput.</x:v>
      </x:c>
      <x:c r="J18" s="26" t="n">
        <x:f>IF(G18="Atende",3,IF(G18="Parcial",1.5,0))</x:f>
        <x:v>0</x:v>
      </x:c>
      <x:c r="K18" s="26" t="str"/>
      <x:c r="L18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equipe;Prevê que a Ouvidoria pode solicitar informações e documentos e requisitar apuração às áreas competentes, com prazos definidos;</x:v>
      </x:c>
      <x:c r="M18" s="66" t="str">
        <x:v>Art. 6º, §1º, III; art. 10, II.</x:v>
      </x:c>
      <x:c r="N18" s="26" t="n">
        <x:f>IF(K18="Atende",3,IF(K18="Parcial",1.5,0))</x:f>
        <x:v>0</x:v>
      </x:c>
      <x:c r="O18" s="26" t="str"/>
      <x:c r="P18" s="57" t="str">
        <x:v>Há fluxo formalizado e efetivamente utilizado, contemplando, no mínimo, recebimento, registro, encaminhamento à área competente, acompanhamento da resposta e devolutiva ao(à) manifestante, quando aplicável</x:v>
      </x:c>
      <x:c r="Q18" s="66" t="str">
        <x:v>Art. 13, caput e incisos I a V.</x:v>
      </x:c>
      <x:c r="R18" s="26" t="n">
        <x:f>IF(O18="Atende",3,IF(O18="Parcial",1.5,0))</x:f>
        <x:v>0</x:v>
      </x:c>
      <x:c r="S18" s="26" t="str"/>
      <x:c r="T18" s="57" t="str">
        <x:v>Há prazos claros e registrados, com monitoramento das respostas das áreas e medidas adotadas em caso de descumprimento (cobrança, reencaminhamento, informação a instâncias superiores etc.)</x:v>
      </x:c>
      <x:c r="U18" s="66" t="str">
        <x:v>Art. 6º, §1º, IV; art. 10, II e IV; art. 13, IV e V.</x:v>
      </x:c>
      <x:c r="V18" s="26" t="n">
        <x:f>IF(S18="Atende",3,IF(S18="Parcial",1.5,0))</x:f>
        <x:v>0</x:v>
      </x:c>
      <x:c r="W18" s="26" t="n">
        <x:f>SUM(F18,J18,N18,R18,V18)</x:f>
        <x:v>0</x:v>
      </x:c>
      <x:c r="X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Vinculada diretamente ao Gabinete ou à autoridade máxima do órgão gestor do sistema penal</x:v>
      </x:c>
      <x:c r="E19" s="66" t="str">
        <x:v>Art. 4º, I; art. 6º, §1º, I.</x:v>
      </x:c>
      <x:c r="F19" s="26" t="n">
        <x:f>IF(C19="Atende",3,IF(C19="Parcial",1.5,0))</x:f>
        <x:v>0</x:v>
      </x:c>
      <x:c r="G19" s="26" t="str"/>
      <x:c r="H19" s="57" t="str">
        <x:v>Há ouvidor(a) designado(a) formalmente pela autoridade máxima do órgão gestor do sistema penal</x:v>
      </x:c>
      <x:c r="I19" s="66" t="str">
        <x:v>Art. 4º, I; art. 8º, caput.</x:v>
      </x:c>
      <x:c r="J19" s="26" t="n">
        <x:f>IF(G19="Atende",3,IF(G19="Parcial",1.5,0))</x:f>
        <x:v>0</x:v>
      </x:c>
      <x:c r="K19" s="26" t="str"/>
      <x:c r="L19" s="57" t="str">
        <x:v>Não há normativa;</x:v>
      </x:c>
      <x:c r="M19" s="66" t="str">
        <x:v>Art. 6º, §1º, III; art. 10, II.</x:v>
      </x:c>
      <x:c r="N19" s="26" t="n">
        <x:f>IF(K19="Atende",3,IF(K19="Parcial",1.5,0))</x:f>
        <x:v>0</x:v>
      </x:c>
      <x:c r="O19" s="26" t="str"/>
      <x:c r="P19" s="57" t="str">
        <x:v>Há fluxo formalizado e efetivamente utilizado, contemplando, no mínimo, recebimento, registro, encaminhamento à área competente, acompanhamento da resposta e devolutiva ao(à) manifestante, quando aplicável</x:v>
      </x:c>
      <x:c r="Q19" s="66" t="str">
        <x:v>Art. 13, caput e incisos I a V.</x:v>
      </x:c>
      <x:c r="R19" s="26" t="n">
        <x:f>IF(O19="Atende",3,IF(O19="Parcial",1.5,0))</x:f>
        <x:v>0</x:v>
      </x:c>
      <x:c r="S19" s="26" t="str"/>
      <x:c r="T19" s="57" t="str">
        <x:v>Há prazos claros e registrados, com monitoramento das respostas das áreas e medidas adotadas em caso de descumprimento (cobrança, reencaminhamento, informação a instâncias superiores etc.)</x:v>
      </x:c>
      <x:c r="U19" s="66" t="str">
        <x:v>Art. 6º, §1º, IV; art. 10, II e IV; art. 13, IV e V.</x:v>
      </x:c>
      <x:c r="V19" s="26" t="n">
        <x:f>IF(S19="Atende",3,IF(S19="Parcial",1.5,0))</x:f>
        <x:v>0</x:v>
      </x:c>
      <x:c r="W19" s="26" t="n">
        <x:f>SUM(F19,J19,N19,R19,V19)</x:f>
        <x:v>0</x:v>
      </x:c>
      <x:c r="X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A Ouvidoria do Sistema Penitenciário e Socieducativo é uma das 10 ouvidorias temáticas integrantes da estrutura da Ouvidoria-Geral do Estado de Minas Gerais (OGE/MG), órgão autônomo subordinado ao Governador do Estado.</x:v>
      </x:c>
      <x:c r="E20" s="66" t="str">
        <x:v>Art. 4º, I; art. 6º, §1º, I.</x:v>
      </x:c>
      <x:c r="F20" s="26" t="n">
        <x:f>IF(C20="Atende",3,IF(C20="Parcial",1.5,0))</x:f>
        <x:v>0</x:v>
      </x:c>
      <x:c r="G20" s="26" t="str"/>
      <x:c r="H20" s="57" t="str">
        <x:v>O cargo de Ouvidor do Sistema Penitenciário e Socioeducativo é provido por ato do Governador do Estado.</x:v>
      </x:c>
      <x:c r="I20" s="66" t="str">
        <x:v>Art. 4º, I; art. 8º, caput.</x:v>
      </x:c>
      <x:c r="J20" s="26" t="n">
        <x:f>IF(G20="Atende",3,IF(G20="Parcial",1.5,0))</x:f>
        <x:v>0</x:v>
      </x:c>
      <x:c r="K20" s="26" t="str"/>
      <x:c r="L20" s="57" t="str">
        <x:v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M20" s="66" t="str">
        <x:v>Art. 6º, §1º, III; art. 10, II.</x:v>
      </x:c>
      <x:c r="N20" s="26" t="n">
        <x:f>IF(K20="Atende",3,IF(K20="Parcial",1.5,0))</x:f>
        <x:v>0</x:v>
      </x:c>
      <x:c r="O20" s="26" t="str"/>
      <x:c r="P20" s="57" t="str">
        <x:v>Há fluxo formalizado e efetivamente utilizado, contemplando, no mínimo, recebimento, registro, encaminhamento à área competente, acompanhamento da resposta e devolutiva ao(à) manifestante, quando aplicável</x:v>
      </x:c>
      <x:c r="Q20" s="66" t="str">
        <x:v>Art. 13, caput e incisos I a V.</x:v>
      </x:c>
      <x:c r="R20" s="26" t="n">
        <x:f>IF(O20="Atende",3,IF(O20="Parcial",1.5,0))</x:f>
        <x:v>0</x:v>
      </x:c>
      <x:c r="S20" s="26" t="str"/>
      <x:c r="T20" s="57" t="str">
        <x:v>Há prazos claros e registrados, com monitoramento das respostas das áreas e medidas adotadas em caso de descumprimento (cobrança, reencaminhamento, informação a instâncias superiores etc.)</x:v>
      </x:c>
      <x:c r="U20" s="66" t="str">
        <x:v>Art. 6º, §1º, IV; art. 10, II e IV; art. 13, IV e V.</x:v>
      </x:c>
      <x:c r="V20" s="26" t="n">
        <x:f>IF(S20="Atende",3,IF(S20="Parcial",1.5,0))</x:f>
        <x:v>0</x:v>
      </x:c>
      <x:c r="W20" s="26" t="n">
        <x:f>SUM(F20,J20,N20,R20,V20)</x:f>
        <x:v>0</x:v>
      </x:c>
      <x:c r="X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Não se aplica (não há ouvidoria própria prevista)</x:v>
      </x:c>
      <x:c r="E21" s="66" t="str">
        <x:v>Art. 4º, I; art. 6º, §1º, I.</x:v>
      </x:c>
      <x:c r="F21" s="26" t="n">
        <x:f>IF(C21="Atende",3,IF(C21="Parcial",1.5,0))</x:f>
        <x:v>0</x:v>
      </x:c>
      <x:c r="G21" s="26" t="str"/>
      <x:c r="H21" s="57" t="str">
        <x:v>Há ponto focal informal, sem designação formal</x:v>
      </x:c>
      <x:c r="I21" s="66" t="str">
        <x:v>Art. 4º, I; art. 8º, caput.</x:v>
      </x:c>
      <x:c r="J21" s="26" t="n">
        <x:f>IF(G21="Atende",3,IF(G21="Parcial",1.5,0))</x:f>
        <x:v>0</x:v>
      </x:c>
      <x:c r="K21" s="26" t="str"/>
      <x:c r="L21" s="57" t="str">
        <x:v>Não há Ouvidoria constituída na Secretaria;</x:v>
      </x:c>
      <x:c r="M21" s="66" t="str">
        <x:v>Art. 6º, §1º, III; art. 10, II.</x:v>
      </x:c>
      <x:c r="N21" s="26" t="n">
        <x:f>IF(K21="Atende",3,IF(K21="Parcial",1.5,0))</x:f>
        <x:v>0</x:v>
      </x:c>
      <x:c r="O21" s="26" t="str"/>
      <x:c r="P21" s="57" t="str">
        <x:v>Não há Ouvidoria consituída</x:v>
      </x:c>
      <x:c r="Q21" s="66" t="str">
        <x:v>Art. 13, caput e incisos I a V.</x:v>
      </x:c>
      <x:c r="R21" s="26" t="n">
        <x:f>IF(O21="Atende",3,IF(O21="Parcial",1.5,0))</x:f>
        <x:v>0</x:v>
      </x:c>
      <x:c r="S21" s="26" t="str"/>
      <x:c r="T21" s="57" t="str">
        <x:v>Não há Ouvidoria consituída</x:v>
      </x:c>
      <x:c r="U21" s="66" t="str">
        <x:v>Art. 6º, §1º, IV; art. 10, II e IV; art. 13, IV e V.</x:v>
      </x:c>
      <x:c r="V21" s="26" t="n">
        <x:f>IF(S21="Atende",3,IF(S21="Parcial",1.5,0))</x:f>
        <x:v>0</x:v>
      </x:c>
      <x:c r="W21" s="26" t="n">
        <x:f>SUM(F21,J21,N21,R21,V21)</x:f>
        <x:v>0</x:v>
      </x:c>
      <x:c r="X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Vinculada diretamente ao Gabinete ou à autoridade máxima do órgão gestor do sistema penal</x:v>
      </x:c>
      <x:c r="E22" s="66" t="str">
        <x:v>Art. 4º, I; art. 6º, §1º, I.</x:v>
      </x:c>
      <x:c r="F22" s="26" t="n">
        <x:f>IF(C22="Atende",3,IF(C22="Parcial",1.5,0))</x:f>
        <x:v>0</x:v>
      </x:c>
      <x:c r="G22" s="26" t="str"/>
      <x:c r="H22" s="57" t="str">
        <x:v>Há ouvidor(a) designado(a) formalmente pela autoridade máxima do órgão gestor do sistema penal</x:v>
      </x:c>
      <x:c r="I22" s="66" t="str">
        <x:v>Art. 4º, I; art. 8º, caput.</x:v>
      </x:c>
      <x:c r="J22" s="26" t="n">
        <x:f>IF(G22="Atende",3,IF(G22="Parcial",1.5,0))</x:f>
        <x:v>0</x:v>
      </x:c>
      <x:c r="K22" s="26" t="str"/>
      <x:c r="L22" s="57" t="str">
        <x:v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Ouvidoria;Define mandato, regras de substituição e regras de confidencialidade aplicáveis ao(à) Ouvidor(a) e à equipe;</x:v>
      </x:c>
      <x:c r="M22" s="66" t="str">
        <x:v>Art. 6º, §1º, III; art. 10, II.</x:v>
      </x:c>
      <x:c r="N22" s="26" t="n">
        <x:f>IF(K22="Atende",3,IF(K22="Parcial",1.5,0))</x:f>
        <x:v>0</x:v>
      </x:c>
      <x:c r="O22" s="26" t="str"/>
      <x:c r="P22" s="57" t="str">
        <x:v>Há fluxo formalizado e efetivamente utilizado, contemplando, no mínimo, recebimento, registro, encaminhamento à área competente, acompanhamento da resposta e devolutiva ao(à) manifestante, quando aplicável</x:v>
      </x:c>
      <x:c r="Q22" s="66" t="str">
        <x:v>Art. 13, caput e incisos I a V.</x:v>
      </x:c>
      <x:c r="R22" s="26" t="n">
        <x:f>IF(O22="Atende",3,IF(O22="Parcial",1.5,0))</x:f>
        <x:v>0</x:v>
      </x:c>
      <x:c r="S22" s="26" t="str"/>
      <x:c r="T22" s="57" t="str">
        <x:v>Há prazos claros e registrados, com monitoramento das respostas das áreas e medidas adotadas em caso de descumprimento (cobrança, reencaminhamento, informação a instâncias superiores etc.)</x:v>
      </x:c>
      <x:c r="U22" s="66" t="str">
        <x:v>Art. 6º, §1º, IV; art. 10, II e IV; art. 13, IV e V.</x:v>
      </x:c>
      <x:c r="V22" s="26" t="n">
        <x:f>IF(S22="Atende",3,IF(S22="Parcial",1.5,0))</x:f>
        <x:v>0</x:v>
      </x:c>
      <x:c r="W22" s="26" t="n">
        <x:f>SUM(F22,J22,N22,R22,V22)</x:f>
        <x:v>0</x:v>
      </x:c>
      <x:c r="X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Vinculada diretamente ao Gabinete ou à autoridade máxima do órgão gestor do sistema penal</x:v>
      </x:c>
      <x:c r="E23" s="66" t="str">
        <x:v>Art. 4º, I; art. 6º, §1º, I.</x:v>
      </x:c>
      <x:c r="F23" s="26" t="n">
        <x:f>IF(C23="Atende",3,IF(C23="Parcial",1.5,0))</x:f>
        <x:v>0</x:v>
      </x:c>
      <x:c r="G23" s="26" t="str"/>
      <x:c r="H23" s="57" t="str">
        <x:v>Há ouvidor(a) designado(a) formalmente pela autoridade máxima do órgão gestor do sistema penal</x:v>
      </x:c>
      <x:c r="I23" s="66" t="str">
        <x:v>Art. 4º, I; art. 8º, caput.</x:v>
      </x:c>
      <x:c r="J23" s="26" t="n">
        <x:f>IF(G23="Atende",3,IF(G23="Parcial",1.5,0))</x:f>
        <x:v>0</x:v>
      </x:c>
      <x:c r="K23" s="26" t="str"/>
      <x:c r="L23" s="57" t="str">
        <x:v>Não há normativa;</x:v>
      </x:c>
      <x:c r="M23" s="66" t="str">
        <x:v>Art. 6º, §1º, III; art. 10, II.</x:v>
      </x:c>
      <x:c r="N23" s="26" t="n">
        <x:f>IF(K23="Atende",3,IF(K23="Parcial",1.5,0))</x:f>
        <x:v>0</x:v>
      </x:c>
      <x:c r="O23" s="26" t="str"/>
      <x:c r="P23" s="57" t="str">
        <x:v>Há fluxo formalizado e efetivamente utilizado, contemplando, no mínimo, recebimento, registro, encaminhamento à área competente, acompanhamento da resposta e devolutiva ao(à) manifestante, quando aplicável</x:v>
      </x:c>
      <x:c r="Q23" s="66" t="str">
        <x:v>Art. 13, caput e incisos I a V.</x:v>
      </x:c>
      <x:c r="R23" s="26" t="n">
        <x:f>IF(O23="Atende",3,IF(O23="Parcial",1.5,0))</x:f>
        <x:v>0</x:v>
      </x:c>
      <x:c r="S23" s="26" t="str"/>
      <x:c r="T23" s="57" t="str">
        <x:v>Há prazos claros e registrados, com monitoramento das respostas das áreas e medidas adotadas em caso de descumprimento (cobrança, reencaminhamento, informação a instâncias superiores etc.)</x:v>
      </x:c>
      <x:c r="U23" s="66" t="str">
        <x:v>Art. 6º, §1º, IV; art. 10, II e IV; art. 13, IV e V.</x:v>
      </x:c>
      <x:c r="V23" s="26" t="n">
        <x:f>IF(S23="Atende",3,IF(S23="Parcial",1.5,0))</x:f>
        <x:v>0</x:v>
      </x:c>
      <x:c r="W23" s="26" t="n">
        <x:f>SUM(F23,J23,N23,R23,V23)</x:f>
        <x:v>0</x:v>
      </x:c>
      <x:c r="X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Vinculada diretamente ao Gabinete ou à autoridade máxima do órgão gestor do sistema penal</x:v>
      </x:c>
      <x:c r="E24" s="66" t="str">
        <x:v>Art. 4º, I; art. 6º, §1º, I.</x:v>
      </x:c>
      <x:c r="F24" s="26" t="n">
        <x:f>IF(C24="Atende",3,IF(C24="Parcial",1.5,0))</x:f>
        <x:v>0</x:v>
      </x:c>
      <x:c r="G24" s="26" t="str"/>
      <x:c r="H24" s="57" t="str">
        <x:v>Há ouvidor(a) designado(a) formalmente pela autoridade máxima do órgão gestor do sistema penal</x:v>
      </x:c>
      <x:c r="I24" s="66" t="str">
        <x:v>Art. 4º, I; art. 8º, caput.</x:v>
      </x:c>
      <x:c r="J24" s="26" t="n">
        <x:f>IF(G24="Atende",3,IF(G24="Parcial",1.5,0))</x:f>
        <x:v>0</x:v>
      </x:c>
      <x:c r="K24" s="26" t="str"/>
      <x:c r="L24" s="57" t="str">
        <x:v>Não há normativa;</x:v>
      </x:c>
      <x:c r="M24" s="66" t="str">
        <x:v>Art. 6º, §1º, III; art. 10, II.</x:v>
      </x:c>
      <x:c r="N24" s="26" t="n">
        <x:f>IF(K24="Atende",3,IF(K24="Parcial",1.5,0))</x:f>
        <x:v>0</x:v>
      </x:c>
      <x:c r="O24" s="26" t="str"/>
      <x:c r="P24" s="57" t="str">
        <x:v>Há fluxo formalizado e efetivamente utilizado, contemplando, no mínimo, recebimento, registro, encaminhamento à área competente, acompanhamento da resposta e devolutiva ao(à) manifestante, quando aplicável</x:v>
      </x:c>
      <x:c r="Q24" s="66" t="str">
        <x:v>Art. 13, caput e incisos I a V.</x:v>
      </x:c>
      <x:c r="R24" s="26" t="n">
        <x:f>IF(O24="Atende",3,IF(O24="Parcial",1.5,0))</x:f>
        <x:v>0</x:v>
      </x:c>
      <x:c r="S24" s="26" t="str"/>
      <x:c r="T24" s="57" t="str">
        <x:v>Há prazos claros e registrados, com monitoramento das respostas das áreas e medidas adotadas em caso de descumprimento (cobrança, reencaminhamento, informação a instâncias superiores etc.)</x:v>
      </x:c>
      <x:c r="U24" s="66" t="str">
        <x:v>Art. 6º, §1º, IV; art. 10, II e IV; art. 13, IV e V.</x:v>
      </x:c>
      <x:c r="V24" s="26" t="n">
        <x:f>IF(S24="Atende",3,IF(S24="Parcial",1.5,0))</x:f>
        <x:v>0</x:v>
      </x:c>
      <x:c r="W24" s="26" t="n">
        <x:f>SUM(F24,J24,N24,R24,V24)</x:f>
        <x:v>0</x:v>
      </x:c>
      <x:c r="X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Vinculada a área operacional (diretoria, coordenação de unidade, etc.)</x:v>
      </x:c>
      <x:c r="E25" s="66" t="str">
        <x:v>Art. 4º, I; art. 6º, §1º, I.</x:v>
      </x:c>
      <x:c r="F25" s="26" t="n">
        <x:f>IF(C25="Atende",3,IF(C25="Parcial",1.5,0))</x:f>
        <x:v>0</x:v>
      </x:c>
      <x:c r="G25" s="26" t="str"/>
      <x:c r="H25" s="57" t="str">
        <x:v>Há ouvidor(a) designado(a) formalmente pela autoridade máxima do órgão gestor do sistema penal</x:v>
      </x:c>
      <x:c r="I25" s="66" t="str">
        <x:v>Art. 4º, I; art. 8º, caput.</x:v>
      </x:c>
      <x:c r="J25" s="26" t="n">
        <x:f>IF(G25="Atende",3,IF(G25="Parcial",1.5,0))</x:f>
        <x:v>0</x:v>
      </x:c>
      <x:c r="K25" s="26" t="str"/>
      <x:c r="L25" s="57" t="str">
        <x:v>Especifica, entre o público atendido, cidadãos, servidores(as), pessoas privadas de liberdade e seus familiares;Indica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definidos;Prevê a elaboração e publicação de relatórios periódicos de atividades, com dados estatísticos e indicadores de desempenho;Garante a proteção da identidade do(a) manifestante e a confidencialidade das informações;</x:v>
      </x:c>
      <x:c r="M25" s="66" t="str">
        <x:v>Art. 6º, §1º, III; art. 10, II.</x:v>
      </x:c>
      <x:c r="N25" s="26" t="n">
        <x:f>IF(K25="Atende",3,IF(K25="Parcial",1.5,0))</x:f>
        <x:v>0</x:v>
      </x:c>
      <x:c r="O25" s="26" t="str"/>
      <x:c r="P25" s="57" t="str">
        <x:v>Há fluxo formalizado e efetivamente utilizado, contemplando, no mínimo, recebimento, registro, encaminhamento à área competente, acompanhamento da resposta e devolutiva ao(à) manifestante, quando aplicável</x:v>
      </x:c>
      <x:c r="Q25" s="66" t="str">
        <x:v>Art. 13, caput e incisos I a V.</x:v>
      </x:c>
      <x:c r="R25" s="26" t="n">
        <x:f>IF(O25="Atende",3,IF(O25="Parcial",1.5,0))</x:f>
        <x:v>0</x:v>
      </x:c>
      <x:c r="S25" s="26" t="str"/>
      <x:c r="T25" s="57" t="str">
        <x:v>Há prazos claros e registrados, com monitoramento das respostas das áreas e medidas adotadas em caso de descumprimento (cobrança, reencaminhamento, informação a instâncias superiores etc.)</x:v>
      </x:c>
      <x:c r="U25" s="66" t="str">
        <x:v>Art. 6º, §1º, IV; art. 10, II e IV; art. 13, IV e V.</x:v>
      </x:c>
      <x:c r="V25" s="26" t="n">
        <x:f>IF(S25="Atende",3,IF(S25="Parcial",1.5,0))</x:f>
        <x:v>0</x:v>
      </x:c>
      <x:c r="W25" s="26" t="n">
        <x:f>SUM(F25,J25,N25,R25,V25)</x:f>
        <x:v>0</x:v>
      </x:c>
      <x:c r="X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Vinculada diretamente ao Gabinete ou à autoridade máxima do órgão gestor do sistema penal</x:v>
      </x:c>
      <x:c r="E26" s="66" t="str">
        <x:v>Art. 4º, I; art. 6º, §1º, I.</x:v>
      </x:c>
      <x:c r="F26" s="26" t="n">
        <x:f>IF(C26="Atende",3,IF(C26="Parcial",1.5,0))</x:f>
        <x:v>0</x:v>
      </x:c>
      <x:c r="G26" s="26" t="str"/>
      <x:c r="H26" s="57" t="str">
        <x:v>Há ouvidor(a) designado(a) formalmente pela autoridade máxima do órgão gestor do sistema penal</x:v>
      </x:c>
      <x:c r="I26" s="66" t="str">
        <x:v>Art. 4º, I; art. 8º, caput.</x:v>
      </x:c>
      <x:c r="J26" s="26" t="n">
        <x:f>IF(G26="Atende",3,IF(G26="Parcial",1.5,0))</x:f>
        <x:v>0</x:v>
      </x:c>
      <x:c r="K26" s="26" t="str"/>
      <x:c r="L26" s="57" t="str">
        <x:v>Indica a denominação da Ouvidoria de Serviços Penais e sua vinculação na estrutura organizacional do órgão;Define as competências básicas, compreendendo o recebimento, a análise, o encaminhamento e a resposta às manifestações;Prevê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M26" s="66" t="str">
        <x:v>Art. 6º, §1º, III; art. 10, II.</x:v>
      </x:c>
      <x:c r="N26" s="26" t="n">
        <x:f>IF(K26="Atende",3,IF(K26="Parcial",1.5,0))</x:f>
        <x:v>0</x:v>
      </x:c>
      <x:c r="O26" s="26" t="str"/>
      <x:c r="P26" s="57" t="str">
        <x:v>Há fluxo informal (cada caso é tratado de forma diferente, sem padronização)</x:v>
      </x:c>
      <x:c r="Q26" s="66" t="str">
        <x:v>Art. 13, caput e incisos I a V.</x:v>
      </x:c>
      <x:c r="R26" s="26" t="n">
        <x:f>IF(O26="Atende",3,IF(O26="Parcial",1.5,0))</x:f>
        <x:v>0</x:v>
      </x:c>
      <x:c r="S26" s="26" t="str"/>
      <x:c r="T26" s="57" t="str">
        <x:v>Há prazos claros e registrados, com monitoramento das respostas das áreas e medidas adotadas em caso de descumprimento (cobrança, reencaminhamento, informação a instâncias superiores etc.)</x:v>
      </x:c>
      <x:c r="U26" s="66" t="str">
        <x:v>Art. 6º, §1º, IV; art. 10, II e IV; art. 13, IV e V.</x:v>
      </x:c>
      <x:c r="V26" s="26" t="n">
        <x:f>IF(S26="Atende",3,IF(S26="Parcial",1.5,0))</x:f>
        <x:v>0</x:v>
      </x:c>
      <x:c r="W26" s="26" t="n">
        <x:f>SUM(F26,J26,N26,R26,V26)</x:f>
        <x:v>0</x:v>
      </x:c>
      <x:c r="X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Vinculada diretamente ao Gabinete ou à autoridade máxima do órgão gestor do sistema penal</x:v>
      </x:c>
      <x:c r="E27" s="66" t="str">
        <x:v>Art. 4º, I; art. 6º, §1º, I.</x:v>
      </x:c>
      <x:c r="F27" s="26" t="n">
        <x:f>IF(C27="Atende",3,IF(C27="Parcial",1.5,0))</x:f>
        <x:v>0</x:v>
      </x:c>
      <x:c r="G27" s="26" t="str"/>
      <x:c r="H27" s="57" t="str">
        <x:v>Há ouvidor(a) designado(a) formalmente pela autoridade máxima do órgão gestor do sistema penal</x:v>
      </x:c>
      <x:c r="I27" s="66" t="str">
        <x:v>Art. 4º, I; art. 8º, caput.</x:v>
      </x:c>
      <x:c r="J27" s="26" t="n">
        <x:f>IF(G27="Atende",3,IF(G27="Parcial",1.5,0))</x:f>
        <x:v>0</x:v>
      </x:c>
      <x:c r="K27" s="26" t="str"/>
      <x:c r="L27" s="57" t="str">
        <x:v>Indica a denominação da Ouvidoria de Serviços Penais e sua vinculação na estrutura organizacional do órgão;Define as competências básicas, compreendendo o recebimento, a análise, o encaminhamento e a resposta às manifestações;</x:v>
      </x:c>
      <x:c r="M27" s="66" t="str">
        <x:v>Art. 6º, §1º, III; art. 10, II.</x:v>
      </x:c>
      <x:c r="N27" s="26" t="n">
        <x:f>IF(K27="Atende",3,IF(K27="Parcial",1.5,0))</x:f>
        <x:v>0</x:v>
      </x:c>
      <x:c r="O27" s="26" t="str"/>
      <x:c r="P27" s="57" t="str">
        <x:v>Há fluxo formalizado e efetivamente utilizado, contemplando, no mínimo, recebimento, registro, encaminhamento à área competente, acompanhamento da resposta e devolutiva ao(à) manifestante, quando aplicável</x:v>
      </x:c>
      <x:c r="Q27" s="66" t="str">
        <x:v>Art. 13, caput e incisos I a V.</x:v>
      </x:c>
      <x:c r="R27" s="26" t="n">
        <x:f>IF(O27="Atende",3,IF(O27="Parcial",1.5,0))</x:f>
        <x:v>0</x:v>
      </x:c>
      <x:c r="S27" s="26" t="str"/>
      <x:c r="T27" s="57" t="str">
        <x:v>Há prazos claros e registrados, com monitoramento das respostas das áreas e medidas adotadas em caso de descumprimento (cobrança, reencaminhamento, informação a instâncias superiores etc.)</x:v>
      </x:c>
      <x:c r="U27" s="66" t="str">
        <x:v>Art. 6º, §1º, IV; art. 10, II e IV; art. 13, IV e V.</x:v>
      </x:c>
      <x:c r="V27" s="26" t="n">
        <x:f>IF(S27="Atende",3,IF(S27="Parcial",1.5,0))</x:f>
        <x:v>0</x:v>
      </x:c>
      <x:c r="W27" s="26" t="n">
        <x:f>SUM(F27,J27,N27,R27,V27)</x:f>
        <x:v>0</x:v>
      </x:c>
      <x:c r="X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Vinculada diretamente ao Gabinete ou à autoridade máxima do órgão gestor do sistema penal</x:v>
      </x:c>
      <x:c r="E28" s="66" t="str">
        <x:v>Art. 4º, I; art. 6º, §1º, I.</x:v>
      </x:c>
      <x:c r="F28" s="26" t="n">
        <x:f>IF(C28="Atende",3,IF(C28="Parcial",1.5,0))</x:f>
        <x:v>0</x:v>
      </x:c>
      <x:c r="G28" s="26" t="str"/>
      <x:c r="H28" s="57" t="str">
        <x:v>Há ponto focal informal, sem designação formal</x:v>
      </x:c>
      <x:c r="I28" s="66" t="str">
        <x:v>Art. 4º, I; art. 8º, caput.</x:v>
      </x:c>
      <x:c r="J28" s="26" t="n">
        <x:f>IF(G28="Atende",3,IF(G28="Parcial",1.5,0))</x:f>
        <x:v>0</x:v>
      </x:c>
      <x:c r="K28" s="26" t="str"/>
      <x:c r="L28" s="57" t="str">
        <x:v>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</x:v>
      </x:c>
      <x:c r="M28" s="66" t="str">
        <x:v>Art. 6º, §1º, III; art. 10, II.</x:v>
      </x:c>
      <x:c r="N28" s="26" t="n">
        <x:f>IF(K28="Atende",3,IF(K28="Parcial",1.5,0))</x:f>
        <x:v>0</x:v>
      </x:c>
      <x:c r="O28" s="26" t="str"/>
      <x:c r="P28" s="57" t="str">
        <x:v>Há fluxo formalizado e efetivamente utilizado, contemplando, no mínimo, recebimento, registro, encaminhamento à área competente, acompanhamento da resposta e devolutiva ao(à) manifestante, quando aplicável</x:v>
      </x:c>
      <x:c r="Q28" s="66" t="str">
        <x:v>Art. 13, caput e incisos I a V.</x:v>
      </x:c>
      <x:c r="R28" s="26" t="n">
        <x:f>IF(O28="Atende",3,IF(O28="Parcial",1.5,0))</x:f>
        <x:v>0</x:v>
      </x:c>
      <x:c r="S28" s="26" t="str"/>
      <x:c r="T28" s="57" t="str">
        <x:v>Há prazos claros e registrados, com monitoramento das respostas das áreas e medidas adotadas em caso de descumprimento (cobrança, reencaminhamento, informação a instâncias superiores etc.)</x:v>
      </x:c>
      <x:c r="U28" s="66" t="str">
        <x:v>Art. 6º, §1º, IV; art. 10, II e IV; art. 13, IV e V.</x:v>
      </x:c>
      <x:c r="V28" s="26" t="n">
        <x:f>IF(S28="Atende",3,IF(S28="Parcial",1.5,0))</x:f>
        <x:v>0</x:v>
      </x:c>
      <x:c r="W28" s="26" t="n">
        <x:f>SUM(F28,J28,N28,R28,V28)</x:f>
        <x:v>0</x:v>
      </x:c>
      <x:c r="X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Vinculada diretamente ao Gabinete ou à autoridade máxima do órgão gestor do sistema penal</x:v>
      </x:c>
      <x:c r="E29" s="66" t="str">
        <x:v>Art. 4º, I; art. 6º, §1º, I.</x:v>
      </x:c>
      <x:c r="F29" s="26" t="n">
        <x:f>IF(C29="Atende",3,IF(C29="Parcial",1.5,0))</x:f>
        <x:v>0</x:v>
      </x:c>
      <x:c r="G29" s="26" t="str"/>
      <x:c r="H29" s="57" t="str">
        <x:v>Há ouvidor(a) designado(a) formalmente pela autoridade máxima do órgão gestor do sistema penal</x:v>
      </x:c>
      <x:c r="I29" s="66" t="str">
        <x:v>Art. 4º, I; art. 8º, caput.</x:v>
      </x:c>
      <x:c r="J29" s="26" t="n">
        <x:f>IF(G29="Atende",3,IF(G29="Parcial",1.5,0))</x:f>
        <x:v>0</x:v>
      </x:c>
      <x:c r="K29" s="26" t="str"/>
      <x:c r="L29" s="57" t="str">
        <x:v>Não há normativa;</x:v>
      </x:c>
      <x:c r="M29" s="66" t="str">
        <x:v>Art. 6º, §1º, III; art. 10, II.</x:v>
      </x:c>
      <x:c r="N29" s="26" t="n">
        <x:f>IF(K29="Atende",3,IF(K29="Parcial",1.5,0))</x:f>
        <x:v>0</x:v>
      </x:c>
      <x:c r="O29" s="26" t="str"/>
      <x:c r="P29" s="57" t="str">
        <x:v>Há fluxo informal (cada caso é tratado de forma diferente, sem padronização)</x:v>
      </x:c>
      <x:c r="Q29" s="66" t="str">
        <x:v>Art. 13, caput e incisos I a V.</x:v>
      </x:c>
      <x:c r="R29" s="26" t="n">
        <x:f>IF(O29="Atende",3,IF(O29="Parcial",1.5,0))</x:f>
        <x:v>0</x:v>
      </x:c>
      <x:c r="S29" s="26" t="str"/>
      <x:c r="T29" s="57" t="str">
        <x:v>Há prazos claros e registrados, com monitoramento das respostas das áreas e medidas adotadas em caso de descumprimento (cobrança, reencaminhamento, informação a instâncias superiores etc.)</x:v>
      </x:c>
      <x:c r="U29" s="66" t="str">
        <x:v>Art. 6º, §1º, IV; art. 10, II e IV; art. 13, IV e V.</x:v>
      </x:c>
      <x:c r="V29" s="26" t="n">
        <x:f>IF(S29="Atende",3,IF(S29="Parcial",1.5,0))</x:f>
        <x:v>0</x:v>
      </x:c>
      <x:c r="W29" s="26" t="n">
        <x:f>SUM(F29,J29,N29,R29,V29)</x:f>
        <x:v>0</x:v>
      </x:c>
      <x:c r="X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Vinculada diretamente ao Gabinete ou à autoridade máxima do órgão gestor do sistema penal</x:v>
      </x:c>
      <x:c r="E30" s="66" t="str">
        <x:v>Art. 4º, I; art. 6º, §1º, I.</x:v>
      </x:c>
      <x:c r="F30" s="26" t="n">
        <x:f>IF(C30="Atende",3,IF(C30="Parcial",1.5,0))</x:f>
        <x:v>0</x:v>
      </x:c>
      <x:c r="G30" s="26" t="str"/>
      <x:c r="H30" s="57" t="str">
        <x:v>Há ouvidor(a) designado(a) formalmente pela autoridade máxima do órgão gestor do sistema penal</x:v>
      </x:c>
      <x:c r="I30" s="66" t="str">
        <x:v>Art. 4º, I; art. 8º, caput.</x:v>
      </x:c>
      <x:c r="J30" s="26" t="n">
        <x:f>IF(G30="Atende",3,IF(G30="Parcial",1.5,0))</x:f>
        <x:v>0</x:v>
      </x:c>
      <x:c r="K30" s="26" t="str"/>
      <x:c r="L30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M30" s="66" t="str">
        <x:v>Art. 6º, §1º, III; art. 10, II.</x:v>
      </x:c>
      <x:c r="N30" s="26" t="n">
        <x:f>IF(K30="Atende",3,IF(K30="Parcial",1.5,0))</x:f>
        <x:v>0</x:v>
      </x:c>
      <x:c r="O30" s="26" t="str"/>
      <x:c r="P30" s="57" t="str">
        <x:v>Há fluxo formalizado e efetivamente utilizado, contemplando, no mínimo, recebimento, registro, encaminhamento à área competente, acompanhamento da resposta e devolutiva ao(à) manifestante, quando aplicável</x:v>
      </x:c>
      <x:c r="Q30" s="66" t="str">
        <x:v>Art. 13, caput e incisos I a V.</x:v>
      </x:c>
      <x:c r="R30" s="26" t="n">
        <x:f>IF(O30="Atende",3,IF(O30="Parcial",1.5,0))</x:f>
        <x:v>0</x:v>
      </x:c>
      <x:c r="S30" s="26" t="str"/>
      <x:c r="T30" s="57" t="str">
        <x:v>Há prazos claros e registrados, com monitoramento das respostas das áreas e medidas adotadas em caso de descumprimento (cobrança, reencaminhamento, informação a instâncias superiores etc.)</x:v>
      </x:c>
      <x:c r="U30" s="66" t="str">
        <x:v>Art. 6º, §1º, IV; art. 10, II e IV; art. 13, IV e V.</x:v>
      </x:c>
      <x:c r="V30" s="26" t="n">
        <x:f>IF(S30="Atende",3,IF(S30="Parcial",1.5,0))</x:f>
        <x:v>0</x:v>
      </x:c>
      <x:c r="W30" s="26" t="n">
        <x:f>SUM(F30,J30,N30,R30,V30)</x:f>
        <x:v>0</x:v>
      </x:c>
      <x:c r="X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Vinculada diretamente ao Gabinete ou à autoridade máxima do órgão gestor do sistema penal</x:v>
      </x:c>
      <x:c r="E31" s="66" t="str">
        <x:v>Art. 4º, I; art. 6º, §1º, I.</x:v>
      </x:c>
      <x:c r="F31" s="26" t="n">
        <x:f>IF(C31="Atende",3,IF(C31="Parcial",1.5,0))</x:f>
        <x:v>0</x:v>
      </x:c>
      <x:c r="G31" s="26" t="str"/>
      <x:c r="H31" s="57" t="str">
        <x:v>Há ouvidor(a) designado(a) formalmente pela autoridade máxima do órgão gestor do sistema penal</x:v>
      </x:c>
      <x:c r="I31" s="66" t="str">
        <x:v>Art. 4º, I; art. 8º, caput.</x:v>
      </x:c>
      <x:c r="J31" s="26" t="n">
        <x:f>IF(G31="Atende",3,IF(G31="Parcial",1.5,0))</x:f>
        <x:v>0</x:v>
      </x:c>
      <x:c r="K31" s="26" t="str"/>
      <x:c r="L31" s="57" t="str">
        <x:v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respeitosa;Enuncia a finalidade da Ouvidoria de Serviços Penais como instância permanente de interlocução entre cidadãos, pessoas privadas de liberdade, familiares e servidores(as) penais e a administração penitenciária;</x:v>
      </x:c>
      <x:c r="M31" s="66" t="str">
        <x:v>Art. 6º, §1º, III; art. 10, II.</x:v>
      </x:c>
      <x:c r="N31" s="26" t="n">
        <x:f>IF(K31="Atende",3,IF(K31="Parcial",1.5,0))</x:f>
        <x:v>0</x:v>
      </x:c>
      <x:c r="O31" s="26" t="str"/>
      <x:c r="P31" s="57" t="str">
        <x:v>Há fluxo formalizado e efetivamente utilizado, contemplando, no mínimo, recebimento, registro, encaminhamento à área competente, acompanhamento da resposta e devolutiva ao(à) manifestante, quando aplicável</x:v>
      </x:c>
      <x:c r="Q31" s="66" t="str">
        <x:v>Art. 13, caput e incisos I a V.</x:v>
      </x:c>
      <x:c r="R31" s="26" t="n">
        <x:f>IF(O31="Atende",3,IF(O31="Parcial",1.5,0))</x:f>
        <x:v>0</x:v>
      </x:c>
      <x:c r="S31" s="26" t="str"/>
      <x:c r="T31" s="57" t="str">
        <x:v>Há prazos claros e registrados, com monitoramento das respostas das áreas e medidas adotadas em caso de descumprimento (cobrança, reencaminhamento, informação a instâncias superiores etc.)</x:v>
      </x:c>
      <x:c r="U31" s="66" t="str">
        <x:v>Art. 6º, §1º, IV; art. 10, II e IV; art. 13, IV e V.</x:v>
      </x:c>
      <x:c r="V31" s="26" t="n">
        <x:f>IF(S31="Atende",3,IF(S31="Parcial",1.5,0))</x:f>
        <x:v>0</x:v>
      </x:c>
      <x:c r="W31" s="26" t="n">
        <x:f>SUM(F31,J31,N31,R31,V31)</x:f>
        <x:v>0</x:v>
      </x:c>
      <x:c r="X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Vinculada diretamente ao Gabinete ou à autoridade máxima do órgão gestor do sistema penal</x:v>
      </x:c>
      <x:c r="E32" s="66" t="str">
        <x:v>Art. 4º, I; art. 6º, §1º, I.</x:v>
      </x:c>
      <x:c r="F32" s="26" t="n">
        <x:f>IF(C32="Atende",3,IF(C32="Parcial",1.5,0))</x:f>
        <x:v>0</x:v>
      </x:c>
      <x:c r="G32" s="26" t="str"/>
      <x:c r="H32" s="57" t="str">
        <x:v>Há ouvidor(a) designado(a) formalmente pela autoridade máxima do órgão gestor do sistema penal</x:v>
      </x:c>
      <x:c r="I32" s="66" t="str">
        <x:v>Art. 4º, I; art. 8º, caput.</x:v>
      </x:c>
      <x:c r="J32" s="26" t="n">
        <x:f>IF(G32="Atende",3,IF(G32="Parcial",1.5,0))</x:f>
        <x:v>0</x:v>
      </x:c>
      <x:c r="K32" s="26" t="str"/>
      <x:c r="L32" s="57" t="str">
        <x:v>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manifestante;Prevê que a resposta ao(à) manifestante deve ser prestada em linguagem clara, acessível e respeitosa;Garante a proteção da identidade do(a) manifestante e a confidencialidade das informações;Determina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</x:v>
      </x:c>
      <x:c r="M32" s="66" t="str">
        <x:v>Art. 6º, §1º, III; art. 10, II.</x:v>
      </x:c>
      <x:c r="N32" s="26" t="n">
        <x:f>IF(K32="Atende",3,IF(K32="Parcial",1.5,0))</x:f>
        <x:v>0</x:v>
      </x:c>
      <x:c r="O32" s="26" t="str"/>
      <x:c r="P32" s="57" t="str">
        <x:v>Há fluxo formalizado e efetivamente utilizado, contemplando, no mínimo, recebimento, registro, encaminhamento à área competente, acompanhamento da resposta e devolutiva ao(à) manifestante, quando aplicável</x:v>
      </x:c>
      <x:c r="Q32" s="66" t="str">
        <x:v>Art. 13, caput e incisos I a V.</x:v>
      </x:c>
      <x:c r="R32" s="26" t="n">
        <x:f>IF(O32="Atende",3,IF(O32="Parcial",1.5,0))</x:f>
        <x:v>0</x:v>
      </x:c>
      <x:c r="S32" s="26" t="str"/>
      <x:c r="T32" s="57" t="str">
        <x:v>Há prazos claros e registrados, com monitoramento das respostas das áreas e medidas adotadas em caso de descumprimento (cobrança, reencaminhamento, informação a instâncias superiores etc.)</x:v>
      </x:c>
      <x:c r="U32" s="66" t="str">
        <x:v>Art. 6º, §1º, IV; art. 10, II e IV; art. 13, IV e V.</x:v>
      </x:c>
      <x:c r="V32" s="26" t="n">
        <x:f>IF(S32="Atende",3,IF(S32="Parcial",1.5,0))</x:f>
        <x:v>0</x:v>
      </x:c>
      <x:c r="W32" s="26" t="n">
        <x:f>SUM(F32,J32,N32,R32,V32)</x:f>
        <x:v>0</x:v>
      </x:c>
      <x:c r="X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66" t="str">
        <x:v>Art. 4º, I; art. 6º, §1º, I.</x:v>
      </x:c>
      <x:c r="F33" s="26" t="n">
        <x:f>IF(C33="Atende",3,IF(C33="Parcial",1.5,0))</x:f>
        <x:v>0</x:v>
      </x:c>
      <x:c r="G33" s="26" t="str"/>
      <x:c r="H33" s="57" t="str">
        <x:v>Sem resposta no diagnóstico</x:v>
      </x:c>
      <x:c r="I33" s="66" t="str">
        <x:v>Art. 4º, I; art. 8º, caput.</x:v>
      </x:c>
      <x:c r="J33" s="26" t="n">
        <x:f>IF(G33="Atende",3,IF(G33="Parcial",1.5,0))</x:f>
        <x:v>0</x:v>
      </x:c>
      <x:c r="K33" s="26" t="str"/>
      <x:c r="L33" s="57" t="str">
        <x:v>Sem resposta no diagnóstico</x:v>
      </x:c>
      <x:c r="M33" s="66" t="str">
        <x:v>Art. 6º, §1º, III; art. 10, II.</x:v>
      </x:c>
      <x:c r="N33" s="26" t="n">
        <x:f>IF(K33="Atende",3,IF(K33="Parcial",1.5,0))</x:f>
        <x:v>0</x:v>
      </x:c>
      <x:c r="O33" s="26" t="str"/>
      <x:c r="P33" s="57" t="str">
        <x:v>Sem resposta no diagnóstico</x:v>
      </x:c>
      <x:c r="Q33" s="66" t="str">
        <x:v>Art. 13, caput e incisos I a V.</x:v>
      </x:c>
      <x:c r="R33" s="26" t="n">
        <x:f>IF(O33="Atende",3,IF(O33="Parcial",1.5,0))</x:f>
        <x:v>0</x:v>
      </x:c>
      <x:c r="S33" s="26" t="str"/>
      <x:c r="T33" s="57" t="str">
        <x:v>Sem resposta no diagnóstico</x:v>
      </x:c>
      <x:c r="U33" s="66" t="str">
        <x:v>Art. 6º, §1º, IV; art. 10, II e IV; art. 13, IV e V.</x:v>
      </x:c>
      <x:c r="V33" s="26" t="n">
        <x:f>IF(S33="Atende",3,IF(S33="Parcial",1.5,0))</x:f>
        <x:v>0</x:v>
      </x:c>
      <x:c r="W33" s="26" t="n">
        <x:f>SUM(F33,J33,N33,R33,V33)</x:f>
        <x:v>0</x:v>
      </x:c>
      <x:c r="X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Não se aplica (não há ouvidoria própria prevista)</x:v>
      </x:c>
      <x:c r="E34" s="66" t="str">
        <x:v>Art. 4º, I; art. 6º, §1º, I.</x:v>
      </x:c>
      <x:c r="F34" s="26" t="n">
        <x:f>IF(C34="Atende",3,IF(C34="Parcial",1.5,0))</x:f>
        <x:v>0</x:v>
      </x:c>
      <x:c r="G34" s="26" t="str"/>
      <x:c r="H34" s="57" t="str">
        <x:v>Há ouvidor(a) designado(a) formalmente pela autoridade máxima do órgão gestor do sistema penal</x:v>
      </x:c>
      <x:c r="I34" s="66" t="str">
        <x:v>Art. 4º, I; art. 8º, caput.</x:v>
      </x:c>
      <x:c r="J34" s="26" t="n">
        <x:f>IF(G34="Atende",3,IF(G34="Parcial",1.5,0))</x:f>
        <x:v>0</x:v>
      </x:c>
      <x:c r="K34" s="26" t="str"/>
      <x:c r="L34" s="57" t="str">
        <x:v>Não há normativa;</x:v>
      </x:c>
      <x:c r="M34" s="66" t="str">
        <x:v>Art. 6º, §1º, III; art. 10, II.</x:v>
      </x:c>
      <x:c r="N34" s="26" t="n">
        <x:f>IF(K34="Atende",3,IF(K34="Parcial",1.5,0))</x:f>
        <x:v>0</x:v>
      </x:c>
      <x:c r="O34" s="26" t="str"/>
      <x:c r="P34" s="57" t="str">
        <x:v>Há fluxo formalizado e efetivamente utilizado, contemplando, no mínimo, recebimento, registro, encaminhamento à área competente, acompanhamento da resposta e devolutiva ao(à) manifestante, quando aplicável</x:v>
      </x:c>
      <x:c r="Q34" s="66" t="str">
        <x:v>Art. 13, caput e incisos I a V.</x:v>
      </x:c>
      <x:c r="R34" s="26" t="n">
        <x:f>IF(O34="Atende",3,IF(O34="Parcial",1.5,0))</x:f>
        <x:v>0</x:v>
      </x:c>
      <x:c r="S34" s="26" t="str"/>
      <x:c r="T34" s="57" t="str">
        <x:v>Há prazos claros e registrados, com monitoramento das respostas das áreas e medidas adotadas em caso de descumprimento (cobrança, reencaminhamento, informação a instâncias superiores etc.)</x:v>
      </x:c>
      <x:c r="U34" s="66" t="str">
        <x:v>Art. 6º, §1º, IV; art. 10, II e IV; art. 13, IV e V.</x:v>
      </x:c>
      <x:c r="V34" s="26" t="n">
        <x:f>IF(S34="Atende",3,IF(S34="Parcial",1.5,0))</x:f>
        <x:v>0</x:v>
      </x:c>
      <x:c r="W34" s="26" t="n">
        <x:f>SUM(F34,J34,N34,R34,V34)</x:f>
        <x:v>0</x:v>
      </x:c>
      <x:c r="X34" s="26" t="str">
        <x:v>Doc. SEI 37070578</x:v>
      </x:c>
    </x:row>
  </x:sheetData>
  <x:mergeCells>
    <x:mergeCell ref="A1:X1"/>
    <x:mergeCell ref="A2:X2"/>
    <x:mergeCell ref="A4:B4"/>
    <x:mergeCell ref="C4:J4"/>
    <x:mergeCell ref="K4:V4"/>
    <x:mergeCell ref="W4:X4"/>
    <x:mergeCell ref="A6:B6"/>
  </x:mergeCells>
  <x:conditionalFormatting sqref="C7:C34">
    <x:cfRule type="expression" dxfId="0" priority="1">
      <x:formula>C7="Atende"</x:formula>
    </x:cfRule>
    <x:cfRule type="expression" dxfId="1" priority="2">
      <x:formula>C7="Parcial"</x:formula>
    </x:cfRule>
    <x:cfRule type="expression" dxfId="2" priority="3">
      <x:formula>OR(C7="Não atende",C7="Sem evidência")</x:formula>
    </x:cfRule>
  </x:conditionalFormatting>
  <x:conditionalFormatting sqref="G7:G34">
    <x:cfRule type="expression" dxfId="3" priority="4">
      <x:formula>G7="Atende"</x:formula>
    </x:cfRule>
    <x:cfRule type="expression" dxfId="4" priority="5">
      <x:formula>G7="Parcial"</x:formula>
    </x:cfRule>
    <x:cfRule type="expression" dxfId="5" priority="6">
      <x:formula>OR(G7="Não atende",G7="Sem evidência")</x:formula>
    </x:cfRule>
  </x:conditionalFormatting>
  <x:conditionalFormatting sqref="K7:K34">
    <x:cfRule type="expression" dxfId="6" priority="7">
      <x:formula>K7="Atende"</x:formula>
    </x:cfRule>
    <x:cfRule type="expression" dxfId="7" priority="8">
      <x:formula>K7="Parcial"</x:formula>
    </x:cfRule>
    <x:cfRule type="expression" dxfId="8" priority="9">
      <x:formula>OR(K7="Não atende",K7="Sem evidência")</x:formula>
    </x:cfRule>
  </x:conditionalFormatting>
  <x:conditionalFormatting sqref="O7:O34">
    <x:cfRule type="expression" dxfId="9" priority="10">
      <x:formula>O7="Atende"</x:formula>
    </x:cfRule>
    <x:cfRule type="expression" dxfId="10" priority="11">
      <x:formula>O7="Parcial"</x:formula>
    </x:cfRule>
    <x:cfRule type="expression" dxfId="11" priority="12">
      <x:formula>OR(O7="Não atende",O7="Sem evidência")</x:formula>
    </x:cfRule>
  </x:conditionalFormatting>
  <x:conditionalFormatting sqref="S7:S34">
    <x:cfRule type="expression" dxfId="12" priority="13">
      <x:formula>S7="Atende"</x:formula>
    </x:cfRule>
    <x:cfRule type="expression" dxfId="13" priority="14">
      <x:formula>S7="Parcial"</x:formula>
    </x:cfRule>
    <x:cfRule type="expression" dxfId="14" priority="15">
      <x:formula>OR(S7="Não atende",S7="Sem evidência")</x:formula>
    </x:cfRule>
  </x:conditionalFormatting>
  <x:dataValidations count="5">
    <x:dataValidation type="list" sqref="C7:C34">
      <x:formula1>"Atende,Parcial,Não atende,Sem evidência"</x:formula1>
    </x:dataValidation>
    <x:dataValidation type="list" sqref="G7:G34">
      <x:formula1>"Atende,Parcial,Não atende,Sem evidência"</x:formula1>
    </x:dataValidation>
    <x:dataValidation type="list" sqref="K7:K34">
      <x:formula1>"Atende,Parcial,Não atende,Sem evidência"</x:formula1>
    </x:dataValidation>
    <x:dataValidation type="list" sqref="O7:O34">
      <x:formula1>"Atende,Parcial,Não atende,Sem evidência"</x:formula1>
    </x:dataValidation>
    <x:dataValidation type="list" sqref="S7:S34">
      <x:formula1>"Atende,Parcial,Não atende,Sem evidência"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30" hidden="0" customWidth="1"/>
    <x:col min="4" max="4" width="40" hidden="0" customWidth="1"/>
    <x:col min="5" max="5" width="25" hidden="0" customWidth="1"/>
    <x:col min="6" max="6" width="8" hidden="0" customWidth="1"/>
    <x:col min="7" max="7" width="30" hidden="0" customWidth="1"/>
    <x:col min="8" max="8" width="40" hidden="0" customWidth="1"/>
    <x:col min="9" max="9" width="25" hidden="0" customWidth="1"/>
    <x:col min="10" max="10" width="8" hidden="0" customWidth="1"/>
    <x:col min="11" max="11" width="30" hidden="0" customWidth="1"/>
    <x:col min="12" max="12" width="40" hidden="0" customWidth="1"/>
    <x:col min="13" max="13" width="25" hidden="0" customWidth="1"/>
    <x:col min="14" max="14" width="8" hidden="0" customWidth="1"/>
    <x:col min="15" max="15" width="30" hidden="0" customWidth="1"/>
    <x:col min="16" max="16" width="40" hidden="0" customWidth="1"/>
    <x:col min="17" max="17" width="25" hidden="0" customWidth="1"/>
    <x:col min="18" max="18" width="8" hidden="0" customWidth="1"/>
    <x:col min="19" max="19" width="14" hidden="0" customWidth="1"/>
    <x:col min="20" max="20" width="38" hidden="0" customWidth="1"/>
  </x:cols>
  <x:sheetData>
    <x:row r="1" ht="28" customHeight="1">
      <x:c r="A1" s="4" t="str">
        <x:v>03 — Imparcialidade, sigilo e proteção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46" customHeight="1">
      <x:c r="A2" s="11" t="str">
        <x:v>Peso da dimensão: 15 pontos. A coluna verde reproduz a resposta dada no Diagnóstico das Ouvidorias Estaduais de Serviços Penais.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</x:row>
    <x:row r="4">
      <x:c r="A4" s="31" t="str">
        <x:v>Identificação</x:v>
      </x:c>
      <x:c r="B4" s="31"/>
      <x:c r="C4" s="31" t="str">
        <x:v>Item 1 — Proteção da identidade do denunciante/manifestante</x:v>
      </x:c>
      <x:c r="D4" s="31"/>
      <x:c r="E4" s="31"/>
      <x:c r="F4" s="31"/>
      <x:c r="G4" s="31"/>
      <x:c r="H4" s="31"/>
      <x:c r="I4" s="31"/>
      <x:c r="J4" s="31"/>
      <x:c r="K4" s="31" t="str">
        <x:v>Item 2 — Confidencialidade e sigilo das informações</x:v>
      </x:c>
      <x:c r="L4" s="31"/>
      <x:c r="M4" s="31"/>
      <x:c r="N4" s="31"/>
      <x:c r="O4" s="31"/>
      <x:c r="P4" s="31"/>
      <x:c r="Q4" s="31"/>
      <x:c r="R4" s="31"/>
      <x:c r="S4" s="31" t="str">
        <x:v>Resultado da dimensão</x:v>
      </x:c>
      <x:c r="T4" s="31"/>
    </x:row>
    <x:row r="5" ht="58" customHeight="1">
      <x:c r="A5" s="20" t="str">
        <x:v>UF</x:v>
      </x:c>
      <x:c r="B5" s="20" t="str">
        <x:v>Unidade Federativa</x:v>
      </x:c>
      <x:c r="C5" s="20" t="str">
        <x:v>M4-66 — Registro, protocolo e classificação das manifestações</x:v>
      </x:c>
      <x:c r="D5" s="20" t="str">
        <x:v>Resposta do diagnóstico</x:v>
      </x:c>
      <x:c r="E5" s="20" t="str">
        <x:v>Fundamentação na IN nº 75/2026</x:v>
      </x:c>
      <x:c r="F5" s="20" t="str">
        <x:v>4 pts</x:v>
      </x:c>
      <x:c r="G5" s="20" t="str">
        <x:v>M4-69 — Tratamento de denúncias graves e sensíveis</x:v>
      </x:c>
      <x:c r="H5" s="20" t="str">
        <x:v>Resposta do diagnóstico</x:v>
      </x:c>
      <x:c r="I5" s="20" t="str">
        <x:v>Fundamentação na IN nº 75/2026</x:v>
      </x:c>
      <x:c r="J5" s="20" t="str">
        <x:v>4 pts</x:v>
      </x:c>
      <x:c r="K5" s="20" t="str">
        <x:v>M2-37 — Recursos específicos de segurança da informação</x:v>
      </x:c>
      <x:c r="L5" s="20" t="str">
        <x:v>Resposta do diagnóstico</x:v>
      </x:c>
      <x:c r="M5" s="20" t="str">
        <x:v>Fundamentação na IN nº 75/2026</x:v>
      </x:c>
      <x:c r="N5" s="20" t="str">
        <x:v>4 pts</x:v>
      </x:c>
      <x:c r="O5" s="20" t="str">
        <x:v>M3-63 — Compromisso de sigilo da equipe</x:v>
      </x:c>
      <x:c r="P5" s="20" t="str">
        <x:v>Resposta do diagnóstico</x:v>
      </x:c>
      <x:c r="Q5" s="20" t="str">
        <x:v>Fundamentação na IN nº 75/2026</x:v>
      </x:c>
      <x:c r="R5" s="20" t="str">
        <x:v>3 pts</x:v>
      </x:c>
      <x:c r="S5" s="20" t="str">
        <x:v>Pontuação /15</x:v>
      </x:c>
      <x:c r="T5" s="20" t="str">
        <x:v>Evidências / observações</x:v>
      </x:c>
    </x:row>
    <x:row r="6" ht="132" customHeight="1">
      <x:c r="A6" s="40" t="str">
        <x:v>Como aplicar / resposta / fundamento →</x:v>
      </x:c>
      <x:c r="B6" s="40"/>
      <x:c r="C6" s="49" t="str">
        <x:v>4 pts: registro/classificação contempla tratamento adequado das manifestações, inclusive anônimas, com mecanismos de acompanhamento e proteção. 2 pts: procedimento parcial. 0 pt: ausência de procedimento suficiente ou sem evidência.</x:v>
      </x:c>
      <x:c r="D6" s="57" t="str">
        <x:v>Resposta original da UF no diagnóstico enviado.</x:v>
      </x:c>
      <x:c r="E6" s="66" t="str">
        <x:v>Art. 11; art. 12, caput e §2º.</x:v>
      </x:c>
      <x:c r="F6" s="11" t="str">
        <x:v>4 = atende
2 = parcial
0 = não atende / sem evidência</x:v>
      </x:c>
      <x:c r="G6" s="49" t="str">
        <x:v>4 pts: tratamento específico para denúncias sensíveis, com sigilo reforçado/restrição de acesso e encaminhamento adequado. 2 pts: tratamento diferenciado, mas incompleto. 0 pt: inexistência de proteção específica ou sem evidência.</x:v>
      </x:c>
      <x:c r="H6" s="57" t="str">
        <x:v>Resposta original da UF no diagnóstico enviado.</x:v>
      </x:c>
      <x:c r="I6" s="66" t="str">
        <x:v>Art. 4º, II e §2º; art. 10, III.</x:v>
      </x:c>
      <x:c r="J6" s="11" t="str">
        <x:v>4 = atende
2 = parcial
0 = não atende / sem evidência</x:v>
      </x:c>
      <x:c r="K6" s="49" t="str">
        <x:v>4 pts: existem controles de acesso, autenticação/restrição e recursos compatíveis com dados de Ouvidoria. 2 pts: controles básicos ou incompletos. 0 pt: inexistência de controles ou sem evidência.</x:v>
      </x:c>
      <x:c r="L6" s="57" t="str">
        <x:v>Resposta original da UF no diagnóstico enviado.</x:v>
      </x:c>
      <x:c r="M6" s="66" t="str">
        <x:v>Art. 7º, §4º, II e III; §5º.</x:v>
      </x:c>
      <x:c r="N6" s="11" t="str">
        <x:v>4 = atende
2 = parcial
0 = não atende / sem evidência</x:v>
      </x:c>
      <x:c r="O6" s="49" t="str">
        <x:v>3 pts: equipe/colaboradores possuem compromisso formal de sigilo. 1,5 pt: compromisso parcial, informal ou não abrangente. 0 pt: inexistente ou sem evidência.</x:v>
      </x:c>
      <x:c r="P6" s="57" t="str">
        <x:v>Resposta original da UF no diagnóstico enviado.</x:v>
      </x:c>
      <x:c r="Q6" s="66" t="str">
        <x:v>Art. 9º, §4º.</x:v>
      </x:c>
      <x:c r="R6" s="11" t="str">
        <x:v>3 = atende
1.5 = parcial
0 = não atende / sem evidência</x:v>
      </x:c>
      <x:c r="S6" s="11" t="str">
        <x:v>Soma automática das perguntas desta dimensão.</x:v>
      </x:c>
      <x:c r="T6" s="11" t="str">
        <x:v>Registre observações adicionais, se necessário.</x:v>
      </x:c>
    </x:row>
    <x:row r="7">
      <x:c r="A7" s="26" t="str">
        <x:v>AC</x:v>
      </x:c>
      <x:c r="B7" s="26" t="str">
        <x:v>Acre</x:v>
      </x:c>
      <x:c r="C7" s="26" t="str"/>
      <x:c r="D7" s="57" t="str">
        <x:v>Toda manifestação é registrada com número de protocolo, é classificada por tipo e passa por análise preliminar, com critérios para arquivamento fundamentado e para o tratamento de manifestações anônimas</x:v>
      </x:c>
      <x:c r="E7" s="66" t="str">
        <x:v>Art. 11; art. 12, caput e §2º.</x:v>
      </x:c>
      <x:c r="F7" s="26" t="n">
        <x:f>IF(C7="Atende",4,IF(C7="Parcial",2.0,0))</x:f>
        <x:v>0</x:v>
      </x:c>
      <x:c r="G7" s="26" t="str"/>
      <x:c r="H7" s="57" t="str">
        <x:v>Protocolo para situações de risco à vida ou à integridade de pessoas privadas de liberdade;</x:v>
      </x:c>
      <x:c r="I7" s="66" t="str">
        <x:v>Art. 4º, II e §2º; art. 10, III.</x:v>
      </x:c>
      <x:c r="J7" s="26" t="n">
        <x:f>IF(G7="Atende",4,IF(G7="Parcial",2.0,0))</x:f>
        <x:v>0</x:v>
      </x:c>
      <x:c r="K7" s="26" t="str"/>
      <x:c r="L7" s="57" t="str">
        <x:v>Antivírus institucional instalado nas estações de trabalho;Mecanismos de autenticação e controle de acesso aos dados;Acesso restrito a pastas/sistemas que contenham manifestações;Política interna ou instruções sobre tratamento de dados pessoais;</x:v>
      </x:c>
      <x:c r="M7" s="66" t="str">
        <x:v>Art. 7º, §4º, II e III; §5º.</x:v>
      </x:c>
      <x:c r="N7" s="26" t="n">
        <x:f>IF(K7="Atende",4,IF(K7="Parcial",2.0,0))</x:f>
        <x:v>0</x:v>
      </x:c>
      <x:c r="O7" s="26" t="str"/>
      <x:c r="P7" s="57" t="str">
        <x:v>Há cláusulas genéricas de sigilo em códigos de ética ou normativos equivalentes</x:v>
      </x:c>
      <x:c r="Q7" s="66" t="str">
        <x:v>Art. 9º, §4º.</x:v>
      </x:c>
      <x:c r="R7" s="26" t="n">
        <x:f>IF(O7="Atende",3,IF(O7="Parcial",1.5,0))</x:f>
        <x:v>0</x:v>
      </x:c>
      <x:c r="S7" s="26" t="n">
        <x:f>SUM(F7,J7,N7,R7)</x:f>
        <x:v>0</x:v>
      </x:c>
      <x:c r="T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As manifestações são registradas, mas sem número de protocolo individual</x:v>
      </x:c>
      <x:c r="E8" s="66" t="str">
        <x:v>Art. 11; art. 12, caput e §2º.</x:v>
      </x:c>
      <x:c r="F8" s="26" t="n">
        <x:f>IF(C8="Atende",4,IF(C8="Parcial",2.0,0))</x:f>
        <x:v>0</x:v>
      </x:c>
      <x:c r="G8" s="26" t="str"/>
      <x:c r="H8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x:v>
      </x:c>
      <x:c r="I8" s="66" t="str">
        <x:v>Art. 4º, II e §2º; art. 10, III.</x:v>
      </x:c>
      <x:c r="J8" s="26" t="n">
        <x:f>IF(G8="Atende",4,IF(G8="Parcial",2.0,0))</x:f>
        <x:v>0</x:v>
      </x:c>
      <x:c r="K8" s="26" t="str"/>
      <x:c r="L8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8" s="66" t="str">
        <x:v>Art. 7º, §4º, II e III; §5º.</x:v>
      </x:c>
      <x:c r="N8" s="26" t="n">
        <x:f>IF(K8="Atende",4,IF(K8="Parcial",2.0,0))</x:f>
        <x:v>0</x:v>
      </x:c>
      <x:c r="O8" s="26" t="str"/>
      <x:c r="P8" s="57" t="str">
        <x:v>Não há qualquer instrumento formal de sigilo para a equipe da Ouvidoria</x:v>
      </x:c>
      <x:c r="Q8" s="66" t="str">
        <x:v>Art. 9º, §4º.</x:v>
      </x:c>
      <x:c r="R8" s="26" t="n">
        <x:f>IF(O8="Atende",3,IF(O8="Parcial",1.5,0))</x:f>
        <x:v>0</x:v>
      </x:c>
      <x:c r="S8" s="26" t="n">
        <x:f>SUM(F8,J8,N8,R8)</x:f>
        <x:v>0</x:v>
      </x:c>
      <x:c r="T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Toda manifestação é registrada com número de protocolo, é classificada por tipo e passa por análise preliminar, com critérios para arquivamento fundamentado e para o tratamento de manifestações anônimas</x:v>
      </x:c>
      <x:c r="E9" s="66" t="str">
        <x:v>Art. 11; art. 12, caput e §2º.</x:v>
      </x:c>
      <x:c r="F9" s="26" t="n">
        <x:f>IF(C9="Atende",4,IF(C9="Parcial",2.0,0))</x:f>
        <x:v>0</x:v>
      </x:c>
      <x:c r="G9" s="26" t="str"/>
      <x:c r="H9" s="57" t="str">
        <x:v>Protocolo para casos de tortura ou tratamento cruel, desumano ou degradante em unidades penais;Protocolo para ameaças, retaliações ou perseguições contra servidores(as) penais em razão de manifestações ou denúncias;</x:v>
      </x:c>
      <x:c r="I9" s="66" t="str">
        <x:v>Art. 4º, II e §2º; art. 10, III.</x:v>
      </x:c>
      <x:c r="J9" s="26" t="n">
        <x:f>IF(G9="Atende",4,IF(G9="Parcial",2.0,0))</x:f>
        <x:v>0</x:v>
      </x:c>
      <x:c r="K9" s="26" t="str"/>
      <x:c r="L9" s="57" t="str">
        <x:v>Acesso restrito a pastas/sistemas que contenham manifestações;Mecanismos de autenticação e controle de acesso aos dados;</x:v>
      </x:c>
      <x:c r="M9" s="66" t="str">
        <x:v>Art. 7º, §4º, II e III; §5º.</x:v>
      </x:c>
      <x:c r="N9" s="26" t="n">
        <x:f>IF(K9="Atende",4,IF(K9="Parcial",2.0,0))</x:f>
        <x:v>0</x:v>
      </x:c>
      <x:c r="O9" s="26" t="str"/>
      <x:c r="P9" s="57" t="str">
        <x:v>A equipe assina Termo de Compromisso de Manutenção de Sigilo Funcional específico para atuação na Ouvidoria de Serviços Penais</x:v>
      </x:c>
      <x:c r="Q9" s="66" t="str">
        <x:v>Art. 9º, §4º.</x:v>
      </x:c>
      <x:c r="R9" s="26" t="n">
        <x:f>IF(O9="Atende",3,IF(O9="Parcial",1.5,0))</x:f>
        <x:v>0</x:v>
      </x:c>
      <x:c r="S9" s="26" t="n">
        <x:f>SUM(F9,J9,N9,R9)</x:f>
        <x:v>0</x:v>
      </x:c>
      <x:c r="T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Toda manifestação é registrada com número de protocolo, é classificada por tipo e passa por análise preliminar, com critérios para arquivamento fundamentado e para o tratamento de manifestações anônimas</x:v>
      </x:c>
      <x:c r="E10" s="66" t="str">
        <x:v>Art. 11; art. 12, caput e §2º.</x:v>
      </x:c>
      <x:c r="F10" s="26" t="n">
        <x:f>IF(C10="Atende",4,IF(C10="Parcial",2.0,0))</x:f>
        <x:v>0</x:v>
      </x:c>
      <x:c r="G10" s="26" t="str"/>
      <x:c r="H10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x:v>
      </x:c>
      <x:c r="I10" s="66" t="str">
        <x:v>Art. 4º, II e §2º; art. 10, III.</x:v>
      </x:c>
      <x:c r="J10" s="26" t="n">
        <x:f>IF(G10="Atende",4,IF(G10="Parcial",2.0,0))</x:f>
        <x:v>0</x:v>
      </x:c>
      <x:c r="K10" s="26" t="str"/>
      <x:c r="L10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10" s="66" t="str">
        <x:v>Art. 7º, §4º, II e III; §5º.</x:v>
      </x:c>
      <x:c r="N10" s="26" t="n">
        <x:f>IF(K10="Atende",4,IF(K10="Parcial",2.0,0))</x:f>
        <x:v>0</x:v>
      </x:c>
      <x:c r="O10" s="26" t="str"/>
      <x:c r="P10" s="57" t="str">
        <x:v>Além do termo, há rotinas de reforço e capacitação periódica sobre sigilo e proteção de dados pessoais</x:v>
      </x:c>
      <x:c r="Q10" s="66" t="str">
        <x:v>Art. 9º, §4º.</x:v>
      </x:c>
      <x:c r="R10" s="26" t="n">
        <x:f>IF(O10="Atende",3,IF(O10="Parcial",1.5,0))</x:f>
        <x:v>0</x:v>
      </x:c>
      <x:c r="S10" s="26" t="n">
        <x:f>SUM(F10,J10,N10,R10)</x:f>
        <x:v>0</x:v>
      </x:c>
      <x:c r="T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Toda manifestação é registrada com número de protocolo, é classificada por tipo e passa por análise preliminar, com critérios para arquivamento fundamentado e para o tratamento de manifestações anônimas</x:v>
      </x:c>
      <x:c r="E11" s="66" t="str">
        <x:v>Art. 11; art. 12, caput e §2º.</x:v>
      </x:c>
      <x:c r="F11" s="26" t="n">
        <x:f>IF(C11="Atende",4,IF(C11="Parcial",2.0,0))</x:f>
        <x:v>0</x:v>
      </x:c>
      <x:c r="G11" s="26" t="str"/>
      <x:c r="H11" s="57" t="str">
        <x:v>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situações de risco à vida ou à integridade de pessoas privadas de liberdade;Protocolo para casos de tortura ou tratamento cruel, desumano ou degradante em unidades penais;</x:v>
      </x:c>
      <x:c r="I11" s="66" t="str">
        <x:v>Art. 4º, II e §2º; art. 10, III.</x:v>
      </x:c>
      <x:c r="J11" s="26" t="n">
        <x:f>IF(G11="Atende",4,IF(G11="Parcial",2.0,0))</x:f>
        <x:v>0</x:v>
      </x:c>
      <x:c r="K11" s="26" t="str"/>
      <x:c r="L11" s="57" t="str">
        <x:v>Antivírus institucional instalado nas estações de trabalho;Rotina de backup periódico dos dados da Ouvidoria;Acesso restrito a pastas/sistemas que contenham manifestações;Política interna ou instruções sobre tratamento de dados pessoais;</x:v>
      </x:c>
      <x:c r="M11" s="66" t="str">
        <x:v>Art. 7º, §4º, II e III; §5º.</x:v>
      </x:c>
      <x:c r="N11" s="26" t="n">
        <x:f>IF(K11="Atende",4,IF(K11="Parcial",2.0,0))</x:f>
        <x:v>0</x:v>
      </x:c>
      <x:c r="O11" s="26" t="str"/>
      <x:c r="P11" s="57" t="str">
        <x:v>A equipe assina Termo de Compromisso de Manutenção de Sigilo Funcional específico para atuação na Ouvidoria de Serviços Penais</x:v>
      </x:c>
      <x:c r="Q11" s="66" t="str">
        <x:v>Art. 9º, §4º.</x:v>
      </x:c>
      <x:c r="R11" s="26" t="n">
        <x:f>IF(O11="Atende",3,IF(O11="Parcial",1.5,0))</x:f>
        <x:v>0</x:v>
      </x:c>
      <x:c r="S11" s="26" t="n">
        <x:f>SUM(F11,J11,N11,R11)</x:f>
        <x:v>0</x:v>
      </x:c>
      <x:c r="T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Toda manifestação é registrada com número de protocolo, é classificada por tipo e passa por análise preliminar, com critérios para arquivamento fundamentado e para o tratamento de manifestações anônimas</x:v>
      </x:c>
      <x:c r="E12" s="66" t="str">
        <x:v>Art. 11; art. 12, caput e §2º.</x:v>
      </x:c>
      <x:c r="F12" s="26" t="n">
        <x:f>IF(C12="Atende",4,IF(C12="Parcial",2.0,0))</x:f>
        <x:v>0</x:v>
      </x:c>
      <x:c r="G12" s="26" t="str"/>
      <x:c r="H12" s="57" t="str">
        <x:v>Protocolo para casos de tortura ou tratamento cruel, desumano ou degradante em unidades penais;</x:v>
      </x:c>
      <x:c r="I12" s="66" t="str">
        <x:v>Art. 4º, II e §2º; art. 10, III.</x:v>
      </x:c>
      <x:c r="J12" s="26" t="n">
        <x:f>IF(G12="Atende",4,IF(G12="Parcial",2.0,0))</x:f>
        <x:v>0</x:v>
      </x:c>
      <x:c r="K12" s="26" t="str"/>
      <x:c r="L12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12" s="66" t="str">
        <x:v>Art. 7º, §4º, II e III; §5º.</x:v>
      </x:c>
      <x:c r="N12" s="26" t="n">
        <x:f>IF(K12="Atende",4,IF(K12="Parcial",2.0,0))</x:f>
        <x:v>0</x:v>
      </x:c>
      <x:c r="O12" s="26" t="str"/>
      <x:c r="P12" s="57" t="str">
        <x:v>Além do termo, há rotinas de reforço e capacitação periódica sobre sigilo e proteção de dados pessoais</x:v>
      </x:c>
      <x:c r="Q12" s="66" t="str">
        <x:v>Art. 9º, §4º.</x:v>
      </x:c>
      <x:c r="R12" s="26" t="n">
        <x:f>IF(O12="Atende",3,IF(O12="Parcial",1.5,0))</x:f>
        <x:v>0</x:v>
      </x:c>
      <x:c r="S12" s="26" t="n">
        <x:f>SUM(F12,J12,N12,R12)</x:f>
        <x:v>0</x:v>
      </x:c>
      <x:c r="T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Toda manifestação é registrada com número de protocolo, é classificada por tipo e passa por análise preliminar, com critérios para arquivamento fundamentado e para o tratamento de manifestações anônimas</x:v>
      </x:c>
      <x:c r="E13" s="66" t="str">
        <x:v>Art. 11; art. 12, caput e §2º.</x:v>
      </x:c>
      <x:c r="F13" s="26" t="n">
        <x:f>IF(C13="Atende",4,IF(C13="Parcial",2.0,0))</x:f>
        <x:v>0</x:v>
      </x:c>
      <x:c r="G13" s="26" t="str"/>
      <x:c r="H13" s="57" t="str">
        <x:v>Procedimentos de sigilo reforçado, restrição de acesso e fluxos de emergência para esses casos;Protocolo para assédio moral ou sexual envolvendo servidores(as) penais;</x:v>
      </x:c>
      <x:c r="I13" s="66" t="str">
        <x:v>Art. 4º, II e §2º; art. 10, III.</x:v>
      </x:c>
      <x:c r="J13" s="26" t="n">
        <x:f>IF(G13="Atende",4,IF(G13="Parcial",2.0,0))</x:f>
        <x:v>0</x:v>
      </x:c>
      <x:c r="K13" s="26" t="str"/>
      <x:c r="L13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13" s="66" t="str">
        <x:v>Art. 7º, §4º, II e III; §5º.</x:v>
      </x:c>
      <x:c r="N13" s="26" t="n">
        <x:f>IF(K13="Atende",4,IF(K13="Parcial",2.0,0))</x:f>
        <x:v>0</x:v>
      </x:c>
      <x:c r="O13" s="26" t="str"/>
      <x:c r="P13" s="57" t="str">
        <x:v>Além do termo, há rotinas de reforço e capacitação periódica sobre sigilo e proteção de dados pessoais</x:v>
      </x:c>
      <x:c r="Q13" s="66" t="str">
        <x:v>Art. 9º, §4º.</x:v>
      </x:c>
      <x:c r="R13" s="26" t="n">
        <x:f>IF(O13="Atende",3,IF(O13="Parcial",1.5,0))</x:f>
        <x:v>0</x:v>
      </x:c>
      <x:c r="S13" s="26" t="n">
        <x:f>SUM(F13,J13,N13,R13)</x:f>
        <x:v>0</x:v>
      </x:c>
      <x:c r="T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Toda manifestação é registrada com número de protocolo, é classificada por tipo e passa por análise preliminar, com critérios para arquivamento fundamentado e para o tratamento de manifestações anônimas</x:v>
      </x:c>
      <x:c r="E14" s="66" t="str">
        <x:v>Art. 11; art. 12, caput e §2º.</x:v>
      </x:c>
      <x:c r="F14" s="26" t="n">
        <x:f>IF(C14="Atende",4,IF(C14="Parcial",2.0,0))</x:f>
        <x:v>0</x:v>
      </x:c>
      <x:c r="G14" s="26" t="str"/>
      <x:c r="H14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x:v>
      </x:c>
      <x:c r="I14" s="66" t="str">
        <x:v>Art. 4º, II e §2º; art. 10, III.</x:v>
      </x:c>
      <x:c r="J14" s="26" t="n">
        <x:f>IF(G14="Atende",4,IF(G14="Parcial",2.0,0))</x:f>
        <x:v>0</x:v>
      </x:c>
      <x:c r="K14" s="26" t="str"/>
      <x:c r="L14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14" s="66" t="str">
        <x:v>Art. 7º, §4º, II e III; §5º.</x:v>
      </x:c>
      <x:c r="N14" s="26" t="n">
        <x:f>IF(K14="Atende",4,IF(K14="Parcial",2.0,0))</x:f>
        <x:v>0</x:v>
      </x:c>
      <x:c r="O14" s="26" t="str"/>
      <x:c r="P14" s="57" t="str">
        <x:v>Além do termo, há rotinas de reforço e capacitação periódica sobre sigilo e proteção de dados pessoais</x:v>
      </x:c>
      <x:c r="Q14" s="66" t="str">
        <x:v>Art. 9º, §4º.</x:v>
      </x:c>
      <x:c r="R14" s="26" t="n">
        <x:f>IF(O14="Atende",3,IF(O14="Parcial",1.5,0))</x:f>
        <x:v>0</x:v>
      </x:c>
      <x:c r="S14" s="26" t="n">
        <x:f>SUM(F14,J14,N14,R14)</x:f>
        <x:v>0</x:v>
      </x:c>
      <x:c r="T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Toda manifestação é registrada com número de protocolo, é classificada por tipo e passa por análise preliminar, com critérios para arquivamento fundamentado e para o tratamento de manifestações anônimas</x:v>
      </x:c>
      <x:c r="E15" s="66" t="str">
        <x:v>Art. 11; art. 12, caput e §2º.</x:v>
      </x:c>
      <x:c r="F15" s="26" t="n">
        <x:f>IF(C15="Atende",4,IF(C15="Parcial",2.0,0))</x:f>
        <x:v>0</x:v>
      </x:c>
      <x:c r="G15" s="26" t="str"/>
      <x:c r="H15" s="57" t="str">
        <x:v>Protocolo para assédio moral ou sexual envolvendo servidores(as) penais;</x:v>
      </x:c>
      <x:c r="I15" s="66" t="str">
        <x:v>Art. 4º, II e §2º; art. 10, III.</x:v>
      </x:c>
      <x:c r="J15" s="26" t="n">
        <x:f>IF(G15="Atende",4,IF(G15="Parcial",2.0,0))</x:f>
        <x:v>0</x:v>
      </x:c>
      <x:c r="K15" s="26" t="str"/>
      <x:c r="L15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15" s="66" t="str">
        <x:v>Art. 7º, §4º, II e III; §5º.</x:v>
      </x:c>
      <x:c r="N15" s="26" t="n">
        <x:f>IF(K15="Atende",4,IF(K15="Parcial",2.0,0))</x:f>
        <x:v>0</x:v>
      </x:c>
      <x:c r="O15" s="26" t="str"/>
      <x:c r="P15" s="57" t="str">
        <x:v>Há cláusulas genéricas de sigilo em códigos de ética ou normativos equivalentes</x:v>
      </x:c>
      <x:c r="Q15" s="66" t="str">
        <x:v>Art. 9º, §4º.</x:v>
      </x:c>
      <x:c r="R15" s="26" t="n">
        <x:f>IF(O15="Atende",3,IF(O15="Parcial",1.5,0))</x:f>
        <x:v>0</x:v>
      </x:c>
      <x:c r="S15" s="26" t="n">
        <x:f>SUM(F15,J15,N15,R15)</x:f>
        <x:v>0</x:v>
      </x:c>
      <x:c r="T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Toda manifestação é registrada com número de protocolo, é classificada por tipo e passa por análise preliminar, com critérios para arquivamento fundamentado e para o tratamento de manifestações anônimas</x:v>
      </x:c>
      <x:c r="E16" s="66" t="str">
        <x:v>Art. 11; art. 12, caput e §2º.</x:v>
      </x:c>
      <x:c r="F16" s="26" t="n">
        <x:f>IF(C16="Atende",4,IF(C16="Parcial",2.0,0))</x:f>
        <x:v>0</x:v>
      </x:c>
      <x:c r="G16" s="26" t="str"/>
      <x:c r="H16" s="57" t="str">
        <x:v>Procedimentos de sigilo reforçado, restrição de acesso e fluxos de emergência para esses casos;Protocolo para situações de risco à vida ou à integridade de pessoas privadas de liberdade;Protocolo para assédio moral ou sexual envolvendo servidores(as) penais;Protocolo para outras formas de violência institucional em unidades penais;Protocolo para corrupção e irregularidades graves na gestão dos serviços penais;Protocolo para ameaças, retaliações ou perseguições contra servidores(as) penais em razão de manifestações ou denúncias;Protocolo para casos de tortura ou tratamento cruel, desumano ou degradante em unidades penais;</x:v>
      </x:c>
      <x:c r="I16" s="66" t="str">
        <x:v>Art. 4º, II e §2º; art. 10, III.</x:v>
      </x:c>
      <x:c r="J16" s="26" t="n">
        <x:f>IF(G16="Atende",4,IF(G16="Parcial",2.0,0))</x:f>
        <x:v>0</x:v>
      </x:c>
      <x:c r="K16" s="26" t="str"/>
      <x:c r="L16" s="57" t="str">
        <x:v>Antivírus institucional instalado nas estações de trabalho;Acesso restrito a pastas/sistemas que contenham manifestações;Mecanismos de autenticação e controle de acesso aos dados;Rotina de backup periódico dos dados da Ouvidoria;Política interna ou instruções sobre tratamento de dados pessoais;</x:v>
      </x:c>
      <x:c r="M16" s="66" t="str">
        <x:v>Art. 7º, §4º, II e III; §5º.</x:v>
      </x:c>
      <x:c r="N16" s="26" t="n">
        <x:f>IF(K16="Atende",4,IF(K16="Parcial",2.0,0))</x:f>
        <x:v>0</x:v>
      </x:c>
      <x:c r="O16" s="26" t="str"/>
      <x:c r="P16" s="57" t="str">
        <x:v>Além do termo, há rotinas de reforço e capacitação periódica sobre sigilo e proteção de dados pessoais</x:v>
      </x:c>
      <x:c r="Q16" s="66" t="str">
        <x:v>Art. 9º, §4º.</x:v>
      </x:c>
      <x:c r="R16" s="26" t="n">
        <x:f>IF(O16="Atende",3,IF(O16="Parcial",1.5,0))</x:f>
        <x:v>0</x:v>
      </x:c>
      <x:c r="S16" s="26" t="n">
        <x:f>SUM(F16,J16,N16,R16)</x:f>
        <x:v>0</x:v>
      </x:c>
      <x:c r="T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Toda manifestação é registrada com número de protocolo, é classificada por tipo e passa por análise preliminar, com critérios para arquivamento fundamentado e para o tratamento de manifestações anônimas</x:v>
      </x:c>
      <x:c r="E17" s="66" t="str">
        <x:v>Art. 11; art. 12, caput e §2º.</x:v>
      </x:c>
      <x:c r="F17" s="26" t="n">
        <x:f>IF(C17="Atende",4,IF(C17="Parcial",2.0,0))</x:f>
        <x:v>0</x:v>
      </x:c>
      <x:c r="G17" s="26" t="str"/>
      <x:c r="H17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penais;Procedimentos de sigilo reforçado, restrição de acesso e fluxos de emergência para esses casos;</x:v>
      </x:c>
      <x:c r="I17" s="66" t="str">
        <x:v>Art. 4º, II e §2º; art. 10, III.</x:v>
      </x:c>
      <x:c r="J17" s="26" t="n">
        <x:f>IF(G17="Atende",4,IF(G17="Parcial",2.0,0))</x:f>
        <x:v>0</x:v>
      </x:c>
      <x:c r="K17" s="26" t="str"/>
      <x:c r="L17" s="57" t="str">
        <x:v>Antivírus institucional instalado nas estações de trabalho;Mecanismos de autenticação e controle de acesso aos dados;Acesso restrito a pastas/sistemas que contenham manifestações;Política interna ou instruções sobre tratamento de dados pessoais;</x:v>
      </x:c>
      <x:c r="M17" s="66" t="str">
        <x:v>Art. 7º, §4º, II e III; §5º.</x:v>
      </x:c>
      <x:c r="N17" s="26" t="n">
        <x:f>IF(K17="Atende",4,IF(K17="Parcial",2.0,0))</x:f>
        <x:v>0</x:v>
      </x:c>
      <x:c r="O17" s="26" t="str"/>
      <x:c r="P17" s="57" t="str">
        <x:v>Há cláusulas genéricas de sigilo em códigos de ética ou normativos equivalentes</x:v>
      </x:c>
      <x:c r="Q17" s="66" t="str">
        <x:v>Art. 9º, §4º.</x:v>
      </x:c>
      <x:c r="R17" s="26" t="n">
        <x:f>IF(O17="Atende",3,IF(O17="Parcial",1.5,0))</x:f>
        <x:v>0</x:v>
      </x:c>
      <x:c r="S17" s="26" t="n">
        <x:f>SUM(F17,J17,N17,R17)</x:f>
        <x:v>0</x:v>
      </x:c>
      <x:c r="T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Toda manifestação é registrada com número de protocolo, é classificada por tipo e passa por análise preliminar, com critérios para arquivamento fundamentado e para o tratamento de manifestações anônimas</x:v>
      </x:c>
      <x:c r="E18" s="66" t="str">
        <x:v>Art. 11; art. 12, caput e §2º.</x:v>
      </x:c>
      <x:c r="F18" s="26" t="n">
        <x:f>IF(C18="Atende",4,IF(C18="Parcial",2.0,0))</x:f>
        <x:v>0</x:v>
      </x:c>
      <x:c r="G18" s="26" t="str"/>
      <x:c r="H18" s="57" t="str">
        <x:v>Procedimentos de sigilo reforçado, restrição de acesso e fluxos de emergência para esses casos;Protocolo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</x:v>
      </x:c>
      <x:c r="I18" s="66" t="str">
        <x:v>Art. 4º, II e §2º; art. 10, III.</x:v>
      </x:c>
      <x:c r="J18" s="26" t="n">
        <x:f>IF(G18="Atende",4,IF(G18="Parcial",2.0,0))</x:f>
        <x:v>0</x:v>
      </x:c>
      <x:c r="K18" s="26" t="str"/>
      <x:c r="L18" s="57" t="str">
        <x:v>Acesso restrito a pastas/sistemas que contenham manifestações;</x:v>
      </x:c>
      <x:c r="M18" s="66" t="str">
        <x:v>Art. 7º, §4º, II e III; §5º.</x:v>
      </x:c>
      <x:c r="N18" s="26" t="n">
        <x:f>IF(K18="Atende",4,IF(K18="Parcial",2.0,0))</x:f>
        <x:v>0</x:v>
      </x:c>
      <x:c r="O18" s="26" t="str"/>
      <x:c r="P18" s="57" t="str">
        <x:v>Há cláusulas genéricas de sigilo em códigos de ética ou normativos equivalentes</x:v>
      </x:c>
      <x:c r="Q18" s="66" t="str">
        <x:v>Art. 9º, §4º.</x:v>
      </x:c>
      <x:c r="R18" s="26" t="n">
        <x:f>IF(O18="Atende",3,IF(O18="Parcial",1.5,0))</x:f>
        <x:v>0</x:v>
      </x:c>
      <x:c r="S18" s="26" t="n">
        <x:f>SUM(F18,J18,N18,R18)</x:f>
        <x:v>0</x:v>
      </x:c>
      <x:c r="T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Toda manifestação é registrada com número de protocolo, é classificada por tipo e passa por análise preliminar, com critérios para arquivamento fundamentado e para o tratamento de manifestações anônimas</x:v>
      </x:c>
      <x:c r="E19" s="66" t="str">
        <x:v>Art. 11; art. 12, caput e §2º.</x:v>
      </x:c>
      <x:c r="F19" s="26" t="n">
        <x:f>IF(C19="Atende",4,IF(C19="Parcial",2.0,0))</x:f>
        <x:v>0</x:v>
      </x:c>
      <x:c r="G19" s="26" t="str"/>
      <x:c r="H19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x:v>
      </x:c>
      <x:c r="I19" s="66" t="str">
        <x:v>Art. 4º, II e §2º; art. 10, III.</x:v>
      </x:c>
      <x:c r="J19" s="26" t="n">
        <x:f>IF(G19="Atende",4,IF(G19="Parcial",2.0,0))</x:f>
        <x:v>0</x:v>
      </x:c>
      <x:c r="K19" s="26" t="str"/>
      <x:c r="L19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19" s="66" t="str">
        <x:v>Art. 7º, §4º, II e III; §5º.</x:v>
      </x:c>
      <x:c r="N19" s="26" t="n">
        <x:f>IF(K19="Atende",4,IF(K19="Parcial",2.0,0))</x:f>
        <x:v>0</x:v>
      </x:c>
      <x:c r="O19" s="26" t="str"/>
      <x:c r="P19" s="57" t="str">
        <x:v>Não há qualquer instrumento formal de sigilo para a equipe da Ouvidoria</x:v>
      </x:c>
      <x:c r="Q19" s="66" t="str">
        <x:v>Art. 9º, §4º.</x:v>
      </x:c>
      <x:c r="R19" s="26" t="n">
        <x:f>IF(O19="Atende",3,IF(O19="Parcial",1.5,0))</x:f>
        <x:v>0</x:v>
      </x:c>
      <x:c r="S19" s="26" t="n">
        <x:f>SUM(F19,J19,N19,R19)</x:f>
        <x:v>0</x:v>
      </x:c>
      <x:c r="T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Toda manifestação é registrada com número de protocolo, é classificada por tipo e passa por análise preliminar, com critérios para arquivamento fundamentado e para o tratamento de manifestações anônimas</x:v>
      </x:c>
      <x:c r="E20" s="66" t="str">
        <x:v>Art. 11; art. 12, caput e §2º.</x:v>
      </x:c>
      <x:c r="F20" s="26" t="n">
        <x:f>IF(C20="Atende",4,IF(C20="Parcial",2.0,0))</x:f>
        <x:v>0</x:v>
      </x:c>
      <x:c r="G20" s="26" t="str"/>
      <x:c r="H20" s="57" t="str">
        <x:v>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casos;A OGE/MG possui uma Ouvidoria de Prevenção e Combate ao Assédio Moral e Sexual, bem como Ouvidoria de Prevenção e Combate a Corrupção. ;</x:v>
      </x:c>
      <x:c r="I20" s="66" t="str">
        <x:v>Art. 4º, II e §2º; art. 10, III.</x:v>
      </x:c>
      <x:c r="J20" s="26" t="n">
        <x:f>IF(G20="Atende",4,IF(G20="Parcial",2.0,0))</x:f>
        <x:v>0</x:v>
      </x:c>
      <x:c r="K20" s="26" t="str"/>
      <x:c r="L20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20" s="66" t="str">
        <x:v>Art. 7º, §4º, II e III; §5º.</x:v>
      </x:c>
      <x:c r="N20" s="26" t="n">
        <x:f>IF(K20="Atende",4,IF(K20="Parcial",2.0,0))</x:f>
        <x:v>0</x:v>
      </x:c>
      <x:c r="O20" s="26" t="str"/>
      <x:c r="P20" s="57" t="str">
        <x:v>Além do termo, há rotinas de reforço e capacitação periódica sobre sigilo e proteção de dados pessoais</x:v>
      </x:c>
      <x:c r="Q20" s="66" t="str">
        <x:v>Art. 9º, §4º.</x:v>
      </x:c>
      <x:c r="R20" s="26" t="n">
        <x:f>IF(O20="Atende",3,IF(O20="Parcial",1.5,0))</x:f>
        <x:v>0</x:v>
      </x:c>
      <x:c r="S20" s="26" t="n">
        <x:f>SUM(F20,J20,N20,R20)</x:f>
        <x:v>0</x:v>
      </x:c>
      <x:c r="T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Não há Ouvidoria consituída</x:v>
      </x:c>
      <x:c r="E21" s="66" t="str">
        <x:v>Art. 11; art. 12, caput e §2º.</x:v>
      </x:c>
      <x:c r="F21" s="26" t="n">
        <x:f>IF(C21="Atende",4,IF(C21="Parcial",2.0,0))</x:f>
        <x:v>0</x:v>
      </x:c>
      <x:c r="G21" s="26" t="str"/>
      <x:c r="H21" s="57" t="str">
        <x:v>Não há Ouvidoria consituída;</x:v>
      </x:c>
      <x:c r="I21" s="66" t="str">
        <x:v>Art. 4º, II e §2º; art. 10, III.</x:v>
      </x:c>
      <x:c r="J21" s="26" t="n">
        <x:f>IF(G21="Atende",4,IF(G21="Parcial",2.0,0))</x:f>
        <x:v>0</x:v>
      </x:c>
      <x:c r="K21" s="26" t="str"/>
      <x:c r="L21" s="57" t="str">
        <x:v>Antivírus institucional instalado nas estações de trabalho;Rotina de backup periódico dos dados da Ouvidoria;Acesso restrito a pastas/sistemas que contenham manifestações;Política interna ou instruções sobre tratamento de dados pessoais;Mecanismos de autenticação e controle de acesso aos dados;</x:v>
      </x:c>
      <x:c r="M21" s="66" t="str">
        <x:v>Art. 7º, §4º, II e III; §5º.</x:v>
      </x:c>
      <x:c r="N21" s="26" t="n">
        <x:f>IF(K21="Atende",4,IF(K21="Parcial",2.0,0))</x:f>
        <x:v>0</x:v>
      </x:c>
      <x:c r="O21" s="26" t="str"/>
      <x:c r="P21" s="57" t="str">
        <x:v>Não há equipe</x:v>
      </x:c>
      <x:c r="Q21" s="66" t="str">
        <x:v>Art. 9º, §4º.</x:v>
      </x:c>
      <x:c r="R21" s="26" t="n">
        <x:f>IF(O21="Atende",3,IF(O21="Parcial",1.5,0))</x:f>
        <x:v>0</x:v>
      </x:c>
      <x:c r="S21" s="26" t="n">
        <x:f>SUM(F21,J21,N21,R21)</x:f>
        <x:v>0</x:v>
      </x:c>
      <x:c r="T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Toda manifestação é registrada com número de protocolo, é classificada por tipo e passa por análise preliminar, com critérios para arquivamento fundamentado e para o tratamento de manifestações anônimas</x:v>
      </x:c>
      <x:c r="E22" s="66" t="str">
        <x:v>Art. 11; art. 12, caput e §2º.</x:v>
      </x:c>
      <x:c r="F22" s="26" t="n">
        <x:f>IF(C22="Atende",4,IF(C22="Parcial",2.0,0))</x:f>
        <x:v>0</x:v>
      </x:c>
      <x:c r="G22" s="26" t="str"/>
      <x:c r="H22" s="57" t="str">
        <x:v>Protocolo para situações de risco à vida ou à integridade de pessoas privadas de liberdade;Protocolo para casos de tortura ou tratamento cruel, desumano ou degradante em unidades penais;Protocolo para assédio moral ou sexual envolvendo servidores(as) penais;Protocolo para ameaças, retaliações ou perseguições contra servidores(as) penais em razão de manifestações ou denúncias;</x:v>
      </x:c>
      <x:c r="I22" s="66" t="str">
        <x:v>Art. 4º, II e §2º; art. 10, III.</x:v>
      </x:c>
      <x:c r="J22" s="26" t="n">
        <x:f>IF(G22="Atende",4,IF(G22="Parcial",2.0,0))</x:f>
        <x:v>0</x:v>
      </x:c>
      <x:c r="K22" s="26" t="str"/>
      <x:c r="L22" s="57" t="str">
        <x:v>Rotina de backup periódico dos dados da Ouvidoria;Política interna ou instruções sobre tratamento de dados pessoais;</x:v>
      </x:c>
      <x:c r="M22" s="66" t="str">
        <x:v>Art. 7º, §4º, II e III; §5º.</x:v>
      </x:c>
      <x:c r="N22" s="26" t="n">
        <x:f>IF(K22="Atende",4,IF(K22="Parcial",2.0,0))</x:f>
        <x:v>0</x:v>
      </x:c>
      <x:c r="O22" s="26" t="str"/>
      <x:c r="P22" s="57" t="str">
        <x:v>Não há qualquer instrumento formal de sigilo para a equipe da Ouvidoria</x:v>
      </x:c>
      <x:c r="Q22" s="66" t="str">
        <x:v>Art. 9º, §4º.</x:v>
      </x:c>
      <x:c r="R22" s="26" t="n">
        <x:f>IF(O22="Atende",3,IF(O22="Parcial",1.5,0))</x:f>
        <x:v>0</x:v>
      </x:c>
      <x:c r="S22" s="26" t="n">
        <x:f>SUM(F22,J22,N22,R22)</x:f>
        <x:v>0</x:v>
      </x:c>
      <x:c r="T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Toda manifestação é registrada com número de protocolo, é classificada por tipo e passa por análise preliminar, com critérios para arquivamento fundamentado e para o tratamento de manifestações anônimas</x:v>
      </x:c>
      <x:c r="E23" s="66" t="str">
        <x:v>Art. 11; art. 12, caput e §2º.</x:v>
      </x:c>
      <x:c r="F23" s="26" t="n">
        <x:f>IF(C23="Atende",4,IF(C23="Parcial",2.0,0))</x:f>
        <x:v>0</x:v>
      </x:c>
      <x:c r="G23" s="26" t="str"/>
      <x:c r="H23" s="57" t="str">
        <x:v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x:v>
      </x:c>
      <x:c r="I23" s="66" t="str">
        <x:v>Art. 4º, II e §2º; art. 10, III.</x:v>
      </x:c>
      <x:c r="J23" s="26" t="n">
        <x:f>IF(G23="Atende",4,IF(G23="Parcial",2.0,0))</x:f>
        <x:v>0</x:v>
      </x:c>
      <x:c r="K23" s="26" t="str"/>
      <x:c r="L23" s="57" t="str">
        <x:v>Mecanismos de autenticação e controle de acesso aos dados;Acesso restrito a pastas/sistemas que contenham manifestações;</x:v>
      </x:c>
      <x:c r="M23" s="66" t="str">
        <x:v>Art. 7º, §4º, II e III; §5º.</x:v>
      </x:c>
      <x:c r="N23" s="26" t="n">
        <x:f>IF(K23="Atende",4,IF(K23="Parcial",2.0,0))</x:f>
        <x:v>0</x:v>
      </x:c>
      <x:c r="O23" s="26" t="str"/>
      <x:c r="P23" s="57" t="str">
        <x:v>A equipe assina Termo de Compromisso de Manutenção de Sigilo Funcional específico para atuação na Ouvidoria de Serviços Penais</x:v>
      </x:c>
      <x:c r="Q23" s="66" t="str">
        <x:v>Art. 9º, §4º.</x:v>
      </x:c>
      <x:c r="R23" s="26" t="n">
        <x:f>IF(O23="Atende",3,IF(O23="Parcial",1.5,0))</x:f>
        <x:v>0</x:v>
      </x:c>
      <x:c r="S23" s="26" t="n">
        <x:f>SUM(F23,J23,N23,R23)</x:f>
        <x:v>0</x:v>
      </x:c>
      <x:c r="T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Toda manifestação é registrada com número de protocolo, é classificada por tipo e passa por análise preliminar, com critérios para arquivamento fundamentado e para o tratamento de manifestações anônimas</x:v>
      </x:c>
      <x:c r="E24" s="66" t="str">
        <x:v>Art. 11; art. 12, caput e §2º.</x:v>
      </x:c>
      <x:c r="F24" s="26" t="n">
        <x:f>IF(C24="Atende",4,IF(C24="Parcial",2.0,0))</x:f>
        <x:v>0</x:v>
      </x:c>
      <x:c r="G24" s="26" t="str"/>
      <x:c r="H24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x:v>
      </x:c>
      <x:c r="I24" s="66" t="str">
        <x:v>Art. 4º, II e §2º; art. 10, III.</x:v>
      </x:c>
      <x:c r="J24" s="26" t="n">
        <x:f>IF(G24="Atende",4,IF(G24="Parcial",2.0,0))</x:f>
        <x:v>0</x:v>
      </x:c>
      <x:c r="K24" s="26" t="str"/>
      <x:c r="L24" s="57" t="str">
        <x:v>Antivírus institucional instalado nas estações de trabalho;Acesso restrito a pastas/sistemas que contenham manifestações;</x:v>
      </x:c>
      <x:c r="M24" s="66" t="str">
        <x:v>Art. 7º, §4º, II e III; §5º.</x:v>
      </x:c>
      <x:c r="N24" s="26" t="n">
        <x:f>IF(K24="Atende",4,IF(K24="Parcial",2.0,0))</x:f>
        <x:v>0</x:v>
      </x:c>
      <x:c r="O24" s="26" t="str"/>
      <x:c r="P24" s="57" t="str">
        <x:v>Além do termo, há rotinas de reforço e capacitação periódica sobre sigilo e proteção de dados pessoais</x:v>
      </x:c>
      <x:c r="Q24" s="66" t="str">
        <x:v>Art. 9º, §4º.</x:v>
      </x:c>
      <x:c r="R24" s="26" t="n">
        <x:f>IF(O24="Atende",3,IF(O24="Parcial",1.5,0))</x:f>
        <x:v>0</x:v>
      </x:c>
      <x:c r="S24" s="26" t="n">
        <x:f>SUM(F24,J24,N24,R24)</x:f>
        <x:v>0</x:v>
      </x:c>
      <x:c r="T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Toda manifestação é registrada com número de protocolo, é classificada por tipo e passa por análise preliminar, com critérios para arquivamento fundamentado e para o tratamento de manifestações anônimas</x:v>
      </x:c>
      <x:c r="E25" s="66" t="str">
        <x:v>Art. 11; art. 12, caput e §2º.</x:v>
      </x:c>
      <x:c r="F25" s="26" t="n">
        <x:f>IF(C25="Atende",4,IF(C25="Parcial",2.0,0))</x:f>
        <x:v>0</x:v>
      </x:c>
      <x:c r="G25" s="26" t="str"/>
      <x:c r="H25" s="57" t="str">
        <x:v>Protocolo para situações de risco à vida ou à integridade de pessoas privadas de liberdade;Protocolo para casos de tortura ou tratamento cruel, desumano ou degradante em unidades penais;Protocolo para assédio moral ou sexual envolvendo servidores(as) penais;</x:v>
      </x:c>
      <x:c r="I25" s="66" t="str">
        <x:v>Art. 4º, II e §2º; art. 10, III.</x:v>
      </x:c>
      <x:c r="J25" s="26" t="n">
        <x:f>IF(G25="Atende",4,IF(G25="Parcial",2.0,0))</x:f>
        <x:v>0</x:v>
      </x:c>
      <x:c r="K25" s="26" t="str"/>
      <x:c r="L25" s="57" t="str">
        <x:v>Antivírus institucional instalado nas estações de trabalho;Acesso restrito a pastas/sistemas que contenham manifestações;Política interna ou instruções sobre tratamento de dados pessoais;</x:v>
      </x:c>
      <x:c r="M25" s="66" t="str">
        <x:v>Art. 7º, §4º, II e III; §5º.</x:v>
      </x:c>
      <x:c r="N25" s="26" t="n">
        <x:f>IF(K25="Atende",4,IF(K25="Parcial",2.0,0))</x:f>
        <x:v>0</x:v>
      </x:c>
      <x:c r="O25" s="26" t="str"/>
      <x:c r="P25" s="57" t="str">
        <x:v>Há cláusulas genéricas de sigilo em códigos de ética ou normativos equivalentes</x:v>
      </x:c>
      <x:c r="Q25" s="66" t="str">
        <x:v>Art. 9º, §4º.</x:v>
      </x:c>
      <x:c r="R25" s="26" t="n">
        <x:f>IF(O25="Atende",3,IF(O25="Parcial",1.5,0))</x:f>
        <x:v>0</x:v>
      </x:c>
      <x:c r="S25" s="26" t="n">
        <x:f>SUM(F25,J25,N25,R25)</x:f>
        <x:v>0</x:v>
      </x:c>
      <x:c r="T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Toda manifestação é registrada com número de protocolo, é classificada por tipo e passa por análise preliminar, com critérios para arquivamento fundamentado e para o tratamento de manifestações anônimas</x:v>
      </x:c>
      <x:c r="E26" s="66" t="str">
        <x:v>Art. 11; art. 12, caput e §2º.</x:v>
      </x:c>
      <x:c r="F26" s="26" t="n">
        <x:f>IF(C26="Atende",4,IF(C26="Parcial",2.0,0))</x:f>
        <x:v>0</x:v>
      </x:c>
      <x:c r="G26" s="26" t="str"/>
      <x:c r="H26" s="57" t="str">
        <x:v>Protocolo para situações de risco à vida ou à integridade de pessoas privadas de liberdade;Protocolo para ameaças, retaliações ou perseguições contra servidores(as) penais em razão de manifestações ou denúncias;Protocolo para assédio moral ou sexual envolvendo servidores(as) penais;Protocolo para corrupção e irregularidades graves na gestão dos serviços penais;Procedimentos de sigilo reforçado, restrição de acesso e fluxos de emergência para esses casos;Protocolo para casos de tortura ou tratamento cruel, desumano ou degradante em unidades penais;Protocolo para outras formas de violência institucional em unidades penais;</x:v>
      </x:c>
      <x:c r="I26" s="66" t="str">
        <x:v>Art. 4º, II e §2º; art. 10, III.</x:v>
      </x:c>
      <x:c r="J26" s="26" t="n">
        <x:f>IF(G26="Atende",4,IF(G26="Parcial",2.0,0))</x:f>
        <x:v>0</x:v>
      </x:c>
      <x:c r="K26" s="26" t="str"/>
      <x:c r="L26" s="57" t="str">
        <x:v>Política interna ou instruções sobre tratamento de dados pessoais;Acesso restrito a pastas/sistemas que contenham manifestações;Rotina de backup periódico dos dados da Ouvidoria;Mecanismos de autenticação e controle de acesso aos dados;Antivírus institucional instalado nas estações de trabalho;</x:v>
      </x:c>
      <x:c r="M26" s="66" t="str">
        <x:v>Art. 7º, §4º, II e III; §5º.</x:v>
      </x:c>
      <x:c r="N26" s="26" t="n">
        <x:f>IF(K26="Atende",4,IF(K26="Parcial",2.0,0))</x:f>
        <x:v>0</x:v>
      </x:c>
      <x:c r="O26" s="26" t="str"/>
      <x:c r="P26" s="57" t="str">
        <x:v>Além do termo, há rotinas de reforço e capacitação periódica sobre sigilo e proteção de dados pessoais</x:v>
      </x:c>
      <x:c r="Q26" s="66" t="str">
        <x:v>Art. 9º, §4º.</x:v>
      </x:c>
      <x:c r="R26" s="26" t="n">
        <x:f>IF(O26="Atende",3,IF(O26="Parcial",1.5,0))</x:f>
        <x:v>0</x:v>
      </x:c>
      <x:c r="S26" s="26" t="n">
        <x:f>SUM(F26,J26,N26,R26)</x:f>
        <x:v>0</x:v>
      </x:c>
      <x:c r="T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Toda manifestação é registrada com número de protocolo, é classificada por tipo e passa por análise preliminar, com critérios para arquivamento fundamentado e para o tratamento de manifestações anônimas</x:v>
      </x:c>
      <x:c r="E27" s="66" t="str">
        <x:v>Art. 11; art. 12, caput e §2º.</x:v>
      </x:c>
      <x:c r="F27" s="26" t="n">
        <x:f>IF(C27="Atende",4,IF(C27="Parcial",2.0,0))</x:f>
        <x:v>0</x:v>
      </x:c>
      <x:c r="G27" s="26" t="str"/>
      <x:c r="H27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x:v>
      </x:c>
      <x:c r="I27" s="66" t="str">
        <x:v>Art. 4º, II e §2º; art. 10, III.</x:v>
      </x:c>
      <x:c r="J27" s="26" t="n">
        <x:f>IF(G27="Atende",4,IF(G27="Parcial",2.0,0))</x:f>
        <x:v>0</x:v>
      </x:c>
      <x:c r="K27" s="26" t="str"/>
      <x:c r="L27" s="57" t="str">
        <x:v>Política interna ou instruções sobre tratamento de dados pessoais;</x:v>
      </x:c>
      <x:c r="M27" s="66" t="str">
        <x:v>Art. 7º, §4º, II e III; §5º.</x:v>
      </x:c>
      <x:c r="N27" s="26" t="n">
        <x:f>IF(K27="Atende",4,IF(K27="Parcial",2.0,0))</x:f>
        <x:v>0</x:v>
      </x:c>
      <x:c r="O27" s="26" t="str"/>
      <x:c r="P27" s="57" t="str">
        <x:v>Há cláusulas genéricas de sigilo em códigos de ética ou normativos equivalentes</x:v>
      </x:c>
      <x:c r="Q27" s="66" t="str">
        <x:v>Art. 9º, §4º.</x:v>
      </x:c>
      <x:c r="R27" s="26" t="n">
        <x:f>IF(O27="Atende",3,IF(O27="Parcial",1.5,0))</x:f>
        <x:v>0</x:v>
      </x:c>
      <x:c r="S27" s="26" t="n">
        <x:f>SUM(F27,J27,N27,R27)</x:f>
        <x:v>0</x:v>
      </x:c>
      <x:c r="T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As manifestações são registradas com número de protocolo, mas sem classificação ou critérios claros de análise preliminar</x:v>
      </x:c>
      <x:c r="E28" s="66" t="str">
        <x:v>Art. 11; art. 12, caput e §2º.</x:v>
      </x:c>
      <x:c r="F28" s="26" t="n">
        <x:f>IF(C28="Atende",4,IF(C28="Parcial",2.0,0))</x:f>
        <x:v>0</x:v>
      </x:c>
      <x:c r="G28" s="26" t="str"/>
      <x:c r="H28" s="57" t="str">
        <x:v>Procedimentos de sigilo reforçado, restrição de acesso e fluxos de emergência para esses casos;Protocolo para corrupção e irregularidades graves na gestão dos serviços penais;</x:v>
      </x:c>
      <x:c r="I28" s="66" t="str">
        <x:v>Art. 4º, II e §2º; art. 10, III.</x:v>
      </x:c>
      <x:c r="J28" s="26" t="n">
        <x:f>IF(G28="Atende",4,IF(G28="Parcial",2.0,0))</x:f>
        <x:v>0</x:v>
      </x:c>
      <x:c r="K28" s="26" t="str"/>
      <x:c r="L28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28" s="66" t="str">
        <x:v>Art. 7º, §4º, II e III; §5º.</x:v>
      </x:c>
      <x:c r="N28" s="26" t="n">
        <x:f>IF(K28="Atende",4,IF(K28="Parcial",2.0,0))</x:f>
        <x:v>0</x:v>
      </x:c>
      <x:c r="O28" s="26" t="str"/>
      <x:c r="P28" s="57" t="str">
        <x:v>Há cláusulas genéricas de sigilo em códigos de ética ou normativos equivalentes</x:v>
      </x:c>
      <x:c r="Q28" s="66" t="str">
        <x:v>Art. 9º, §4º.</x:v>
      </x:c>
      <x:c r="R28" s="26" t="n">
        <x:f>IF(O28="Atende",3,IF(O28="Parcial",1.5,0))</x:f>
        <x:v>0</x:v>
      </x:c>
      <x:c r="S28" s="26" t="n">
        <x:f>SUM(F28,J28,N28,R28)</x:f>
        <x:v>0</x:v>
      </x:c>
      <x:c r="T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As manifestações são registradas com número de protocolo, mas sem classificação ou critérios claros de análise preliminar</x:v>
      </x:c>
      <x:c r="E29" s="66" t="str">
        <x:v>Art. 11; art. 12, caput e §2º.</x:v>
      </x:c>
      <x:c r="F29" s="26" t="n">
        <x:f>IF(C29="Atende",4,IF(C29="Parcial",2.0,0))</x:f>
        <x:v>0</x:v>
      </x:c>
      <x:c r="G29" s="26" t="str"/>
      <x:c r="H29" s="57" t="str">
        <x:v>Protocolo para situações de risco à vida ou à integridade de pessoas privadas de liberdade;Protocolo para casos de tortura ou tratamento cruel, desumano ou degradante em unidades penais;Protocolo para assédio moral ou sexual envolvendo servidores(as) penais;Procedimentos de sigilo reforçado, restrição de acesso e fluxos de emergência para esses casos;</x:v>
      </x:c>
      <x:c r="I29" s="66" t="str">
        <x:v>Art. 4º, II e §2º; art. 10, III.</x:v>
      </x:c>
      <x:c r="J29" s="26" t="n">
        <x:f>IF(G29="Atende",4,IF(G29="Parcial",2.0,0))</x:f>
        <x:v>0</x:v>
      </x:c>
      <x:c r="K29" s="26" t="str"/>
      <x:c r="L29" s="57" t="str">
        <x:v>Acesso restrito a pastas/sistemas que contenham manifestações;</x:v>
      </x:c>
      <x:c r="M29" s="66" t="str">
        <x:v>Art. 7º, §4º, II e III; §5º.</x:v>
      </x:c>
      <x:c r="N29" s="26" t="n">
        <x:f>IF(K29="Atende",4,IF(K29="Parcial",2.0,0))</x:f>
        <x:v>0</x:v>
      </x:c>
      <x:c r="O29" s="26" t="str"/>
      <x:c r="P29" s="57" t="str">
        <x:v>Não há qualquer instrumento formal de sigilo para a equipe da Ouvidoria</x:v>
      </x:c>
      <x:c r="Q29" s="66" t="str">
        <x:v>Art. 9º, §4º.</x:v>
      </x:c>
      <x:c r="R29" s="26" t="n">
        <x:f>IF(O29="Atende",3,IF(O29="Parcial",1.5,0))</x:f>
        <x:v>0</x:v>
      </x:c>
      <x:c r="S29" s="26" t="n">
        <x:f>SUM(F29,J29,N29,R29)</x:f>
        <x:v>0</x:v>
      </x:c>
      <x:c r="T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Toda manifestação é registrada com número de protocolo, é classificada por tipo e passa por análise preliminar, com critérios para arquivamento fundamentado e para o tratamento de manifestações anônimas</x:v>
      </x:c>
      <x:c r="E30" s="66" t="str">
        <x:v>Art. 11; art. 12, caput e §2º.</x:v>
      </x:c>
      <x:c r="F30" s="26" t="n">
        <x:f>IF(C30="Atende",4,IF(C30="Parcial",2.0,0))</x:f>
        <x:v>0</x:v>
      </x:c>
      <x:c r="G30" s="26" t="str"/>
      <x:c r="H30" s="57" t="str">
        <x:v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x:v>
      </x:c>
      <x:c r="I30" s="66" t="str">
        <x:v>Art. 4º, II e §2º; art. 10, III.</x:v>
      </x:c>
      <x:c r="J30" s="26" t="n">
        <x:f>IF(G30="Atende",4,IF(G30="Parcial",2.0,0))</x:f>
        <x:v>0</x:v>
      </x:c>
      <x:c r="K30" s="26" t="str"/>
      <x:c r="L30" s="57" t="str">
        <x:v>Antivírus institucional instalado nas estações de trabalho;Mecanismos de autenticação e controle de acesso aos dados;Acesso restrito a pastas/sistemas que contenham manifestações;</x:v>
      </x:c>
      <x:c r="M30" s="66" t="str">
        <x:v>Art. 7º, §4º, II e III; §5º.</x:v>
      </x:c>
      <x:c r="N30" s="26" t="n">
        <x:f>IF(K30="Atende",4,IF(K30="Parcial",2.0,0))</x:f>
        <x:v>0</x:v>
      </x:c>
      <x:c r="O30" s="26" t="str"/>
      <x:c r="P30" s="57" t="str">
        <x:v>Há cláusulas genéricas de sigilo em códigos de ética ou normativos equivalentes</x:v>
      </x:c>
      <x:c r="Q30" s="66" t="str">
        <x:v>Art. 9º, §4º.</x:v>
      </x:c>
      <x:c r="R30" s="26" t="n">
        <x:f>IF(O30="Atende",3,IF(O30="Parcial",1.5,0))</x:f>
        <x:v>0</x:v>
      </x:c>
      <x:c r="S30" s="26" t="n">
        <x:f>SUM(F30,J30,N30,R30)</x:f>
        <x:v>0</x:v>
      </x:c>
      <x:c r="T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Toda manifestação é registrada com número de protocolo, é classificada por tipo e passa por análise preliminar, com critérios para arquivamento fundamentado e para o tratamento de manifestações anônimas</x:v>
      </x:c>
      <x:c r="E31" s="66" t="str">
        <x:v>Art. 11; art. 12, caput e §2º.</x:v>
      </x:c>
      <x:c r="F31" s="26" t="n">
        <x:f>IF(C31="Atende",4,IF(C31="Parcial",2.0,0))</x:f>
        <x:v>0</x:v>
      </x:c>
      <x:c r="G31" s="26" t="str"/>
      <x:c r="H31" s="57" t="str">
        <x:v>Procedimentos de sigilo reforçado, restrição de acesso e fluxos de emergência para esses casos;Protocolo para assédio moral ou sexual envolvendo servidores(as) penais;</x:v>
      </x:c>
      <x:c r="I31" s="66" t="str">
        <x:v>Art. 4º, II e §2º; art. 10, III.</x:v>
      </x:c>
      <x:c r="J31" s="26" t="n">
        <x:f>IF(G31="Atende",4,IF(G31="Parcial",2.0,0))</x:f>
        <x:v>0</x:v>
      </x:c>
      <x:c r="K31" s="26" t="str"/>
      <x:c r="L31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M31" s="66" t="str">
        <x:v>Art. 7º, §4º, II e III; §5º.</x:v>
      </x:c>
      <x:c r="N31" s="26" t="n">
        <x:f>IF(K31="Atende",4,IF(K31="Parcial",2.0,0))</x:f>
        <x:v>0</x:v>
      </x:c>
      <x:c r="O31" s="26" t="str"/>
      <x:c r="P31" s="57" t="str">
        <x:v>Além do termo, há rotinas de reforço e capacitação periódica sobre sigilo e proteção de dados pessoais</x:v>
      </x:c>
      <x:c r="Q31" s="66" t="str">
        <x:v>Art. 9º, §4º.</x:v>
      </x:c>
      <x:c r="R31" s="26" t="n">
        <x:f>IF(O31="Atende",3,IF(O31="Parcial",1.5,0))</x:f>
        <x:v>0</x:v>
      </x:c>
      <x:c r="S31" s="26" t="n">
        <x:f>SUM(F31,J31,N31,R31)</x:f>
        <x:v>0</x:v>
      </x:c>
      <x:c r="T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Toda manifestação é registrada com número de protocolo, é classificada por tipo e passa por análise preliminar, com critérios para arquivamento fundamentado e para o tratamento de manifestações anônimas</x:v>
      </x:c>
      <x:c r="E32" s="66" t="str">
        <x:v>Art. 11; art. 12, caput e §2º.</x:v>
      </x:c>
      <x:c r="F32" s="26" t="n">
        <x:f>IF(C32="Atende",4,IF(C32="Parcial",2.0,0))</x:f>
        <x:v>0</x:v>
      </x:c>
      <x:c r="G32" s="26" t="str"/>
      <x:c r="H32" s="57" t="str">
        <x:v>Protocolo para situações de risco à vida ou à integridade de pessoas privadas de liberdade;Protocolo para casos de tortura ou tratamento cruel, desumano ou degradante em unidades penais;Protocolo para assédio moral ou sexual envolvendo servidores(as) penais;Protocolo para outras formas de violência institucional em unidades penais;</x:v>
      </x:c>
      <x:c r="I32" s="66" t="str">
        <x:v>Art. 4º, II e §2º; art. 10, III.</x:v>
      </x:c>
      <x:c r="J32" s="26" t="n">
        <x:f>IF(G32="Atende",4,IF(G32="Parcial",2.0,0))</x:f>
        <x:v>0</x:v>
      </x:c>
      <x:c r="K32" s="26" t="str"/>
      <x:c r="L32" s="57" t="str">
        <x:v>Antivírus institucional instalado nas estações de trabalho;Mecanismos de autenticação e controle de acesso aos dados;Política interna ou instruções sobre tratamento de dados pessoais;Acesso restrito a pastas/sistemas que contenham manifestações;Rotina de backup periódico dos dados da Ouvidoria;</x:v>
      </x:c>
      <x:c r="M32" s="66" t="str">
        <x:v>Art. 7º, §4º, II e III; §5º.</x:v>
      </x:c>
      <x:c r="N32" s="26" t="n">
        <x:f>IF(K32="Atende",4,IF(K32="Parcial",2.0,0))</x:f>
        <x:v>0</x:v>
      </x:c>
      <x:c r="O32" s="26" t="str"/>
      <x:c r="P32" s="57" t="str">
        <x:v>A equipe assina Termo de Compromisso de Manutenção de Sigilo Funcional específico para atuação na Ouvidoria de Serviços Penais</x:v>
      </x:c>
      <x:c r="Q32" s="66" t="str">
        <x:v>Art. 9º, §4º.</x:v>
      </x:c>
      <x:c r="R32" s="26" t="n">
        <x:f>IF(O32="Atende",3,IF(O32="Parcial",1.5,0))</x:f>
        <x:v>0</x:v>
      </x:c>
      <x:c r="S32" s="26" t="n">
        <x:f>SUM(F32,J32,N32,R32)</x:f>
        <x:v>0</x:v>
      </x:c>
      <x:c r="T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66" t="str">
        <x:v>Art. 11; art. 12, caput e §2º.</x:v>
      </x:c>
      <x:c r="F33" s="26" t="n">
        <x:f>IF(C33="Atende",4,IF(C33="Parcial",2.0,0))</x:f>
        <x:v>0</x:v>
      </x:c>
      <x:c r="G33" s="26" t="str"/>
      <x:c r="H33" s="57" t="str">
        <x:v>Sem resposta no diagnóstico</x:v>
      </x:c>
      <x:c r="I33" s="66" t="str">
        <x:v>Art. 4º, II e §2º; art. 10, III.</x:v>
      </x:c>
      <x:c r="J33" s="26" t="n">
        <x:f>IF(G33="Atende",4,IF(G33="Parcial",2.0,0))</x:f>
        <x:v>0</x:v>
      </x:c>
      <x:c r="K33" s="26" t="str"/>
      <x:c r="L33" s="57" t="str">
        <x:v>Sem resposta no diagnóstico</x:v>
      </x:c>
      <x:c r="M33" s="66" t="str">
        <x:v>Art. 7º, §4º, II e III; §5º.</x:v>
      </x:c>
      <x:c r="N33" s="26" t="n">
        <x:f>IF(K33="Atende",4,IF(K33="Parcial",2.0,0))</x:f>
        <x:v>0</x:v>
      </x:c>
      <x:c r="O33" s="26" t="str"/>
      <x:c r="P33" s="57" t="str">
        <x:v>Sem resposta no diagnóstico</x:v>
      </x:c>
      <x:c r="Q33" s="66" t="str">
        <x:v>Art. 9º, §4º.</x:v>
      </x:c>
      <x:c r="R33" s="26" t="n">
        <x:f>IF(O33="Atende",3,IF(O33="Parcial",1.5,0))</x:f>
        <x:v>0</x:v>
      </x:c>
      <x:c r="S33" s="26" t="n">
        <x:f>SUM(F33,J33,N33,R33)</x:f>
        <x:v>0</x:v>
      </x:c>
      <x:c r="T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Toda manifestação é registrada com número de protocolo, é classificada por tipo e passa por análise preliminar, com critérios para arquivamento fundamentado e para o tratamento de manifestações anônimas</x:v>
      </x:c>
      <x:c r="E34" s="66" t="str">
        <x:v>Art. 11; art. 12, caput e §2º.</x:v>
      </x:c>
      <x:c r="F34" s="26" t="n">
        <x:f>IF(C34="Atende",4,IF(C34="Parcial",2.0,0))</x:f>
        <x:v>0</x:v>
      </x:c>
      <x:c r="G34" s="26" t="str"/>
      <x:c r="H34" s="57" t="str">
        <x:v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x:v>
      </x:c>
      <x:c r="I34" s="66" t="str">
        <x:v>Art. 4º, II e §2º; art. 10, III.</x:v>
      </x:c>
      <x:c r="J34" s="26" t="n">
        <x:f>IF(G34="Atende",4,IF(G34="Parcial",2.0,0))</x:f>
        <x:v>0</x:v>
      </x:c>
      <x:c r="K34" s="26" t="str"/>
      <x:c r="L34" s="57" t="str">
        <x:v>Política interna ou instruções sobre tratamento de dados pessoais;</x:v>
      </x:c>
      <x:c r="M34" s="66" t="str">
        <x:v>Art. 7º, §4º, II e III; §5º.</x:v>
      </x:c>
      <x:c r="N34" s="26" t="n">
        <x:f>IF(K34="Atende",4,IF(K34="Parcial",2.0,0))</x:f>
        <x:v>0</x:v>
      </x:c>
      <x:c r="O34" s="26" t="str"/>
      <x:c r="P34" s="57" t="str">
        <x:v>A equipe assina Termo de Compromisso de Manutenção de Sigilo Funcional específico para atuação na Ouvidoria de Serviços Penais</x:v>
      </x:c>
      <x:c r="Q34" s="66" t="str">
        <x:v>Art. 9º, §4º.</x:v>
      </x:c>
      <x:c r="R34" s="26" t="n">
        <x:f>IF(O34="Atende",3,IF(O34="Parcial",1.5,0))</x:f>
        <x:v>0</x:v>
      </x:c>
      <x:c r="S34" s="26" t="n">
        <x:f>SUM(F34,J34,N34,R34)</x:f>
        <x:v>0</x:v>
      </x:c>
      <x:c r="T34" s="26" t="str">
        <x:v>Doc. SEI 37070578</x:v>
      </x:c>
    </x:row>
  </x:sheetData>
  <x:mergeCells>
    <x:mergeCell ref="A1:T1"/>
    <x:mergeCell ref="A2:T2"/>
    <x:mergeCell ref="A4:B4"/>
    <x:mergeCell ref="C4:J4"/>
    <x:mergeCell ref="K4:R4"/>
    <x:mergeCell ref="S4:T4"/>
    <x:mergeCell ref="A6:B6"/>
  </x:mergeCells>
  <x:conditionalFormatting sqref="C7:C34">
    <x:cfRule type="expression" dxfId="15" priority="1">
      <x:formula>C7="Atende"</x:formula>
    </x:cfRule>
    <x:cfRule type="expression" dxfId="16" priority="2">
      <x:formula>C7="Parcial"</x:formula>
    </x:cfRule>
    <x:cfRule type="expression" dxfId="17" priority="3">
      <x:formula>OR(C7="Não atende",C7="Sem evidência")</x:formula>
    </x:cfRule>
  </x:conditionalFormatting>
  <x:conditionalFormatting sqref="G7:G34">
    <x:cfRule type="expression" dxfId="18" priority="4">
      <x:formula>G7="Atende"</x:formula>
    </x:cfRule>
    <x:cfRule type="expression" dxfId="19" priority="5">
      <x:formula>G7="Parcial"</x:formula>
    </x:cfRule>
    <x:cfRule type="expression" dxfId="20" priority="6">
      <x:formula>OR(G7="Não atende",G7="Sem evidência")</x:formula>
    </x:cfRule>
  </x:conditionalFormatting>
  <x:conditionalFormatting sqref="K7:K34">
    <x:cfRule type="expression" dxfId="21" priority="7">
      <x:formula>K7="Atende"</x:formula>
    </x:cfRule>
    <x:cfRule type="expression" dxfId="22" priority="8">
      <x:formula>K7="Parcial"</x:formula>
    </x:cfRule>
    <x:cfRule type="expression" dxfId="23" priority="9">
      <x:formula>OR(K7="Não atende",K7="Sem evidência")</x:formula>
    </x:cfRule>
  </x:conditionalFormatting>
  <x:conditionalFormatting sqref="O7:O34">
    <x:cfRule type="expression" dxfId="24" priority="10">
      <x:formula>O7="Atende"</x:formula>
    </x:cfRule>
    <x:cfRule type="expression" dxfId="25" priority="11">
      <x:formula>O7="Parcial"</x:formula>
    </x:cfRule>
    <x:cfRule type="expression" dxfId="26" priority="12">
      <x:formula>OR(O7="Não atende",O7="Sem evidência")</x:formula>
    </x:cfRule>
  </x:conditionalFormatting>
  <x:dataValidations count="4">
    <x:dataValidation type="list" sqref="C7:C34">
      <x:formula1>"Atende,Parcial,Não atende,Sem evidência"</x:formula1>
    </x:dataValidation>
    <x:dataValidation type="list" sqref="G7:G34">
      <x:formula1>"Atende,Parcial,Não atende,Sem evidência"</x:formula1>
    </x:dataValidation>
    <x:dataValidation type="list" sqref="K7:K34">
      <x:formula1>"Atende,Parcial,Não atende,Sem evidência"</x:formula1>
    </x:dataValidation>
    <x:dataValidation type="list" sqref="O7:O34">
      <x:formula1>"Atende,Parcial,Não atende,Sem evidência"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30" hidden="0" customWidth="1"/>
    <x:col min="4" max="4" width="40" hidden="0" customWidth="1"/>
    <x:col min="5" max="5" width="25" hidden="0" customWidth="1"/>
    <x:col min="6" max="6" width="8" hidden="0" customWidth="1"/>
    <x:col min="7" max="7" width="30" hidden="0" customWidth="1"/>
    <x:col min="8" max="8" width="40" hidden="0" customWidth="1"/>
    <x:col min="9" max="9" width="25" hidden="0" customWidth="1"/>
    <x:col min="10" max="10" width="8" hidden="0" customWidth="1"/>
    <x:col min="11" max="11" width="30" hidden="0" customWidth="1"/>
    <x:col min="12" max="12" width="40" hidden="0" customWidth="1"/>
    <x:col min="13" max="13" width="25" hidden="0" customWidth="1"/>
    <x:col min="14" max="14" width="8" hidden="0" customWidth="1"/>
    <x:col min="15" max="15" width="30" hidden="0" customWidth="1"/>
    <x:col min="16" max="16" width="40" hidden="0" customWidth="1"/>
    <x:col min="17" max="17" width="25" hidden="0" customWidth="1"/>
    <x:col min="18" max="18" width="8" hidden="0" customWidth="1"/>
    <x:col min="19" max="19" width="30" hidden="0" customWidth="1"/>
    <x:col min="20" max="20" width="40" hidden="0" customWidth="1"/>
    <x:col min="21" max="21" width="25" hidden="0" customWidth="1"/>
    <x:col min="22" max="22" width="8" hidden="0" customWidth="1"/>
    <x:col min="23" max="23" width="30" hidden="0" customWidth="1"/>
    <x:col min="24" max="24" width="40" hidden="0" customWidth="1"/>
    <x:col min="25" max="25" width="25" hidden="0" customWidth="1"/>
    <x:col min="26" max="26" width="8" hidden="0" customWidth="1"/>
    <x:col min="27" max="27" width="30" hidden="0" customWidth="1"/>
    <x:col min="28" max="28" width="40" hidden="0" customWidth="1"/>
    <x:col min="29" max="29" width="25" hidden="0" customWidth="1"/>
    <x:col min="30" max="30" width="8" hidden="0" customWidth="1"/>
    <x:col min="31" max="31" width="14" hidden="0" customWidth="1"/>
    <x:col min="32" max="32" width="38" hidden="0" customWidth="1"/>
  </x:cols>
  <x:sheetData>
    <x:row r="1" ht="28" customHeight="1">
      <x:c r="A1" s="4" t="str">
        <x:v>04 — Acessibilidade e atendimento humanizado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</x:row>
    <x:row r="2" ht="46" customHeight="1">
      <x:c r="A2" s="11" t="str">
        <x:v>Peso da dimensão: 15 pontos. A coluna verde reproduz a resposta dada no Diagnóstico das Ouvidorias Estaduais de Serviços Penais.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4">
      <x:c r="A4" s="31" t="str">
        <x:v>Identificação</x:v>
      </x:c>
      <x:c r="B4" s="31"/>
      <x:c r="C4" s="31" t="str">
        <x:v>Item 1 — Canais institucionais acessíveis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 t="str">
        <x:v>Item 2 — Condições de atendimento reservado e acessível</x:v>
      </x:c>
      <x:c r="T4" s="31"/>
      <x:c r="U4" s="31"/>
      <x:c r="V4" s="31"/>
      <x:c r="W4" s="31" t="str">
        <x:v>Item 3 — Alcance dos públicos dos serviços penais</x:v>
      </x:c>
      <x:c r="X4" s="31"/>
      <x:c r="Y4" s="31"/>
      <x:c r="Z4" s="31"/>
      <x:c r="AA4" s="31"/>
      <x:c r="AB4" s="31"/>
      <x:c r="AC4" s="31"/>
      <x:c r="AD4" s="31"/>
      <x:c r="AE4" s="31" t="str">
        <x:v>Resultado da dimensão</x:v>
      </x:c>
      <x:c r="AF4" s="31"/>
    </x:row>
    <x:row r="5" ht="58" customHeight="1">
      <x:c r="A5" s="20" t="str">
        <x:v>UF</x:v>
      </x:c>
      <x:c r="B5" s="20" t="str">
        <x:v>Unidade Federativa</x:v>
      </x:c>
      <x:c r="C5" s="20" t="str">
        <x:v>M2-41 — E-mail institucional exclusivo</x:v>
      </x:c>
      <x:c r="D5" s="20" t="str">
        <x:v>Resposta do diagnóstico</x:v>
      </x:c>
      <x:c r="E5" s="20" t="str">
        <x:v>Fundamentação na IN nº 75/2026</x:v>
      </x:c>
      <x:c r="F5" s="20" t="str">
        <x:v>2 pts</x:v>
      </x:c>
      <x:c r="G5" s="20" t="str">
        <x:v>M2-43 — Linha telefônica funcional de uso restrito</x:v>
      </x:c>
      <x:c r="H5" s="20" t="str">
        <x:v>Resposta do diagnóstico</x:v>
      </x:c>
      <x:c r="I5" s="20" t="str">
        <x:v>Fundamentação na IN nº 75/2026</x:v>
      </x:c>
      <x:c r="J5" s="20" t="str">
        <x:v>2 pts</x:v>
      </x:c>
      <x:c r="K5" s="20" t="str">
        <x:v>M2-45 — Sistemas ou canais eletrônicos utilizados</x:v>
      </x:c>
      <x:c r="L5" s="20" t="str">
        <x:v>Resposta do diagnóstico</x:v>
      </x:c>
      <x:c r="M5" s="20" t="str">
        <x:v>Fundamentação na IN nº 75/2026</x:v>
      </x:c>
      <x:c r="N5" s="20" t="str">
        <x:v>2 pts</x:v>
      </x:c>
      <x:c r="O5" s="20" t="str">
        <x:v>M2-47 — Endereço postal próprio ou referência clara</x:v>
      </x:c>
      <x:c r="P5" s="20" t="str">
        <x:v>Resposta do diagnóstico</x:v>
      </x:c>
      <x:c r="Q5" s="20" t="str">
        <x:v>Fundamentação na IN nº 75/2026</x:v>
      </x:c>
      <x:c r="R5" s="20" t="str">
        <x:v>2 pts</x:v>
      </x:c>
      <x:c r="S5" s="20" t="str">
        <x:v>M2-16 — Espaço físico da Ouvidoria</x:v>
      </x:c>
      <x:c r="T5" s="20" t="str">
        <x:v>Resposta do diagnóstico</x:v>
      </x:c>
      <x:c r="U5" s="20" t="str">
        <x:v>Fundamentação na IN nº 75/2026</x:v>
      </x:c>
      <x:c r="V5" s="20" t="str">
        <x:v>3 pts</x:v>
      </x:c>
      <x:c r="W5" s="20" t="str">
        <x:v>M1-13 — Públicos atendidos no plano normativo</x:v>
      </x:c>
      <x:c r="X5" s="20" t="str">
        <x:v>Resposta do diagnóstico</x:v>
      </x:c>
      <x:c r="Y5" s="20" t="str">
        <x:v>Fundamentação na IN nº 75/2026</x:v>
      </x:c>
      <x:c r="Z5" s="20" t="str">
        <x:v>2 pts</x:v>
      </x:c>
      <x:c r="AA5" s="20" t="str">
        <x:v>M4-64 — Públicos atendidos na prática</x:v>
      </x:c>
      <x:c r="AB5" s="20" t="str">
        <x:v>Resposta do diagnóstico</x:v>
      </x:c>
      <x:c r="AC5" s="20" t="str">
        <x:v>Fundamentação na IN nº 75/2026</x:v>
      </x:c>
      <x:c r="AD5" s="20" t="str">
        <x:v>2 pts</x:v>
      </x:c>
      <x:c r="AE5" s="20" t="str">
        <x:v>Pontuação /15</x:v>
      </x:c>
      <x:c r="AF5" s="20" t="str">
        <x:v>Evidências / observações</x:v>
      </x:c>
    </x:row>
    <x:row r="6" ht="132" customHeight="1">
      <x:c r="A6" s="40" t="str">
        <x:v>Como aplicar / resposta / fundamento →</x:v>
      </x:c>
      <x:c r="B6" s="40"/>
      <x:c r="C6" s="49" t="str">
        <x:v>2 pts: possui e-mail institucional exclusivo ativo. 1 pt: e-mail institucional não exclusivo ou com limitação relevante. 0 pt: inexistente ou sem evidência.</x:v>
      </x:c>
      <x:c r="D6" s="57" t="str">
        <x:v>Resposta original da UF no diagnóstico enviado.</x:v>
      </x:c>
      <x:c r="E6" s="66" t="str">
        <x:v>Art. 7º, §2º, I.</x:v>
      </x:c>
      <x:c r="F6" s="11" t="str">
        <x:v>2 = atende
1 = parcial
0 = não atende / sem evidência</x:v>
      </x:c>
      <x:c r="G6" s="49" t="str">
        <x:v>2 pts: possui telefone/ramal funcional de uso restrito. 1 pt: telefone compartilhado ou limitado. 0 pt: inexistente ou sem evidência.</x:v>
      </x:c>
      <x:c r="H6" s="57" t="str">
        <x:v>Resposta original da UF no diagnóstico enviado.</x:v>
      </x:c>
      <x:c r="I6" s="66" t="str">
        <x:v>Art. 7º, §2º, II.</x:v>
      </x:c>
      <x:c r="J6" s="11" t="str">
        <x:v>2 = atende
1 = parcial
0 = não atende / sem evidência</x:v>
      </x:c>
      <x:c r="K6" s="49" t="str">
        <x:v>2 pts: possui canal eletrônico institucional efetivamente utilizado. 1 pt: canal existente, mas limitado/parcial. 0 pt: inexistente ou sem evidência.</x:v>
      </x:c>
      <x:c r="L6" s="57" t="str">
        <x:v>Resposta original da UF no diagnóstico enviado.</x:v>
      </x:c>
      <x:c r="M6" s="66" t="str">
        <x:v>Art. 7º, §2º, III.</x:v>
      </x:c>
      <x:c r="N6" s="11" t="str">
        <x:v>2 = atende
1 = parcial
0 = não atende / sem evidência</x:v>
      </x:c>
      <x:c r="O6" s="49" t="str">
        <x:v>2 pts: existe endereço postal próprio ou referência institucional clara. 1 pt: referência indireta/compartilhada que ainda permite recebimento. 0 pt: inexistente ou sem evidência.</x:v>
      </x:c>
      <x:c r="P6" s="57" t="str">
        <x:v>Resposta original da UF no diagnóstico enviado.</x:v>
      </x:c>
      <x:c r="Q6" s="66" t="str">
        <x:v>Art. 7º, §2º, IV.</x:v>
      </x:c>
      <x:c r="R6" s="11" t="str">
        <x:v>2 = atende
1 = parcial
0 = não atende / sem evidência</x:v>
      </x:c>
      <x:c r="S6" s="49" t="str">
        <x:v>3 pts: espaço com privacidade, confidencialidade e condições de acessibilidade/atendimento. 1,5 pt: espaço existente com limitações relevantes. 0 pt: sem espaço adequado ou sem evidência.</x:v>
      </x:c>
      <x:c r="T6" s="57" t="str">
        <x:v>Resposta original da UF no diagnóstico enviado.</x:v>
      </x:c>
      <x:c r="U6" s="66" t="str">
        <x:v>Art. 7º, §1º, I e II.</x:v>
      </x:c>
      <x:c r="V6" s="11" t="str">
        <x:v>3 = atende
1.5 = parcial
0 = não atende / sem evidência</x:v>
      </x:c>
      <x:c r="W6" s="49" t="str">
        <x:v>2 pts: previsão normativa contempla amplamente os públicos dos serviços penais. 1 pt: contempla parte relevante. 0 pt: previsão restrita/inexistente ou sem evidência.</x:v>
      </x:c>
      <x:c r="X6" s="57" t="str">
        <x:v>Resposta original da UF no diagnóstico enviado.</x:v>
      </x:c>
      <x:c r="Y6" s="66" t="str">
        <x:v>Art. 4º, III; art. 10, I.</x:v>
      </x:c>
      <x:c r="Z6" s="11" t="str">
        <x:v>2 = atende
1 = parcial
0 = não atende / sem evidência</x:v>
      </x:c>
      <x:c r="AA6" s="49" t="str">
        <x:v>2 pts: atendimento alcança amplamente os principais públicos, inclusive pessoas privadas de liberdade. 1 pt: alcance parcial ou com barreiras relevantes. 0 pt: alcance restrito ou sem evidência.</x:v>
      </x:c>
      <x:c r="AB6" s="57" t="str">
        <x:v>Resposta original da UF no diagnóstico enviado.</x:v>
      </x:c>
      <x:c r="AC6" s="66" t="str">
        <x:v>Art. 4º, III; art. 10, I.</x:v>
      </x:c>
      <x:c r="AD6" s="11" t="str">
        <x:v>2 = atende
1 = parcial
0 = não atende / sem evidência</x:v>
      </x:c>
      <x:c r="AE6" s="11" t="str">
        <x:v>Soma automática das perguntas desta dimensão.</x:v>
      </x:c>
      <x:c r="AF6" s="11" t="str">
        <x:v>Registre observações adicionais, se necessário.</x:v>
      </x:c>
    </x:row>
    <x:row r="7">
      <x:c r="A7" s="26" t="str">
        <x:v>AC</x:v>
      </x:c>
      <x:c r="B7" s="26" t="str">
        <x:v>Acre</x:v>
      </x:c>
      <x:c r="C7" s="26" t="str"/>
      <x:c r="D7" s="57" t="str">
        <x:v>Sim</x:v>
      </x:c>
      <x:c r="E7" s="66" t="str">
        <x:v>Art. 7º, §2º, I.</x:v>
      </x:c>
      <x:c r="F7" s="26" t="n">
        <x:f>IF(C7="Atende",2,IF(C7="Parcial",1.0,0))</x:f>
        <x:v>0</x:v>
      </x:c>
      <x:c r="G7" s="26" t="str"/>
      <x:c r="H7" s="57" t="str">
        <x:v>Não</x:v>
      </x:c>
      <x:c r="I7" s="66" t="str">
        <x:v>Art. 7º, §2º, II.</x:v>
      </x:c>
      <x:c r="J7" s="26" t="n">
        <x:f>IF(G7="Atende",2,IF(G7="Parcial",1.0,0))</x:f>
        <x:v>0</x:v>
      </x:c>
      <x:c r="K7" s="26" t="str"/>
      <x:c r="L7" s="57" t="str">
        <x:v>Possui canal próprio na Plataforma Fala.BR (CGU);Não utiliza nenhum sistema estruturado; registros são feitos em planilha ou outro meio manual;</x:v>
      </x:c>
      <x:c r="M7" s="66" t="str">
        <x:v>Art. 7º, §2º, III.</x:v>
      </x:c>
      <x:c r="N7" s="26" t="n">
        <x:f>IF(K7="Atende",2,IF(K7="Parcial",1.0,0))</x:f>
        <x:v>0</x:v>
      </x:c>
      <x:c r="O7" s="26" t="str"/>
      <x:c r="P7" s="57" t="str">
        <x:v>Sim</x:v>
      </x:c>
      <x:c r="Q7" s="66" t="str">
        <x:v>Art. 7º, §2º, IV.</x:v>
      </x:c>
      <x:c r="R7" s="26" t="n">
        <x:f>IF(O7="Atende",2,IF(O7="Parcial",1.0,0))</x:f>
        <x:v>0</x:v>
      </x:c>
      <x:c r="S7" s="26" t="str"/>
      <x:c r="T7" s="57" t="str">
        <x:v>Possui instalação física própria, com privacidade, acessibilidade e condições adequadas de atendimento</x:v>
      </x:c>
      <x:c r="U7" s="66" t="str">
        <x:v>Art. 7º, §1º, I e II.</x:v>
      </x:c>
      <x:c r="V7" s="26" t="n">
        <x:f>IF(S7="Atende",3,IF(S7="Parcial",1.5,0))</x:f>
        <x:v>0</x:v>
      </x:c>
      <x:c r="W7" s="26" t="str"/>
      <x:c r="X7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7" s="66" t="str">
        <x:v>Art. 4º, III; art. 10, I.</x:v>
      </x:c>
      <x:c r="Z7" s="26" t="n">
        <x:f>IF(W7="Atende",2,IF(W7="Parcial",1.0,0))</x:f>
        <x:v>0</x:v>
      </x:c>
      <x:c r="AA7" s="26" t="str"/>
      <x:c r="AB7" s="57" t="str">
        <x:v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x:v>
      </x:c>
      <x:c r="AC7" s="66" t="str">
        <x:v>Art. 4º, III; art. 10, I.</x:v>
      </x:c>
      <x:c r="AD7" s="26" t="n">
        <x:f>IF(AA7="Atende",2,IF(AA7="Parcial",1.0,0))</x:f>
        <x:v>0</x:v>
      </x:c>
      <x:c r="AE7" s="26" t="n">
        <x:f>SUM(F7,J7,N7,R7,V7,Z7,AD7)</x:f>
        <x:v>0</x:v>
      </x:c>
      <x:c r="AF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Sim</x:v>
      </x:c>
      <x:c r="E8" s="66" t="str">
        <x:v>Art. 7º, §2º, I.</x:v>
      </x:c>
      <x:c r="F8" s="26" t="n">
        <x:f>IF(C8="Atende",2,IF(C8="Parcial",1.0,0))</x:f>
        <x:v>0</x:v>
      </x:c>
      <x:c r="G8" s="26" t="str"/>
      <x:c r="H8" s="57" t="str">
        <x:v>Sim</x:v>
      </x:c>
      <x:c r="I8" s="66" t="str">
        <x:v>Art. 7º, §2º, II.</x:v>
      </x:c>
      <x:c r="J8" s="26" t="n">
        <x:f>IF(G8="Atende",2,IF(G8="Parcial",1.0,0))</x:f>
        <x:v>0</x:v>
      </x:c>
      <x:c r="K8" s="26" t="str"/>
      <x:c r="L8" s="57" t="str">
        <x:v>Utiliza apenas outro sistema eletrônico de ouvidoria (estadual ou próprio do órgão);</x:v>
      </x:c>
      <x:c r="M8" s="66" t="str">
        <x:v>Art. 7º, §2º, III.</x:v>
      </x:c>
      <x:c r="N8" s="26" t="n">
        <x:f>IF(K8="Atende",2,IF(K8="Parcial",1.0,0))</x:f>
        <x:v>0</x:v>
      </x:c>
      <x:c r="O8" s="26" t="str"/>
      <x:c r="P8" s="57" t="str">
        <x:v>Sim</x:v>
      </x:c>
      <x:c r="Q8" s="66" t="str">
        <x:v>Art. 7º, §2º, IV.</x:v>
      </x:c>
      <x:c r="R8" s="26" t="n">
        <x:f>IF(O8="Atende",2,IF(O8="Parcial",1.0,0))</x:f>
        <x:v>0</x:v>
      </x:c>
      <x:c r="S8" s="26" t="str"/>
      <x:c r="T8" s="57" t="str">
        <x:v>Possui instalação física própria, com privacidade, acessibilidade e condições adequadas de atendimento</x:v>
      </x:c>
      <x:c r="U8" s="66" t="str">
        <x:v>Art. 7º, §1º, I e II.</x:v>
      </x:c>
      <x:c r="V8" s="26" t="n">
        <x:f>IF(S8="Atende",3,IF(S8="Parcial",1.5,0))</x:f>
        <x:v>0</x:v>
      </x:c>
      <x:c r="W8" s="26" t="str"/>
      <x:c r="X8" s="57" t="str">
        <x:v>Não existe normativa;</x:v>
      </x:c>
      <x:c r="Y8" s="66" t="str">
        <x:v>Art. 4º, III; art. 10, I.</x:v>
      </x:c>
      <x:c r="Z8" s="26" t="n">
        <x:f>IF(W8="Atende",2,IF(W8="Parcial",1.0,0))</x:f>
        <x:v>0</x:v>
      </x:c>
      <x:c r="AA8" s="26" t="str"/>
      <x:c r="AB8" s="57" t="str">
        <x:v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raramente</x:v>
      </x:c>
      <x:c r="AC8" s="66" t="str">
        <x:v>Art. 4º, III; art. 10, I.</x:v>
      </x:c>
      <x:c r="AD8" s="26" t="n">
        <x:f>IF(AA8="Atende",2,IF(AA8="Parcial",1.0,0))</x:f>
        <x:v>0</x:v>
      </x:c>
      <x:c r="AE8" s="26" t="n">
        <x:f>SUM(F8,J8,N8,R8,V8,Z8,AD8)</x:f>
        <x:v>0</x:v>
      </x:c>
      <x:c r="AF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Sim</x:v>
      </x:c>
      <x:c r="E9" s="66" t="str">
        <x:v>Art. 7º, §2º, I.</x:v>
      </x:c>
      <x:c r="F9" s="26" t="n">
        <x:f>IF(C9="Atende",2,IF(C9="Parcial",1.0,0))</x:f>
        <x:v>0</x:v>
      </x:c>
      <x:c r="G9" s="26" t="str"/>
      <x:c r="H9" s="57" t="str">
        <x:v>Sim</x:v>
      </x:c>
      <x:c r="I9" s="66" t="str">
        <x:v>Art. 7º, §2º, II.</x:v>
      </x:c>
      <x:c r="J9" s="26" t="n">
        <x:f>IF(G9="Atende",2,IF(G9="Parcial",1.0,0))</x:f>
        <x:v>0</x:v>
      </x:c>
      <x:c r="K9" s="26" t="str"/>
      <x:c r="L9" s="57" t="str">
        <x:v>Utiliza apenas outro sistema eletrônico de ouvidoria (estadual ou próprio do órgão);</x:v>
      </x:c>
      <x:c r="M9" s="66" t="str">
        <x:v>Art. 7º, §2º, III.</x:v>
      </x:c>
      <x:c r="N9" s="26" t="n">
        <x:f>IF(K9="Atende",2,IF(K9="Parcial",1.0,0))</x:f>
        <x:v>0</x:v>
      </x:c>
      <x:c r="O9" s="26" t="str"/>
      <x:c r="P9" s="57" t="str">
        <x:v>Sim</x:v>
      </x:c>
      <x:c r="Q9" s="66" t="str">
        <x:v>Art. 7º, §2º, IV.</x:v>
      </x:c>
      <x:c r="R9" s="26" t="n">
        <x:f>IF(O9="Atende",2,IF(O9="Parcial",1.0,0))</x:f>
        <x:v>0</x:v>
      </x:c>
      <x:c r="S9" s="26" t="str"/>
      <x:c r="T9" s="57" t="str">
        <x:v>Possui sala definida, mas com limitações relevantes (privacidade, acessibilidade, mobiliário)</x:v>
      </x:c>
      <x:c r="U9" s="66" t="str">
        <x:v>Art. 7º, §1º, I e II.</x:v>
      </x:c>
      <x:c r="V9" s="26" t="n">
        <x:f>IF(S9="Atende",3,IF(S9="Parcial",1.5,0))</x:f>
        <x:v>0</x:v>
      </x:c>
      <x:c r="W9" s="26" t="str"/>
      <x:c r="X9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9" s="66" t="str">
        <x:v>Art. 4º, III; art. 10, I.</x:v>
      </x:c>
      <x:c r="Z9" s="26" t="n">
        <x:f>IF(W9="Atende",2,IF(W9="Parcial",1.0,0))</x:f>
        <x:v>0</x:v>
      </x:c>
      <x:c r="AA9" s="26" t="str"/>
      <x:c r="AB9" s="57" t="str">
        <x:v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x:v>
      </x:c>
      <x:c r="AC9" s="66" t="str">
        <x:v>Art. 4º, III; art. 10, I.</x:v>
      </x:c>
      <x:c r="AD9" s="26" t="n">
        <x:f>IF(AA9="Atende",2,IF(AA9="Parcial",1.0,0))</x:f>
        <x:v>0</x:v>
      </x:c>
      <x:c r="AE9" s="26" t="n">
        <x:f>SUM(F9,J9,N9,R9,V9,Z9,AD9)</x:f>
        <x:v>0</x:v>
      </x:c>
      <x:c r="AF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Sim</x:v>
      </x:c>
      <x:c r="E10" s="66" t="str">
        <x:v>Art. 7º, §2º, I.</x:v>
      </x:c>
      <x:c r="F10" s="26" t="n">
        <x:f>IF(C10="Atende",2,IF(C10="Parcial",1.0,0))</x:f>
        <x:v>0</x:v>
      </x:c>
      <x:c r="G10" s="26" t="str"/>
      <x:c r="H10" s="57" t="str">
        <x:v>Não</x:v>
      </x:c>
      <x:c r="I10" s="66" t="str">
        <x:v>Art. 7º, §2º, II.</x:v>
      </x:c>
      <x:c r="J10" s="26" t="n">
        <x:f>IF(G10="Atende",2,IF(G10="Parcial",1.0,0))</x:f>
        <x:v>0</x:v>
      </x:c>
      <x:c r="K10" s="26" t="str"/>
      <x:c r="L10" s="57" t="str">
        <x:v>Possui canal próprio na Plataforma Fala.BR (CGU);Utiliza apenas outro sistema eletrônico de ouvidoria (estadual ou próprio do órgão);</x:v>
      </x:c>
      <x:c r="M10" s="66" t="str">
        <x:v>Art. 7º, §2º, III.</x:v>
      </x:c>
      <x:c r="N10" s="26" t="n">
        <x:f>IF(K10="Atende",2,IF(K10="Parcial",1.0,0))</x:f>
        <x:v>0</x:v>
      </x:c>
      <x:c r="O10" s="26" t="str"/>
      <x:c r="P10" s="57" t="str">
        <x:v>Sim</x:v>
      </x:c>
      <x:c r="Q10" s="66" t="str">
        <x:v>Art. 7º, §2º, IV.</x:v>
      </x:c>
      <x:c r="R10" s="26" t="n">
        <x:f>IF(O10="Atende",2,IF(O10="Parcial",1.0,0))</x:f>
        <x:v>0</x:v>
      </x:c>
      <x:c r="S10" s="26" t="str"/>
      <x:c r="T10" s="57" t="str">
        <x:v>Possui sala definida, mas com limitações relevantes (privacidade, acessibilidade, mobiliário)</x:v>
      </x:c>
      <x:c r="U10" s="66" t="str">
        <x:v>Art. 7º, §1º, I e II.</x:v>
      </x:c>
      <x:c r="V10" s="26" t="n">
        <x:f>IF(S10="Atende",3,IF(S10="Parcial",1.5,0))</x:f>
        <x:v>0</x:v>
      </x:c>
      <x:c r="W10" s="26" t="str"/>
      <x:c r="X10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10" s="66" t="str">
        <x:v>Art. 4º, III; art. 10, I.</x:v>
      </x:c>
      <x:c r="Z10" s="26" t="n">
        <x:f>IF(W10="Atende",2,IF(W10="Parcial",1.0,0))</x:f>
        <x:v>0</x:v>
      </x:c>
      <x:c r="AA10" s="26" t="str"/>
      <x:c r="AB10" s="57" t="str">
        <x:v>Pessoas privadas de liberdade: Recebe com alguma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x:v>
      </x:c>
      <x:c r="AC10" s="66" t="str">
        <x:v>Art. 4º, III; art. 10, I.</x:v>
      </x:c>
      <x:c r="AD10" s="26" t="n">
        <x:f>IF(AA10="Atende",2,IF(AA10="Parcial",1.0,0))</x:f>
        <x:v>0</x:v>
      </x:c>
      <x:c r="AE10" s="26" t="n">
        <x:f>SUM(F10,J10,N10,R10,V10,Z10,AD10)</x:f>
        <x:v>0</x:v>
      </x:c>
      <x:c r="AF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Sim</x:v>
      </x:c>
      <x:c r="E11" s="66" t="str">
        <x:v>Art. 7º, §2º, I.</x:v>
      </x:c>
      <x:c r="F11" s="26" t="n">
        <x:f>IF(C11="Atende",2,IF(C11="Parcial",1.0,0))</x:f>
        <x:v>0</x:v>
      </x:c>
      <x:c r="G11" s="26" t="str"/>
      <x:c r="H11" s="57" t="str">
        <x:v>Não</x:v>
      </x:c>
      <x:c r="I11" s="66" t="str">
        <x:v>Art. 7º, §2º, II.</x:v>
      </x:c>
      <x:c r="J11" s="26" t="n">
        <x:f>IF(G11="Atende",2,IF(G11="Parcial",1.0,0))</x:f>
        <x:v>0</x:v>
      </x:c>
      <x:c r="K11" s="26" t="str"/>
      <x:c r="L11" s="57" t="str">
        <x:v>Utiliza apenas outro sistema eletrônico de ouvidoria (estadual ou próprio do órgão);</x:v>
      </x:c>
      <x:c r="M11" s="66" t="str">
        <x:v>Art. 7º, §2º, III.</x:v>
      </x:c>
      <x:c r="N11" s="26" t="n">
        <x:f>IF(K11="Atende",2,IF(K11="Parcial",1.0,0))</x:f>
        <x:v>0</x:v>
      </x:c>
      <x:c r="O11" s="26" t="str"/>
      <x:c r="P11" s="57" t="str">
        <x:v>Sim</x:v>
      </x:c>
      <x:c r="Q11" s="66" t="str">
        <x:v>Art. 7º, §2º, IV.</x:v>
      </x:c>
      <x:c r="R11" s="26" t="n">
        <x:f>IF(O11="Atende",2,IF(O11="Parcial",1.0,0))</x:f>
        <x:v>0</x:v>
      </x:c>
      <x:c r="S11" s="26" t="str"/>
      <x:c r="T11" s="57" t="str">
        <x:v>Possui sala definida, mas com limitações relevantes (privacidade, acessibilidade, mobiliário)</x:v>
      </x:c>
      <x:c r="U11" s="66" t="str">
        <x:v>Art. 7º, §1º, I e II.</x:v>
      </x:c>
      <x:c r="V11" s="26" t="n">
        <x:f>IF(S11="Atende",3,IF(S11="Parcial",1.5,0))</x:f>
        <x:v>0</x:v>
      </x:c>
      <x:c r="W11" s="26" t="str"/>
      <x:c r="X11" s="57" t="str">
        <x:v>Demais cidadãos e usuários de serviços relacionados ao sistema penal;</x:v>
      </x:c>
      <x:c r="Y11" s="66" t="str">
        <x:v>Art. 4º, III; art. 10, I.</x:v>
      </x:c>
      <x:c r="Z11" s="26" t="n">
        <x:f>IF(W11="Atende",2,IF(W11="Parcial",1.0,0))</x:f>
        <x:v>0</x:v>
      </x:c>
      <x:c r="AA11" s="26" t="str"/>
      <x:c r="AB11" s="57" t="str">
        <x:v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x:v>
      </x:c>
      <x:c r="AC11" s="66" t="str">
        <x:v>Art. 4º, III; art. 10, I.</x:v>
      </x:c>
      <x:c r="AD11" s="26" t="n">
        <x:f>IF(AA11="Atende",2,IF(AA11="Parcial",1.0,0))</x:f>
        <x:v>0</x:v>
      </x:c>
      <x:c r="AE11" s="26" t="n">
        <x:f>SUM(F11,J11,N11,R11,V11,Z11,AD11)</x:f>
        <x:v>0</x:v>
      </x:c>
      <x:c r="AF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Sim</x:v>
      </x:c>
      <x:c r="E12" s="66" t="str">
        <x:v>Art. 7º, §2º, I.</x:v>
      </x:c>
      <x:c r="F12" s="26" t="n">
        <x:f>IF(C12="Atende",2,IF(C12="Parcial",1.0,0))</x:f>
        <x:v>0</x:v>
      </x:c>
      <x:c r="G12" s="26" t="str"/>
      <x:c r="H12" s="57" t="str">
        <x:v>Sim</x:v>
      </x:c>
      <x:c r="I12" s="66" t="str">
        <x:v>Art. 7º, §2º, II.</x:v>
      </x:c>
      <x:c r="J12" s="26" t="n">
        <x:f>IF(G12="Atende",2,IF(G12="Parcial",1.0,0))</x:f>
        <x:v>0</x:v>
      </x:c>
      <x:c r="K12" s="26" t="str"/>
      <x:c r="L12" s="57" t="str">
        <x:v>Utiliza apenas outro sistema eletrônico de ouvidoria (estadual ou próprio do órgão);</x:v>
      </x:c>
      <x:c r="M12" s="66" t="str">
        <x:v>Art. 7º, §2º, III.</x:v>
      </x:c>
      <x:c r="N12" s="26" t="n">
        <x:f>IF(K12="Atende",2,IF(K12="Parcial",1.0,0))</x:f>
        <x:v>0</x:v>
      </x:c>
      <x:c r="O12" s="26" t="str"/>
      <x:c r="P12" s="57" t="str">
        <x:v>Sim</x:v>
      </x:c>
      <x:c r="Q12" s="66" t="str">
        <x:v>Art. 7º, §2º, IV.</x:v>
      </x:c>
      <x:c r="R12" s="26" t="n">
        <x:f>IF(O12="Atende",2,IF(O12="Parcial",1.0,0))</x:f>
        <x:v>0</x:v>
      </x:c>
      <x:c r="S12" s="26" t="str"/>
      <x:c r="T12" s="57" t="str">
        <x:v>Possui instalação física própria, com privacidade, acessibilidade e condições adequadas de atendimento</x:v>
      </x:c>
      <x:c r="U12" s="66" t="str">
        <x:v>Art. 7º, §1º, I e II.</x:v>
      </x:c>
      <x:c r="V12" s="26" t="n">
        <x:f>IF(S12="Atende",3,IF(S12="Parcial",1.5,0))</x:f>
        <x:v>0</x:v>
      </x:c>
      <x:c r="W12" s="26" t="str"/>
      <x:c r="X12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12" s="66" t="str">
        <x:v>Art. 4º, III; art. 10, I.</x:v>
      </x:c>
      <x:c r="Z12" s="26" t="n">
        <x:f>IF(W12="Atende",2,IF(W12="Parcial",1.0,0))</x:f>
        <x:v>0</x:v>
      </x:c>
      <x:c r="AA12" s="26" t="str"/>
      <x:c r="AB12" s="57" t="str">
        <x:v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x:v>
      </x:c>
      <x:c r="AC12" s="66" t="str">
        <x:v>Art. 4º, III; art. 10, I.</x:v>
      </x:c>
      <x:c r="AD12" s="26" t="n">
        <x:f>IF(AA12="Atende",2,IF(AA12="Parcial",1.0,0))</x:f>
        <x:v>0</x:v>
      </x:c>
      <x:c r="AE12" s="26" t="n">
        <x:f>SUM(F12,J12,N12,R12,V12,Z12,AD12)</x:f>
        <x:v>0</x:v>
      </x:c>
      <x:c r="AF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Sim</x:v>
      </x:c>
      <x:c r="E13" s="66" t="str">
        <x:v>Art. 7º, §2º, I.</x:v>
      </x:c>
      <x:c r="F13" s="26" t="n">
        <x:f>IF(C13="Atende",2,IF(C13="Parcial",1.0,0))</x:f>
        <x:v>0</x:v>
      </x:c>
      <x:c r="G13" s="26" t="str"/>
      <x:c r="H13" s="57" t="str">
        <x:v>Sim</x:v>
      </x:c>
      <x:c r="I13" s="66" t="str">
        <x:v>Art. 7º, §2º, II.</x:v>
      </x:c>
      <x:c r="J13" s="26" t="n">
        <x:f>IF(G13="Atende",2,IF(G13="Parcial",1.0,0))</x:f>
        <x:v>0</x:v>
      </x:c>
      <x:c r="K13" s="26" t="str"/>
      <x:c r="L13" s="57" t="str">
        <x:v>Utiliza apenas outro sistema eletrônico de ouvidoria (estadual ou próprio do órgão);</x:v>
      </x:c>
      <x:c r="M13" s="66" t="str">
        <x:v>Art. 7º, §2º, III.</x:v>
      </x:c>
      <x:c r="N13" s="26" t="n">
        <x:f>IF(K13="Atende",2,IF(K13="Parcial",1.0,0))</x:f>
        <x:v>0</x:v>
      </x:c>
      <x:c r="O13" s="26" t="str"/>
      <x:c r="P13" s="57" t="str">
        <x:v>Não</x:v>
      </x:c>
      <x:c r="Q13" s="66" t="str">
        <x:v>Art. 7º, §2º, IV.</x:v>
      </x:c>
      <x:c r="R13" s="26" t="n">
        <x:f>IF(O13="Atende",2,IF(O13="Parcial",1.0,0))</x:f>
        <x:v>0</x:v>
      </x:c>
      <x:c r="S13" s="26" t="str"/>
      <x:c r="T13" s="57" t="str">
        <x:v>Possui sala definida, mas com limitações relevantes (privacidade, acessibilidade, mobiliário)</x:v>
      </x:c>
      <x:c r="U13" s="66" t="str">
        <x:v>Art. 7º, §1º, I e II.</x:v>
      </x:c>
      <x:c r="V13" s="26" t="n">
        <x:f>IF(S13="Atende",3,IF(S13="Parcial",1.5,0))</x:f>
        <x:v>0</x:v>
      </x:c>
      <x:c r="W13" s="26" t="str"/>
      <x:c r="X13" s="57" t="str">
        <x:v>Não existe normativa;</x:v>
      </x:c>
      <x:c r="Y13" s="66" t="str">
        <x:v>Art. 4º, III; art. 10, I.</x:v>
      </x:c>
      <x:c r="Z13" s="26" t="n">
        <x:f>IF(W13="Atende",2,IF(W13="Parcial",1.0,0))</x:f>
        <x:v>0</x:v>
      </x:c>
      <x:c r="AA13" s="26" t="str"/>
      <x:c r="AB13" s="57" t="str">
        <x:v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x:v>
      </x:c>
      <x:c r="AC13" s="66" t="str">
        <x:v>Art. 4º, III; art. 10, I.</x:v>
      </x:c>
      <x:c r="AD13" s="26" t="n">
        <x:f>IF(AA13="Atende",2,IF(AA13="Parcial",1.0,0))</x:f>
        <x:v>0</x:v>
      </x:c>
      <x:c r="AE13" s="26" t="n">
        <x:f>SUM(F13,J13,N13,R13,V13,Z13,AD13)</x:f>
        <x:v>0</x:v>
      </x:c>
      <x:c r="AF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Sim</x:v>
      </x:c>
      <x:c r="E14" s="66" t="str">
        <x:v>Art. 7º, §2º, I.</x:v>
      </x:c>
      <x:c r="F14" s="26" t="n">
        <x:f>IF(C14="Atende",2,IF(C14="Parcial",1.0,0))</x:f>
        <x:v>0</x:v>
      </x:c>
      <x:c r="G14" s="26" t="str"/>
      <x:c r="H14" s="57" t="str">
        <x:v>Sim</x:v>
      </x:c>
      <x:c r="I14" s="66" t="str">
        <x:v>Art. 7º, §2º, II.</x:v>
      </x:c>
      <x:c r="J14" s="26" t="n">
        <x:f>IF(G14="Atende",2,IF(G14="Parcial",1.0,0))</x:f>
        <x:v>0</x:v>
      </x:c>
      <x:c r="K14" s="26" t="str"/>
      <x:c r="L14" s="57" t="str">
        <x:v>Utiliza apenas outro sistema eletrônico de ouvidoria (estadual ou próprio do órgão);</x:v>
      </x:c>
      <x:c r="M14" s="66" t="str">
        <x:v>Art. 7º, §2º, III.</x:v>
      </x:c>
      <x:c r="N14" s="26" t="n">
        <x:f>IF(K14="Atende",2,IF(K14="Parcial",1.0,0))</x:f>
        <x:v>0</x:v>
      </x:c>
      <x:c r="O14" s="26" t="str"/>
      <x:c r="P14" s="57" t="str">
        <x:v>Sim</x:v>
      </x:c>
      <x:c r="Q14" s="66" t="str">
        <x:v>Art. 7º, §2º, IV.</x:v>
      </x:c>
      <x:c r="R14" s="26" t="n">
        <x:f>IF(O14="Atende",2,IF(O14="Parcial",1.0,0))</x:f>
        <x:v>0</x:v>
      </x:c>
      <x:c r="S14" s="26" t="str"/>
      <x:c r="T14" s="57" t="str">
        <x:v>Possui instalação física própria, com privacidade, acessibilidade e condições adequadas de atendimento</x:v>
      </x:c>
      <x:c r="U14" s="66" t="str">
        <x:v>Art. 7º, §1º, I e II.</x:v>
      </x:c>
      <x:c r="V14" s="26" t="n">
        <x:f>IF(S14="Atende",3,IF(S14="Parcial",1.5,0))</x:f>
        <x:v>0</x:v>
      </x:c>
      <x:c r="W14" s="26" t="str"/>
      <x:c r="X14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14" s="66" t="str">
        <x:v>Art. 4º, III; art. 10, I.</x:v>
      </x:c>
      <x:c r="Z14" s="26" t="n">
        <x:f>IF(W14="Atende",2,IF(W14="Parcial",1.0,0))</x:f>
        <x:v>0</x:v>
      </x:c>
      <x:c r="AA14" s="26" t="str"/>
      <x:c r="AB14" s="57" t="str">
        <x:v>Pessoas privadas de liberdade: Recebe raramente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com alguma frequência</x:v>
      </x:c>
      <x:c r="AC14" s="66" t="str">
        <x:v>Art. 4º, III; art. 10, I.</x:v>
      </x:c>
      <x:c r="AD14" s="26" t="n">
        <x:f>IF(AA14="Atende",2,IF(AA14="Parcial",1.0,0))</x:f>
        <x:v>0</x:v>
      </x:c>
      <x:c r="AE14" s="26" t="n">
        <x:f>SUM(F14,J14,N14,R14,V14,Z14,AD14)</x:f>
        <x:v>0</x:v>
      </x:c>
      <x:c r="AF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Sim</x:v>
      </x:c>
      <x:c r="E15" s="66" t="str">
        <x:v>Art. 7º, §2º, I.</x:v>
      </x:c>
      <x:c r="F15" s="26" t="n">
        <x:f>IF(C15="Atende",2,IF(C15="Parcial",1.0,0))</x:f>
        <x:v>0</x:v>
      </x:c>
      <x:c r="G15" s="26" t="str"/>
      <x:c r="H15" s="57" t="str">
        <x:v>Não</x:v>
      </x:c>
      <x:c r="I15" s="66" t="str">
        <x:v>Art. 7º, §2º, II.</x:v>
      </x:c>
      <x:c r="J15" s="26" t="n">
        <x:f>IF(G15="Atende",2,IF(G15="Parcial",1.0,0))</x:f>
        <x:v>0</x:v>
      </x:c>
      <x:c r="K15" s="26" t="str"/>
      <x:c r="L15" s="57" t="str">
        <x:v>Utiliza apenas outro sistema eletrônico de ouvidoria (estadual ou próprio do órgão);</x:v>
      </x:c>
      <x:c r="M15" s="66" t="str">
        <x:v>Art. 7º, §2º, III.</x:v>
      </x:c>
      <x:c r="N15" s="26" t="n">
        <x:f>IF(K15="Atende",2,IF(K15="Parcial",1.0,0))</x:f>
        <x:v>0</x:v>
      </x:c>
      <x:c r="O15" s="26" t="str"/>
      <x:c r="P15" s="57" t="str">
        <x:v>Não</x:v>
      </x:c>
      <x:c r="Q15" s="66" t="str">
        <x:v>Art. 7º, §2º, IV.</x:v>
      </x:c>
      <x:c r="R15" s="26" t="n">
        <x:f>IF(O15="Atende",2,IF(O15="Parcial",1.0,0))</x:f>
        <x:v>0</x:v>
      </x:c>
      <x:c r="S15" s="26" t="str"/>
      <x:c r="T15" s="57" t="str">
        <x:v>Não há espaço físico identificado</x:v>
      </x:c>
      <x:c r="U15" s="66" t="str">
        <x:v>Art. 7º, §1º, I e II.</x:v>
      </x:c>
      <x:c r="V15" s="26" t="n">
        <x:f>IF(S15="Atende",3,IF(S15="Parcial",1.5,0))</x:f>
        <x:v>0</x:v>
      </x:c>
      <x:c r="W15" s="26" t="str"/>
      <x:c r="X15" s="57" t="str">
        <x:v>Demais cidadãos e usuários de serviços relacionados ao sistema penal;Servidores(as) penais e demais trabalhadores(as) dos serviços penais;Familiares / pessoas de referência de pessoas privadas de liberdade;Pessoas privadas de liberdade;</x:v>
      </x:c>
      <x:c r="Y15" s="66" t="str">
        <x:v>Art. 4º, III; art. 10, I.</x:v>
      </x:c>
      <x:c r="Z15" s="26" t="n">
        <x:f>IF(W15="Atende",2,IF(W15="Parcial",1.0,0))</x:f>
        <x:v>0</x:v>
      </x:c>
      <x:c r="AA15" s="26" t="str"/>
      <x:c r="AB15" s="57" t="str">
        <x:v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x:v>
      </x:c>
      <x:c r="AC15" s="66" t="str">
        <x:v>Art. 4º, III; art. 10, I.</x:v>
      </x:c>
      <x:c r="AD15" s="26" t="n">
        <x:f>IF(AA15="Atende",2,IF(AA15="Parcial",1.0,0))</x:f>
        <x:v>0</x:v>
      </x:c>
      <x:c r="AE15" s="26" t="n">
        <x:f>SUM(F15,J15,N15,R15,V15,Z15,AD15)</x:f>
        <x:v>0</x:v>
      </x:c>
      <x:c r="AF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Sim</x:v>
      </x:c>
      <x:c r="E16" s="66" t="str">
        <x:v>Art. 7º, §2º, I.</x:v>
      </x:c>
      <x:c r="F16" s="26" t="n">
        <x:f>IF(C16="Atende",2,IF(C16="Parcial",1.0,0))</x:f>
        <x:v>0</x:v>
      </x:c>
      <x:c r="G16" s="26" t="str"/>
      <x:c r="H16" s="57" t="str">
        <x:v>Sim</x:v>
      </x:c>
      <x:c r="I16" s="66" t="str">
        <x:v>Art. 7º, §2º, II.</x:v>
      </x:c>
      <x:c r="J16" s="26" t="n">
        <x:f>IF(G16="Atende",2,IF(G16="Parcial",1.0,0))</x:f>
        <x:v>0</x:v>
      </x:c>
      <x:c r="K16" s="26" t="str"/>
      <x:c r="L16" s="57" t="str">
        <x:v>Não possui canal próprio na Fala.BR, mas utiliza o canal Fala.BR da Ouvidoria-Geral do Estado ou outra ouvidoria central;Utiliza apenas outro sistema eletrônico de ouvidoria (estadual ou próprio do órgão);</x:v>
      </x:c>
      <x:c r="M16" s="66" t="str">
        <x:v>Art. 7º, §2º, III.</x:v>
      </x:c>
      <x:c r="N16" s="26" t="n">
        <x:f>IF(K16="Atende",2,IF(K16="Parcial",1.0,0))</x:f>
        <x:v>0</x:v>
      </x:c>
      <x:c r="O16" s="26" t="str"/>
      <x:c r="P16" s="57" t="str">
        <x:v>Sim</x:v>
      </x:c>
      <x:c r="Q16" s="66" t="str">
        <x:v>Art. 7º, §2º, IV.</x:v>
      </x:c>
      <x:c r="R16" s="26" t="n">
        <x:f>IF(O16="Atende",2,IF(O16="Parcial",1.0,0))</x:f>
        <x:v>0</x:v>
      </x:c>
      <x:c r="S16" s="26" t="str"/>
      <x:c r="T16" s="57" t="str">
        <x:v>Possui instalação física própria, com privacidade, acessibilidade e condições adequadas de atendimento</x:v>
      </x:c>
      <x:c r="U16" s="66" t="str">
        <x:v>Art. 7º, §1º, I e II.</x:v>
      </x:c>
      <x:c r="V16" s="26" t="n">
        <x:f>IF(S16="Atende",3,IF(S16="Parcial",1.5,0))</x:f>
        <x:v>0</x:v>
      </x:c>
      <x:c r="W16" s="26" t="str"/>
      <x:c r="X16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16" s="66" t="str">
        <x:v>Art. 4º, III; art. 10, I.</x:v>
      </x:c>
      <x:c r="Z16" s="26" t="n">
        <x:f>IF(W16="Atende",2,IF(W16="Parcial",1.0,0))</x:f>
        <x:v>0</x:v>
      </x:c>
      <x:c r="AA16" s="26" t="str"/>
      <x:c r="AB16" s="57" t="str">
        <x:v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x:v>
      </x:c>
      <x:c r="AC16" s="66" t="str">
        <x:v>Art. 4º, III; art. 10, I.</x:v>
      </x:c>
      <x:c r="AD16" s="26" t="n">
        <x:f>IF(AA16="Atende",2,IF(AA16="Parcial",1.0,0))</x:f>
        <x:v>0</x:v>
      </x:c>
      <x:c r="AE16" s="26" t="n">
        <x:f>SUM(F16,J16,N16,R16,V16,Z16,AD16)</x:f>
        <x:v>0</x:v>
      </x:c>
      <x:c r="AF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Sim</x:v>
      </x:c>
      <x:c r="E17" s="66" t="str">
        <x:v>Art. 7º, §2º, I.</x:v>
      </x:c>
      <x:c r="F17" s="26" t="n">
        <x:f>IF(C17="Atende",2,IF(C17="Parcial",1.0,0))</x:f>
        <x:v>0</x:v>
      </x:c>
      <x:c r="G17" s="26" t="str"/>
      <x:c r="H17" s="57" t="str">
        <x:v>Sim</x:v>
      </x:c>
      <x:c r="I17" s="66" t="str">
        <x:v>Art. 7º, §2º, II.</x:v>
      </x:c>
      <x:c r="J17" s="26" t="n">
        <x:f>IF(G17="Atende",2,IF(G17="Parcial",1.0,0))</x:f>
        <x:v>0</x:v>
      </x:c>
      <x:c r="K17" s="26" t="str"/>
      <x:c r="L17" s="57" t="str">
        <x:v>Utiliza apenas outro sistema eletrônico de ouvidoria (estadual ou próprio do órgão);</x:v>
      </x:c>
      <x:c r="M17" s="66" t="str">
        <x:v>Art. 7º, §2º, III.</x:v>
      </x:c>
      <x:c r="N17" s="26" t="n">
        <x:f>IF(K17="Atende",2,IF(K17="Parcial",1.0,0))</x:f>
        <x:v>0</x:v>
      </x:c>
      <x:c r="O17" s="26" t="str"/>
      <x:c r="P17" s="57" t="str">
        <x:v>Não</x:v>
      </x:c>
      <x:c r="Q17" s="66" t="str">
        <x:v>Art. 7º, §2º, IV.</x:v>
      </x:c>
      <x:c r="R17" s="26" t="n">
        <x:f>IF(O17="Atende",2,IF(O17="Parcial",1.0,0))</x:f>
        <x:v>0</x:v>
      </x:c>
      <x:c r="S17" s="26" t="str"/>
      <x:c r="T17" s="57" t="str">
        <x:v>Possui instalação física própria, com privacidade, acessibilidade e condições adequadas de atendimento</x:v>
      </x:c>
      <x:c r="U17" s="66" t="str">
        <x:v>Art. 7º, §1º, I e II.</x:v>
      </x:c>
      <x:c r="V17" s="26" t="n">
        <x:f>IF(S17="Atende",3,IF(S17="Parcial",1.5,0))</x:f>
        <x:v>0</x:v>
      </x:c>
      <x:c r="W17" s="26" t="str"/>
      <x:c r="X17" s="57" t="str">
        <x:v>Demais cidadãos e usuários de serviços relacionados ao sistema penal;</x:v>
      </x:c>
      <x:c r="Y17" s="66" t="str">
        <x:v>Art. 4º, III; art. 10, I.</x:v>
      </x:c>
      <x:c r="Z17" s="26" t="n">
        <x:f>IF(W17="Atende",2,IF(W17="Parcial",1.0,0))</x:f>
        <x:v>0</x:v>
      </x:c>
      <x:c r="AA17" s="26" t="str"/>
      <x:c r="AB17" s="57" t="str">
        <x:v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x:v>
      </x:c>
      <x:c r="AC17" s="66" t="str">
        <x:v>Art. 4º, III; art. 10, I.</x:v>
      </x:c>
      <x:c r="AD17" s="26" t="n">
        <x:f>IF(AA17="Atende",2,IF(AA17="Parcial",1.0,0))</x:f>
        <x:v>0</x:v>
      </x:c>
      <x:c r="AE17" s="26" t="n">
        <x:f>SUM(F17,J17,N17,R17,V17,Z17,AD17)</x:f>
        <x:v>0</x:v>
      </x:c>
      <x:c r="AF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Sim</x:v>
      </x:c>
      <x:c r="E18" s="66" t="str">
        <x:v>Art. 7º, §2º, I.</x:v>
      </x:c>
      <x:c r="F18" s="26" t="n">
        <x:f>IF(C18="Atende",2,IF(C18="Parcial",1.0,0))</x:f>
        <x:v>0</x:v>
      </x:c>
      <x:c r="G18" s="26" t="str"/>
      <x:c r="H18" s="57" t="str">
        <x:v>Não</x:v>
      </x:c>
      <x:c r="I18" s="66" t="str">
        <x:v>Art. 7º, §2º, II.</x:v>
      </x:c>
      <x:c r="J18" s="26" t="n">
        <x:f>IF(G18="Atende",2,IF(G18="Parcial",1.0,0))</x:f>
        <x:v>0</x:v>
      </x:c>
      <x:c r="K18" s="26" t="str"/>
      <x:c r="L18" s="57" t="str">
        <x:v>Possui canal próprio na Plataforma Fala.BR (CGU);</x:v>
      </x:c>
      <x:c r="M18" s="66" t="str">
        <x:v>Art. 7º, §2º, III.</x:v>
      </x:c>
      <x:c r="N18" s="26" t="n">
        <x:f>IF(K18="Atende",2,IF(K18="Parcial",1.0,0))</x:f>
        <x:v>0</x:v>
      </x:c>
      <x:c r="O18" s="26" t="str"/>
      <x:c r="P18" s="57" t="str">
        <x:v>Sim</x:v>
      </x:c>
      <x:c r="Q18" s="66" t="str">
        <x:v>Art. 7º, §2º, IV.</x:v>
      </x:c>
      <x:c r="R18" s="26" t="n">
        <x:f>IF(O18="Atende",2,IF(O18="Parcial",1.0,0))</x:f>
        <x:v>0</x:v>
      </x:c>
      <x:c r="S18" s="26" t="str"/>
      <x:c r="T18" s="57" t="str">
        <x:v>Possui instalação física própria, com privacidade, acessibilidade e condições adequadas de atendimento</x:v>
      </x:c>
      <x:c r="U18" s="66" t="str">
        <x:v>Art. 7º, §1º, I e II.</x:v>
      </x:c>
      <x:c r="V18" s="26" t="n">
        <x:f>IF(S18="Atende",3,IF(S18="Parcial",1.5,0))</x:f>
        <x:v>0</x:v>
      </x:c>
      <x:c r="W18" s="26" t="str"/>
      <x:c r="X18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18" s="66" t="str">
        <x:v>Art. 4º, III; art. 10, I.</x:v>
      </x:c>
      <x:c r="Z18" s="26" t="n">
        <x:f>IF(W18="Atende",2,IF(W18="Parcial",1.0,0))</x:f>
        <x:v>0</x:v>
      </x:c>
      <x:c r="AA18" s="26" t="str"/>
      <x:c r="AB18" s="57" t="str">
        <x:v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x:v>
      </x:c>
      <x:c r="AC18" s="66" t="str">
        <x:v>Art. 4º, III; art. 10, I.</x:v>
      </x:c>
      <x:c r="AD18" s="26" t="n">
        <x:f>IF(AA18="Atende",2,IF(AA18="Parcial",1.0,0))</x:f>
        <x:v>0</x:v>
      </x:c>
      <x:c r="AE18" s="26" t="n">
        <x:f>SUM(F18,J18,N18,R18,V18,Z18,AD18)</x:f>
        <x:v>0</x:v>
      </x:c>
      <x:c r="AF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Sim</x:v>
      </x:c>
      <x:c r="E19" s="66" t="str">
        <x:v>Art. 7º, §2º, I.</x:v>
      </x:c>
      <x:c r="F19" s="26" t="n">
        <x:f>IF(C19="Atende",2,IF(C19="Parcial",1.0,0))</x:f>
        <x:v>0</x:v>
      </x:c>
      <x:c r="G19" s="26" t="str"/>
      <x:c r="H19" s="57" t="str">
        <x:v>Sim</x:v>
      </x:c>
      <x:c r="I19" s="66" t="str">
        <x:v>Art. 7º, §2º, II.</x:v>
      </x:c>
      <x:c r="J19" s="26" t="n">
        <x:f>IF(G19="Atende",2,IF(G19="Parcial",1.0,0))</x:f>
        <x:v>0</x:v>
      </x:c>
      <x:c r="K19" s="26" t="str"/>
      <x:c r="L19" s="57" t="str">
        <x:v>Possui canal próprio na Plataforma Fala.BR (CGU);</x:v>
      </x:c>
      <x:c r="M19" s="66" t="str">
        <x:v>Art. 7º, §2º, III.</x:v>
      </x:c>
      <x:c r="N19" s="26" t="n">
        <x:f>IF(K19="Atende",2,IF(K19="Parcial",1.0,0))</x:f>
        <x:v>0</x:v>
      </x:c>
      <x:c r="O19" s="26" t="str"/>
      <x:c r="P19" s="57" t="str">
        <x:v>Sim</x:v>
      </x:c>
      <x:c r="Q19" s="66" t="str">
        <x:v>Art. 7º, §2º, IV.</x:v>
      </x:c>
      <x:c r="R19" s="26" t="n">
        <x:f>IF(O19="Atende",2,IF(O19="Parcial",1.0,0))</x:f>
        <x:v>0</x:v>
      </x:c>
      <x:c r="S19" s="26" t="str"/>
      <x:c r="T19" s="57" t="str">
        <x:v>Possui sala definida, mas com limitações relevantes (privacidade, acessibilidade, mobiliário)</x:v>
      </x:c>
      <x:c r="U19" s="66" t="str">
        <x:v>Art. 7º, §1º, I e II.</x:v>
      </x:c>
      <x:c r="V19" s="26" t="n">
        <x:f>IF(S19="Atende",3,IF(S19="Parcial",1.5,0))</x:f>
        <x:v>0</x:v>
      </x:c>
      <x:c r="W19" s="26" t="str"/>
      <x:c r="X19" s="57" t="str">
        <x:v>Não existe normativa;</x:v>
      </x:c>
      <x:c r="Y19" s="66" t="str">
        <x:v>Art. 4º, III; art. 10, I.</x:v>
      </x:c>
      <x:c r="Z19" s="26" t="n">
        <x:f>IF(W19="Atende",2,IF(W19="Parcial",1.0,0))</x:f>
        <x:v>0</x:v>
      </x:c>
      <x:c r="AA19" s="26" t="str"/>
      <x:c r="AB19" s="57" t="str">
        <x:v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x:v>
      </x:c>
      <x:c r="AC19" s="66" t="str">
        <x:v>Art. 4º, III; art. 10, I.</x:v>
      </x:c>
      <x:c r="AD19" s="26" t="n">
        <x:f>IF(AA19="Atende",2,IF(AA19="Parcial",1.0,0))</x:f>
        <x:v>0</x:v>
      </x:c>
      <x:c r="AE19" s="26" t="n">
        <x:f>SUM(F19,J19,N19,R19,V19,Z19,AD19)</x:f>
        <x:v>0</x:v>
      </x:c>
      <x:c r="AF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Sim</x:v>
      </x:c>
      <x:c r="E20" s="66" t="str">
        <x:v>Art. 7º, §2º, I.</x:v>
      </x:c>
      <x:c r="F20" s="26" t="n">
        <x:f>IF(C20="Atende",2,IF(C20="Parcial",1.0,0))</x:f>
        <x:v>0</x:v>
      </x:c>
      <x:c r="G20" s="26" t="str"/>
      <x:c r="H20" s="57" t="str">
        <x:v>Sim</x:v>
      </x:c>
      <x:c r="I20" s="66" t="str">
        <x:v>Art. 7º, §2º, II.</x:v>
      </x:c>
      <x:c r="J20" s="26" t="n">
        <x:f>IF(G20="Atende",2,IF(G20="Parcial",1.0,0))</x:f>
        <x:v>0</x:v>
      </x:c>
      <x:c r="K20" s="26" t="str"/>
      <x:c r="L20" s="57" t="str">
        <x:v>Utiliza apenas outro sistema eletrônico de ouvidoria (estadual ou próprio do órgão);</x:v>
      </x:c>
      <x:c r="M20" s="66" t="str">
        <x:v>Art. 7º, §2º, III.</x:v>
      </x:c>
      <x:c r="N20" s="26" t="n">
        <x:f>IF(K20="Atende",2,IF(K20="Parcial",1.0,0))</x:f>
        <x:v>0</x:v>
      </x:c>
      <x:c r="O20" s="26" t="str"/>
      <x:c r="P20" s="57" t="str">
        <x:v>Sim</x:v>
      </x:c>
      <x:c r="Q20" s="66" t="str">
        <x:v>Art. 7º, §2º, IV.</x:v>
      </x:c>
      <x:c r="R20" s="26" t="n">
        <x:f>IF(O20="Atende",2,IF(O20="Parcial",1.0,0))</x:f>
        <x:v>0</x:v>
      </x:c>
      <x:c r="S20" s="26" t="str"/>
      <x:c r="T20" s="57" t="str">
        <x:v>Possui sala definida, mas com limitações relevantes (privacidade, acessibilidade, mobiliário)</x:v>
      </x:c>
      <x:c r="U20" s="66" t="str">
        <x:v>Art. 7º, §1º, I e II.</x:v>
      </x:c>
      <x:c r="V20" s="26" t="n">
        <x:f>IF(S20="Atende",3,IF(S20="Parcial",1.5,0))</x:f>
        <x:v>0</x:v>
      </x:c>
      <x:c r="W20" s="26" t="str"/>
      <x:c r="X20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20" s="66" t="str">
        <x:v>Art. 4º, III; art. 10, I.</x:v>
      </x:c>
      <x:c r="Z20" s="26" t="n">
        <x:f>IF(W20="Atende",2,IF(W20="Parcial",1.0,0))</x:f>
        <x:v>0</x:v>
      </x:c>
      <x:c r="AA20" s="26" t="str"/>
      <x:c r="AB20" s="57" t="str">
        <x:v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x:v>
      </x:c>
      <x:c r="AC20" s="66" t="str">
        <x:v>Art. 4º, III; art. 10, I.</x:v>
      </x:c>
      <x:c r="AD20" s="26" t="n">
        <x:f>IF(AA20="Atende",2,IF(AA20="Parcial",1.0,0))</x:f>
        <x:v>0</x:v>
      </x:c>
      <x:c r="AE20" s="26" t="n">
        <x:f>SUM(F20,J20,N20,R20,V20,Z20,AD20)</x:f>
        <x:v>0</x:v>
      </x:c>
      <x:c r="AF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Não</x:v>
      </x:c>
      <x:c r="E21" s="66" t="str">
        <x:v>Art. 7º, §2º, I.</x:v>
      </x:c>
      <x:c r="F21" s="26" t="n">
        <x:f>IF(C21="Atende",2,IF(C21="Parcial",1.0,0))</x:f>
        <x:v>0</x:v>
      </x:c>
      <x:c r="G21" s="26" t="str"/>
      <x:c r="H21" s="57" t="str">
        <x:v>Não</x:v>
      </x:c>
      <x:c r="I21" s="66" t="str">
        <x:v>Art. 7º, §2º, II.</x:v>
      </x:c>
      <x:c r="J21" s="26" t="n">
        <x:f>IF(G21="Atende",2,IF(G21="Parcial",1.0,0))</x:f>
        <x:v>0</x:v>
      </x:c>
      <x:c r="K21" s="26" t="str"/>
      <x:c r="L21" s="57" t="str">
        <x:v>Não possui canal próprio na Fala.BR, mas utiliza o canal Fala.BR da Ouvidoria-Geral do Estado ou outra ouvidoria central;emails da secretaria;</x:v>
      </x:c>
      <x:c r="M21" s="66" t="str">
        <x:v>Art. 7º, §2º, III.</x:v>
      </x:c>
      <x:c r="N21" s="26" t="n">
        <x:f>IF(K21="Atende",2,IF(K21="Parcial",1.0,0))</x:f>
        <x:v>0</x:v>
      </x:c>
      <x:c r="O21" s="26" t="str"/>
      <x:c r="P21" s="57" t="str">
        <x:v>Não</x:v>
      </x:c>
      <x:c r="Q21" s="66" t="str">
        <x:v>Art. 7º, §2º, IV.</x:v>
      </x:c>
      <x:c r="R21" s="26" t="n">
        <x:f>IF(O21="Atende",2,IF(O21="Parcial",1.0,0))</x:f>
        <x:v>0</x:v>
      </x:c>
      <x:c r="S21" s="26" t="str"/>
      <x:c r="T21" s="57" t="str">
        <x:v>Não há Ouvidoria constituída na Secretaria</x:v>
      </x:c>
      <x:c r="U21" s="66" t="str">
        <x:v>Art. 7º, §1º, I e II.</x:v>
      </x:c>
      <x:c r="V21" s="26" t="n">
        <x:f>IF(S21="Atende",3,IF(S21="Parcial",1.5,0))</x:f>
        <x:v>0</x:v>
      </x:c>
      <x:c r="W21" s="26" t="str"/>
      <x:c r="X21" s="57" t="str">
        <x:v>Não há Ouvidoria constituída na Secretaria;</x:v>
      </x:c>
      <x:c r="Y21" s="66" t="str">
        <x:v>Art. 4º, III; art. 10, I.</x:v>
      </x:c>
      <x:c r="Z21" s="26" t="n">
        <x:f>IF(W21="Atende",2,IF(W21="Parcial",1.0,0))</x:f>
        <x:v>0</x:v>
      </x:c>
      <x:c r="AA21" s="26" t="str"/>
      <x:c r="AB21" s="57" t="str">
        <x:v>Pessoas privadas de liberdade: Nunca recebe manifestações desse público | Familiares / pessoas de referência de pessoas privadas de liberdade: Nunca recebe manifestações desse público | Servidores(as) penais e demais trabalhadores(as) dos serviços penais: Nunca recebe manifestações desse público | Outros cidadãos e usuários de serviços relacionados ao sistema penal: Nunca recebe manifestações desse público</x:v>
      </x:c>
      <x:c r="AC21" s="66" t="str">
        <x:v>Art. 4º, III; art. 10, I.</x:v>
      </x:c>
      <x:c r="AD21" s="26" t="n">
        <x:f>IF(AA21="Atende",2,IF(AA21="Parcial",1.0,0))</x:f>
        <x:v>0</x:v>
      </x:c>
      <x:c r="AE21" s="26" t="n">
        <x:f>SUM(F21,J21,N21,R21,V21,Z21,AD21)</x:f>
        <x:v>0</x:v>
      </x:c>
      <x:c r="AF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Sim</x:v>
      </x:c>
      <x:c r="E22" s="66" t="str">
        <x:v>Art. 7º, §2º, I.</x:v>
      </x:c>
      <x:c r="F22" s="26" t="n">
        <x:f>IF(C22="Atende",2,IF(C22="Parcial",1.0,0))</x:f>
        <x:v>0</x:v>
      </x:c>
      <x:c r="G22" s="26" t="str"/>
      <x:c r="H22" s="57" t="str">
        <x:v>Sim</x:v>
      </x:c>
      <x:c r="I22" s="66" t="str">
        <x:v>Art. 7º, §2º, II.</x:v>
      </x:c>
      <x:c r="J22" s="26" t="n">
        <x:f>IF(G22="Atende",2,IF(G22="Parcial",1.0,0))</x:f>
        <x:v>0</x:v>
      </x:c>
      <x:c r="K22" s="26" t="str"/>
      <x:c r="L22" s="57" t="str">
        <x:v>Utiliza apenas outro sistema eletrônico de ouvidoria (estadual ou próprio do órgão);</x:v>
      </x:c>
      <x:c r="M22" s="66" t="str">
        <x:v>Art. 7º, §2º, III.</x:v>
      </x:c>
      <x:c r="N22" s="26" t="n">
        <x:f>IF(K22="Atende",2,IF(K22="Parcial",1.0,0))</x:f>
        <x:v>0</x:v>
      </x:c>
      <x:c r="O22" s="26" t="str"/>
      <x:c r="P22" s="57" t="str">
        <x:v>Não</x:v>
      </x:c>
      <x:c r="Q22" s="66" t="str">
        <x:v>Art. 7º, §2º, IV.</x:v>
      </x:c>
      <x:c r="R22" s="26" t="n">
        <x:f>IF(O22="Atende",2,IF(O22="Parcial",1.0,0))</x:f>
        <x:v>0</x:v>
      </x:c>
      <x:c r="S22" s="26" t="str"/>
      <x:c r="T22" s="57" t="str">
        <x:v>Possui instalação física própria, com privacidade, acessibilidade e condições adequadas de atendimento</x:v>
      </x:c>
      <x:c r="U22" s="66" t="str">
        <x:v>Art. 7º, §1º, I e II.</x:v>
      </x:c>
      <x:c r="V22" s="26" t="n">
        <x:f>IF(S22="Atende",3,IF(S22="Parcial",1.5,0))</x:f>
        <x:v>0</x:v>
      </x:c>
      <x:c r="W22" s="26" t="str"/>
      <x:c r="X22" s="57" t="str">
        <x:v>Pessoas privadas de liberdade;Familiares / pessoas de referência de pessoas privadas de liberdade;</x:v>
      </x:c>
      <x:c r="Y22" s="66" t="str">
        <x:v>Art. 4º, III; art. 10, I.</x:v>
      </x:c>
      <x:c r="Z22" s="26" t="n">
        <x:f>IF(W22="Atende",2,IF(W22="Parcial",1.0,0))</x:f>
        <x:v>0</x:v>
      </x:c>
      <x:c r="AA22" s="26" t="str"/>
      <x:c r="AB22" s="57" t="str">
        <x:v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x:v>
      </x:c>
      <x:c r="AC22" s="66" t="str">
        <x:v>Art. 4º, III; art. 10, I.</x:v>
      </x:c>
      <x:c r="AD22" s="26" t="n">
        <x:f>IF(AA22="Atende",2,IF(AA22="Parcial",1.0,0))</x:f>
        <x:v>0</x:v>
      </x:c>
      <x:c r="AE22" s="26" t="n">
        <x:f>SUM(F22,J22,N22,R22,V22,Z22,AD22)</x:f>
        <x:v>0</x:v>
      </x:c>
      <x:c r="AF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Sim</x:v>
      </x:c>
      <x:c r="E23" s="66" t="str">
        <x:v>Art. 7º, §2º, I.</x:v>
      </x:c>
      <x:c r="F23" s="26" t="n">
        <x:f>IF(C23="Atende",2,IF(C23="Parcial",1.0,0))</x:f>
        <x:v>0</x:v>
      </x:c>
      <x:c r="G23" s="26" t="str"/>
      <x:c r="H23" s="57" t="str">
        <x:v>Sim</x:v>
      </x:c>
      <x:c r="I23" s="66" t="str">
        <x:v>Art. 7º, §2º, II.</x:v>
      </x:c>
      <x:c r="J23" s="26" t="n">
        <x:f>IF(G23="Atende",2,IF(G23="Parcial",1.0,0))</x:f>
        <x:v>0</x:v>
      </x:c>
      <x:c r="K23" s="26" t="str"/>
      <x:c r="L23" s="57" t="str">
        <x:v>Utiliza apenas outro sistema eletrônico de ouvidoria (estadual ou próprio do órgão);</x:v>
      </x:c>
      <x:c r="M23" s="66" t="str">
        <x:v>Art. 7º, §2º, III.</x:v>
      </x:c>
      <x:c r="N23" s="26" t="n">
        <x:f>IF(K23="Atende",2,IF(K23="Parcial",1.0,0))</x:f>
        <x:v>0</x:v>
      </x:c>
      <x:c r="O23" s="26" t="str"/>
      <x:c r="P23" s="57" t="str">
        <x:v>Sim</x:v>
      </x:c>
      <x:c r="Q23" s="66" t="str">
        <x:v>Art. 7º, §2º, IV.</x:v>
      </x:c>
      <x:c r="R23" s="26" t="n">
        <x:f>IF(O23="Atende",2,IF(O23="Parcial",1.0,0))</x:f>
        <x:v>0</x:v>
      </x:c>
      <x:c r="S23" s="26" t="str"/>
      <x:c r="T23" s="57" t="str">
        <x:v>Possui sala definida, mas com limitações relevantes (privacidade, acessibilidade, mobiliário)</x:v>
      </x:c>
      <x:c r="U23" s="66" t="str">
        <x:v>Art. 7º, §1º, I e II.</x:v>
      </x:c>
      <x:c r="V23" s="26" t="n">
        <x:f>IF(S23="Atende",3,IF(S23="Parcial",1.5,0))</x:f>
        <x:v>0</x:v>
      </x:c>
      <x:c r="W23" s="26" t="str"/>
      <x:c r="X23" s="57" t="str">
        <x:v>Não existe normativa;</x:v>
      </x:c>
      <x:c r="Y23" s="66" t="str">
        <x:v>Art. 4º, III; art. 10, I.</x:v>
      </x:c>
      <x:c r="Z23" s="26" t="n">
        <x:f>IF(W23="Atende",2,IF(W23="Parcial",1.0,0))</x:f>
        <x:v>0</x:v>
      </x:c>
      <x:c r="AA23" s="26" t="str"/>
      <x:c r="AB23" s="57" t="str">
        <x:v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x:v>
      </x:c>
      <x:c r="AC23" s="66" t="str">
        <x:v>Art. 4º, III; art. 10, I.</x:v>
      </x:c>
      <x:c r="AD23" s="26" t="n">
        <x:f>IF(AA23="Atende",2,IF(AA23="Parcial",1.0,0))</x:f>
        <x:v>0</x:v>
      </x:c>
      <x:c r="AE23" s="26" t="n">
        <x:f>SUM(F23,J23,N23,R23,V23,Z23,AD23)</x:f>
        <x:v>0</x:v>
      </x:c>
      <x:c r="AF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Sim</x:v>
      </x:c>
      <x:c r="E24" s="66" t="str">
        <x:v>Art. 7º, §2º, I.</x:v>
      </x:c>
      <x:c r="F24" s="26" t="n">
        <x:f>IF(C24="Atende",2,IF(C24="Parcial",1.0,0))</x:f>
        <x:v>0</x:v>
      </x:c>
      <x:c r="G24" s="26" t="str"/>
      <x:c r="H24" s="57" t="str">
        <x:v>Sim</x:v>
      </x:c>
      <x:c r="I24" s="66" t="str">
        <x:v>Art. 7º, §2º, II.</x:v>
      </x:c>
      <x:c r="J24" s="26" t="n">
        <x:f>IF(G24="Atende",2,IF(G24="Parcial",1.0,0))</x:f>
        <x:v>0</x:v>
      </x:c>
      <x:c r="K24" s="26" t="str"/>
      <x:c r="L24" s="57" t="str">
        <x:v>Utiliza apenas outro sistema eletrônico de ouvidoria (estadual ou próprio do órgão);</x:v>
      </x:c>
      <x:c r="M24" s="66" t="str">
        <x:v>Art. 7º, §2º, III.</x:v>
      </x:c>
      <x:c r="N24" s="26" t="n">
        <x:f>IF(K24="Atende",2,IF(K24="Parcial",1.0,0))</x:f>
        <x:v>0</x:v>
      </x:c>
      <x:c r="O24" s="26" t="str"/>
      <x:c r="P24" s="57" t="str">
        <x:v>Sim</x:v>
      </x:c>
      <x:c r="Q24" s="66" t="str">
        <x:v>Art. 7º, §2º, IV.</x:v>
      </x:c>
      <x:c r="R24" s="26" t="n">
        <x:f>IF(O24="Atende",2,IF(O24="Parcial",1.0,0))</x:f>
        <x:v>0</x:v>
      </x:c>
      <x:c r="S24" s="26" t="str"/>
      <x:c r="T24" s="57" t="str">
        <x:v>Possui sala definida, mas com limitações relevantes (privacidade, acessibilidade, mobiliário)</x:v>
      </x:c>
      <x:c r="U24" s="66" t="str">
        <x:v>Art. 7º, §1º, I e II.</x:v>
      </x:c>
      <x:c r="V24" s="26" t="n">
        <x:f>IF(S24="Atende",3,IF(S24="Parcial",1.5,0))</x:f>
        <x:v>0</x:v>
      </x:c>
      <x:c r="W24" s="26" t="str"/>
      <x:c r="X24" s="57" t="str">
        <x:v>Não existe normativa;</x:v>
      </x:c>
      <x:c r="Y24" s="66" t="str">
        <x:v>Art. 4º, III; art. 10, I.</x:v>
      </x:c>
      <x:c r="Z24" s="26" t="n">
        <x:f>IF(W24="Atende",2,IF(W24="Parcial",1.0,0))</x:f>
        <x:v>0</x:v>
      </x:c>
      <x:c r="AA24" s="26" t="str"/>
      <x:c r="AB24" s="57" t="str">
        <x:v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x:v>
      </x:c>
      <x:c r="AC24" s="66" t="str">
        <x:v>Art. 4º, III; art. 10, I.</x:v>
      </x:c>
      <x:c r="AD24" s="26" t="n">
        <x:f>IF(AA24="Atende",2,IF(AA24="Parcial",1.0,0))</x:f>
        <x:v>0</x:v>
      </x:c>
      <x:c r="AE24" s="26" t="n">
        <x:f>SUM(F24,J24,N24,R24,V24,Z24,AD24)</x:f>
        <x:v>0</x:v>
      </x:c>
      <x:c r="AF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Sim</x:v>
      </x:c>
      <x:c r="E25" s="66" t="str">
        <x:v>Art. 7º, §2º, I.</x:v>
      </x:c>
      <x:c r="F25" s="26" t="n">
        <x:f>IF(C25="Atende",2,IF(C25="Parcial",1.0,0))</x:f>
        <x:v>0</x:v>
      </x:c>
      <x:c r="G25" s="26" t="str"/>
      <x:c r="H25" s="57" t="str">
        <x:v>Não</x:v>
      </x:c>
      <x:c r="I25" s="66" t="str">
        <x:v>Art. 7º, §2º, II.</x:v>
      </x:c>
      <x:c r="J25" s="26" t="n">
        <x:f>IF(G25="Atende",2,IF(G25="Parcial",1.0,0))</x:f>
        <x:v>0</x:v>
      </x:c>
      <x:c r="K25" s="26" t="str"/>
      <x:c r="L25" s="57" t="str">
        <x:v>Possui canal próprio na Plataforma Fala.BR (CGU);</x:v>
      </x:c>
      <x:c r="M25" s="66" t="str">
        <x:v>Art. 7º, §2º, III.</x:v>
      </x:c>
      <x:c r="N25" s="26" t="n">
        <x:f>IF(K25="Atende",2,IF(K25="Parcial",1.0,0))</x:f>
        <x:v>0</x:v>
      </x:c>
      <x:c r="O25" s="26" t="str"/>
      <x:c r="P25" s="57" t="str">
        <x:v>Não</x:v>
      </x:c>
      <x:c r="Q25" s="66" t="str">
        <x:v>Art. 7º, §2º, IV.</x:v>
      </x:c>
      <x:c r="R25" s="26" t="n">
        <x:f>IF(O25="Atende",2,IF(O25="Parcial",1.0,0))</x:f>
        <x:v>0</x:v>
      </x:c>
      <x:c r="S25" s="26" t="str"/>
      <x:c r="T25" s="57" t="str">
        <x:v>Possui sala definida, mas com limitações relevantes (privacidade, acessibilidade, mobiliário)</x:v>
      </x:c>
      <x:c r="U25" s="66" t="str">
        <x:v>Art. 7º, §1º, I e II.</x:v>
      </x:c>
      <x:c r="V25" s="26" t="n">
        <x:f>IF(S25="Atende",3,IF(S25="Parcial",1.5,0))</x:f>
        <x:v>0</x:v>
      </x:c>
      <x:c r="W25" s="26" t="str"/>
      <x:c r="X25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25" s="66" t="str">
        <x:v>Art. 4º, III; art. 10, I.</x:v>
      </x:c>
      <x:c r="Z25" s="26" t="n">
        <x:f>IF(W25="Atende",2,IF(W25="Parcial",1.0,0))</x:f>
        <x:v>0</x:v>
      </x:c>
      <x:c r="AA25" s="26" t="str"/>
      <x:c r="AB25" s="57" t="str">
        <x:v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x:v>
      </x:c>
      <x:c r="AC25" s="66" t="str">
        <x:v>Art. 4º, III; art. 10, I.</x:v>
      </x:c>
      <x:c r="AD25" s="26" t="n">
        <x:f>IF(AA25="Atende",2,IF(AA25="Parcial",1.0,0))</x:f>
        <x:v>0</x:v>
      </x:c>
      <x:c r="AE25" s="26" t="n">
        <x:f>SUM(F25,J25,N25,R25,V25,Z25,AD25)</x:f>
        <x:v>0</x:v>
      </x:c>
      <x:c r="AF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Sim</x:v>
      </x:c>
      <x:c r="E26" s="66" t="str">
        <x:v>Art. 7º, §2º, I.</x:v>
      </x:c>
      <x:c r="F26" s="26" t="n">
        <x:f>IF(C26="Atende",2,IF(C26="Parcial",1.0,0))</x:f>
        <x:v>0</x:v>
      </x:c>
      <x:c r="G26" s="26" t="str"/>
      <x:c r="H26" s="57" t="str">
        <x:v>Sim</x:v>
      </x:c>
      <x:c r="I26" s="66" t="str">
        <x:v>Art. 7º, §2º, II.</x:v>
      </x:c>
      <x:c r="J26" s="26" t="n">
        <x:f>IF(G26="Atende",2,IF(G26="Parcial",1.0,0))</x:f>
        <x:v>0</x:v>
      </x:c>
      <x:c r="K26" s="26" t="str"/>
      <x:c r="L26" s="57" t="str">
        <x:v>Utiliza apenas outro sistema eletrônico de ouvidoria (estadual ou próprio do órgão);</x:v>
      </x:c>
      <x:c r="M26" s="66" t="str">
        <x:v>Art. 7º, §2º, III.</x:v>
      </x:c>
      <x:c r="N26" s="26" t="n">
        <x:f>IF(K26="Atende",2,IF(K26="Parcial",1.0,0))</x:f>
        <x:v>0</x:v>
      </x:c>
      <x:c r="O26" s="26" t="str"/>
      <x:c r="P26" s="57" t="str">
        <x:v>Sim</x:v>
      </x:c>
      <x:c r="Q26" s="66" t="str">
        <x:v>Art. 7º, §2º, IV.</x:v>
      </x:c>
      <x:c r="R26" s="26" t="n">
        <x:f>IF(O26="Atende",2,IF(O26="Parcial",1.0,0))</x:f>
        <x:v>0</x:v>
      </x:c>
      <x:c r="S26" s="26" t="str"/>
      <x:c r="T26" s="57" t="str">
        <x:v>Possui instalação física própria, com privacidade, acessibilidade e condições adequadas de atendimento</x:v>
      </x:c>
      <x:c r="U26" s="66" t="str">
        <x:v>Art. 7º, §1º, I e II.</x:v>
      </x:c>
      <x:c r="V26" s="26" t="n">
        <x:f>IF(S26="Atende",3,IF(S26="Parcial",1.5,0))</x:f>
        <x:v>0</x:v>
      </x:c>
      <x:c r="W26" s="26" t="str"/>
      <x:c r="X26" s="57" t="str">
        <x:v>Demais cidadãos e usuários de serviços relacionados ao sistema penal;</x:v>
      </x:c>
      <x:c r="Y26" s="66" t="str">
        <x:v>Art. 4º, III; art. 10, I.</x:v>
      </x:c>
      <x:c r="Z26" s="26" t="n">
        <x:f>IF(W26="Atende",2,IF(W26="Parcial",1.0,0))</x:f>
        <x:v>0</x:v>
      </x:c>
      <x:c r="AA26" s="26" t="str"/>
      <x:c r="AB26" s="57" t="str">
        <x:v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x:v>
      </x:c>
      <x:c r="AC26" s="66" t="str">
        <x:v>Art. 4º, III; art. 10, I.</x:v>
      </x:c>
      <x:c r="AD26" s="26" t="n">
        <x:f>IF(AA26="Atende",2,IF(AA26="Parcial",1.0,0))</x:f>
        <x:v>0</x:v>
      </x:c>
      <x:c r="AE26" s="26" t="n">
        <x:f>SUM(F26,J26,N26,R26,V26,Z26,AD26)</x:f>
        <x:v>0</x:v>
      </x:c>
      <x:c r="AF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Sim</x:v>
      </x:c>
      <x:c r="E27" s="66" t="str">
        <x:v>Art. 7º, §2º, I.</x:v>
      </x:c>
      <x:c r="F27" s="26" t="n">
        <x:f>IF(C27="Atende",2,IF(C27="Parcial",1.0,0))</x:f>
        <x:v>0</x:v>
      </x:c>
      <x:c r="G27" s="26" t="str"/>
      <x:c r="H27" s="57" t="str">
        <x:v>Sim</x:v>
      </x:c>
      <x:c r="I27" s="66" t="str">
        <x:v>Art. 7º, §2º, II.</x:v>
      </x:c>
      <x:c r="J27" s="26" t="n">
        <x:f>IF(G27="Atende",2,IF(G27="Parcial",1.0,0))</x:f>
        <x:v>0</x:v>
      </x:c>
      <x:c r="K27" s="26" t="str"/>
      <x:c r="L27" s="57" t="str">
        <x:v>Possui canal próprio na Plataforma Fala.BR (CGU);</x:v>
      </x:c>
      <x:c r="M27" s="66" t="str">
        <x:v>Art. 7º, §2º, III.</x:v>
      </x:c>
      <x:c r="N27" s="26" t="n">
        <x:f>IF(K27="Atende",2,IF(K27="Parcial",1.0,0))</x:f>
        <x:v>0</x:v>
      </x:c>
      <x:c r="O27" s="26" t="str"/>
      <x:c r="P27" s="57" t="str">
        <x:v>Não</x:v>
      </x:c>
      <x:c r="Q27" s="66" t="str">
        <x:v>Art. 7º, §2º, IV.</x:v>
      </x:c>
      <x:c r="R27" s="26" t="n">
        <x:f>IF(O27="Atende",2,IF(O27="Parcial",1.0,0))</x:f>
        <x:v>0</x:v>
      </x:c>
      <x:c r="S27" s="26" t="str"/>
      <x:c r="T27" s="57" t="str">
        <x:v>Possui sala definida, mas com limitações relevantes (privacidade, acessibilidade, mobiliário)</x:v>
      </x:c>
      <x:c r="U27" s="66" t="str">
        <x:v>Art. 7º, §1º, I e II.</x:v>
      </x:c>
      <x:c r="V27" s="26" t="n">
        <x:f>IF(S27="Atende",3,IF(S27="Parcial",1.5,0))</x:f>
        <x:v>0</x:v>
      </x:c>
      <x:c r="W27" s="26" t="str"/>
      <x:c r="X27" s="57" t="str">
        <x:v>Demais cidadãos e usuários de serviços relacionados ao sistema penal;</x:v>
      </x:c>
      <x:c r="Y27" s="66" t="str">
        <x:v>Art. 4º, III; art. 10, I.</x:v>
      </x:c>
      <x:c r="Z27" s="26" t="n">
        <x:f>IF(W27="Atende",2,IF(W27="Parcial",1.0,0))</x:f>
        <x:v>0</x:v>
      </x:c>
      <x:c r="AA27" s="26" t="str"/>
      <x:c r="AB27" s="57" t="str">
        <x:v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x:v>
      </x:c>
      <x:c r="AC27" s="66" t="str">
        <x:v>Art. 4º, III; art. 10, I.</x:v>
      </x:c>
      <x:c r="AD27" s="26" t="n">
        <x:f>IF(AA27="Atende",2,IF(AA27="Parcial",1.0,0))</x:f>
        <x:v>0</x:v>
      </x:c>
      <x:c r="AE27" s="26" t="n">
        <x:f>SUM(F27,J27,N27,R27,V27,Z27,AD27)</x:f>
        <x:v>0</x:v>
      </x:c>
      <x:c r="AF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Não</x:v>
      </x:c>
      <x:c r="E28" s="66" t="str">
        <x:v>Art. 7º, §2º, I.</x:v>
      </x:c>
      <x:c r="F28" s="26" t="n">
        <x:f>IF(C28="Atende",2,IF(C28="Parcial",1.0,0))</x:f>
        <x:v>0</x:v>
      </x:c>
      <x:c r="G28" s="26" t="str"/>
      <x:c r="H28" s="57" t="str">
        <x:v>Não</x:v>
      </x:c>
      <x:c r="I28" s="66" t="str">
        <x:v>Art. 7º, §2º, II.</x:v>
      </x:c>
      <x:c r="J28" s="26" t="n">
        <x:f>IF(G28="Atende",2,IF(G28="Parcial",1.0,0))</x:f>
        <x:v>0</x:v>
      </x:c>
      <x:c r="K28" s="26" t="str"/>
      <x:c r="L28" s="57" t="str">
        <x:v>Utiliza apenas outro sistema eletrônico de ouvidoria (estadual ou próprio do órgão);</x:v>
      </x:c>
      <x:c r="M28" s="66" t="str">
        <x:v>Art. 7º, §2º, III.</x:v>
      </x:c>
      <x:c r="N28" s="26" t="n">
        <x:f>IF(K28="Atende",2,IF(K28="Parcial",1.0,0))</x:f>
        <x:v>0</x:v>
      </x:c>
      <x:c r="O28" s="26" t="str"/>
      <x:c r="P28" s="57" t="str">
        <x:v>Sim</x:v>
      </x:c>
      <x:c r="Q28" s="66" t="str">
        <x:v>Art. 7º, §2º, IV.</x:v>
      </x:c>
      <x:c r="R28" s="26" t="n">
        <x:f>IF(O28="Atende",2,IF(O28="Parcial",1.0,0))</x:f>
        <x:v>0</x:v>
      </x:c>
      <x:c r="S28" s="26" t="str"/>
      <x:c r="T28" s="57" t="str">
        <x:v>Possui instalação física própria, com privacidade, acessibilidade e condições adequadas de atendimento</x:v>
      </x:c>
      <x:c r="U28" s="66" t="str">
        <x:v>Art. 7º, §1º, I e II.</x:v>
      </x:c>
      <x:c r="V28" s="26" t="n">
        <x:f>IF(S28="Atende",3,IF(S28="Parcial",1.5,0))</x:f>
        <x:v>0</x:v>
      </x:c>
      <x:c r="W28" s="26" t="str"/>
      <x:c r="X28" s="57" t="str">
        <x:v>Demais cidadãos e usuários de serviços relacionados ao sistema penal;</x:v>
      </x:c>
      <x:c r="Y28" s="66" t="str">
        <x:v>Art. 4º, III; art. 10, I.</x:v>
      </x:c>
      <x:c r="Z28" s="26" t="n">
        <x:f>IF(W28="Atende",2,IF(W28="Parcial",1.0,0))</x:f>
        <x:v>0</x:v>
      </x:c>
      <x:c r="AA28" s="26" t="str"/>
      <x:c r="AB28" s="57" t="str">
        <x:v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x:v>
      </x:c>
      <x:c r="AC28" s="66" t="str">
        <x:v>Art. 4º, III; art. 10, I.</x:v>
      </x:c>
      <x:c r="AD28" s="26" t="n">
        <x:f>IF(AA28="Atende",2,IF(AA28="Parcial",1.0,0))</x:f>
        <x:v>0</x:v>
      </x:c>
      <x:c r="AE28" s="26" t="n">
        <x:f>SUM(F28,J28,N28,R28,V28,Z28,AD28)</x:f>
        <x:v>0</x:v>
      </x:c>
      <x:c r="AF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Sim</x:v>
      </x:c>
      <x:c r="E29" s="66" t="str">
        <x:v>Art. 7º, §2º, I.</x:v>
      </x:c>
      <x:c r="F29" s="26" t="n">
        <x:f>IF(C29="Atende",2,IF(C29="Parcial",1.0,0))</x:f>
        <x:v>0</x:v>
      </x:c>
      <x:c r="G29" s="26" t="str"/>
      <x:c r="H29" s="57" t="str">
        <x:v>Sim</x:v>
      </x:c>
      <x:c r="I29" s="66" t="str">
        <x:v>Art. 7º, §2º, II.</x:v>
      </x:c>
      <x:c r="J29" s="26" t="n">
        <x:f>IF(G29="Atende",2,IF(G29="Parcial",1.0,0))</x:f>
        <x:v>0</x:v>
      </x:c>
      <x:c r="K29" s="26" t="str"/>
      <x:c r="L29" s="57" t="str">
        <x:v>Possui canal próprio na Plataforma Fala.BR (CGU);</x:v>
      </x:c>
      <x:c r="M29" s="66" t="str">
        <x:v>Art. 7º, §2º, III.</x:v>
      </x:c>
      <x:c r="N29" s="26" t="n">
        <x:f>IF(K29="Atende",2,IF(K29="Parcial",1.0,0))</x:f>
        <x:v>0</x:v>
      </x:c>
      <x:c r="O29" s="26" t="str"/>
      <x:c r="P29" s="57" t="str">
        <x:v>Não</x:v>
      </x:c>
      <x:c r="Q29" s="66" t="str">
        <x:v>Art. 7º, §2º, IV.</x:v>
      </x:c>
      <x:c r="R29" s="26" t="n">
        <x:f>IF(O29="Atende",2,IF(O29="Parcial",1.0,0))</x:f>
        <x:v>0</x:v>
      </x:c>
      <x:c r="S29" s="26" t="str"/>
      <x:c r="T29" s="57" t="str">
        <x:v>Possui sala definida, mas com limitações relevantes (privacidade, acessibilidade, mobiliário)</x:v>
      </x:c>
      <x:c r="U29" s="66" t="str">
        <x:v>Art. 7º, §1º, I e II.</x:v>
      </x:c>
      <x:c r="V29" s="26" t="n">
        <x:f>IF(S29="Atende",3,IF(S29="Parcial",1.5,0))</x:f>
        <x:v>0</x:v>
      </x:c>
      <x:c r="W29" s="26" t="str"/>
      <x:c r="X29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29" s="66" t="str">
        <x:v>Art. 4º, III; art. 10, I.</x:v>
      </x:c>
      <x:c r="Z29" s="26" t="n">
        <x:f>IF(W29="Atende",2,IF(W29="Parcial",1.0,0))</x:f>
        <x:v>0</x:v>
      </x:c>
      <x:c r="AA29" s="26" t="str"/>
      <x:c r="AB29" s="57" t="str">
        <x:v>Pessoas privadas de liberdade: Recebe com alta frequência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raramente</x:v>
      </x:c>
      <x:c r="AC29" s="66" t="str">
        <x:v>Art. 4º, III; art. 10, I.</x:v>
      </x:c>
      <x:c r="AD29" s="26" t="n">
        <x:f>IF(AA29="Atende",2,IF(AA29="Parcial",1.0,0))</x:f>
        <x:v>0</x:v>
      </x:c>
      <x:c r="AE29" s="26" t="n">
        <x:f>SUM(F29,J29,N29,R29,V29,Z29,AD29)</x:f>
        <x:v>0</x:v>
      </x:c>
      <x:c r="AF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Sim</x:v>
      </x:c>
      <x:c r="E30" s="66" t="str">
        <x:v>Art. 7º, §2º, I.</x:v>
      </x:c>
      <x:c r="F30" s="26" t="n">
        <x:f>IF(C30="Atende",2,IF(C30="Parcial",1.0,0))</x:f>
        <x:v>0</x:v>
      </x:c>
      <x:c r="G30" s="26" t="str"/>
      <x:c r="H30" s="57" t="str">
        <x:v>Não</x:v>
      </x:c>
      <x:c r="I30" s="66" t="str">
        <x:v>Art. 7º, §2º, II.</x:v>
      </x:c>
      <x:c r="J30" s="26" t="n">
        <x:f>IF(G30="Atende",2,IF(G30="Parcial",1.0,0))</x:f>
        <x:v>0</x:v>
      </x:c>
      <x:c r="K30" s="26" t="str"/>
      <x:c r="L30" s="57" t="str">
        <x:v>Possui canal próprio na Plataforma Fala.BR (CGU);</x:v>
      </x:c>
      <x:c r="M30" s="66" t="str">
        <x:v>Art. 7º, §2º, III.</x:v>
      </x:c>
      <x:c r="N30" s="26" t="n">
        <x:f>IF(K30="Atende",2,IF(K30="Parcial",1.0,0))</x:f>
        <x:v>0</x:v>
      </x:c>
      <x:c r="O30" s="26" t="str"/>
      <x:c r="P30" s="57" t="str">
        <x:v>Sim</x:v>
      </x:c>
      <x:c r="Q30" s="66" t="str">
        <x:v>Art. 7º, §2º, IV.</x:v>
      </x:c>
      <x:c r="R30" s="26" t="n">
        <x:f>IF(O30="Atende",2,IF(O30="Parcial",1.0,0))</x:f>
        <x:v>0</x:v>
      </x:c>
      <x:c r="S30" s="26" t="str"/>
      <x:c r="T30" s="57" t="str">
        <x:v>Possui instalação física própria, com privacidade, acessibilidade e condições adequadas de atendimento</x:v>
      </x:c>
      <x:c r="U30" s="66" t="str">
        <x:v>Art. 7º, §1º, I e II.</x:v>
      </x:c>
      <x:c r="V30" s="26" t="n">
        <x:f>IF(S30="Atende",3,IF(S30="Parcial",1.5,0))</x:f>
        <x:v>0</x:v>
      </x:c>
      <x:c r="W30" s="26" t="str"/>
      <x:c r="X30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30" s="66" t="str">
        <x:v>Art. 4º, III; art. 10, I.</x:v>
      </x:c>
      <x:c r="Z30" s="26" t="n">
        <x:f>IF(W30="Atende",2,IF(W30="Parcial",1.0,0))</x:f>
        <x:v>0</x:v>
      </x:c>
      <x:c r="AA30" s="26" t="str"/>
      <x:c r="AB30" s="57" t="str">
        <x:v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x:v>
      </x:c>
      <x:c r="AC30" s="66" t="str">
        <x:v>Art. 4º, III; art. 10, I.</x:v>
      </x:c>
      <x:c r="AD30" s="26" t="n">
        <x:f>IF(AA30="Atende",2,IF(AA30="Parcial",1.0,0))</x:f>
        <x:v>0</x:v>
      </x:c>
      <x:c r="AE30" s="26" t="n">
        <x:f>SUM(F30,J30,N30,R30,V30,Z30,AD30)</x:f>
        <x:v>0</x:v>
      </x:c>
      <x:c r="AF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Sim</x:v>
      </x:c>
      <x:c r="E31" s="66" t="str">
        <x:v>Art. 7º, §2º, I.</x:v>
      </x:c>
      <x:c r="F31" s="26" t="n">
        <x:f>IF(C31="Atende",2,IF(C31="Parcial",1.0,0))</x:f>
        <x:v>0</x:v>
      </x:c>
      <x:c r="G31" s="26" t="str"/>
      <x:c r="H31" s="57" t="str">
        <x:v>Sim</x:v>
      </x:c>
      <x:c r="I31" s="66" t="str">
        <x:v>Art. 7º, §2º, II.</x:v>
      </x:c>
      <x:c r="J31" s="26" t="n">
        <x:f>IF(G31="Atende",2,IF(G31="Parcial",1.0,0))</x:f>
        <x:v>0</x:v>
      </x:c>
      <x:c r="K31" s="26" t="str"/>
      <x:c r="L31" s="57" t="str">
        <x:v>Utiliza apenas outro sistema eletrônico de ouvidoria (estadual ou próprio do órgão);</x:v>
      </x:c>
      <x:c r="M31" s="66" t="str">
        <x:v>Art. 7º, §2º, III.</x:v>
      </x:c>
      <x:c r="N31" s="26" t="n">
        <x:f>IF(K31="Atende",2,IF(K31="Parcial",1.0,0))</x:f>
        <x:v>0</x:v>
      </x:c>
      <x:c r="O31" s="26" t="str"/>
      <x:c r="P31" s="57" t="str">
        <x:v>Sim</x:v>
      </x:c>
      <x:c r="Q31" s="66" t="str">
        <x:v>Art. 7º, §2º, IV.</x:v>
      </x:c>
      <x:c r="R31" s="26" t="n">
        <x:f>IF(O31="Atende",2,IF(O31="Parcial",1.0,0))</x:f>
        <x:v>0</x:v>
      </x:c>
      <x:c r="S31" s="26" t="str"/>
      <x:c r="T31" s="57" t="str">
        <x:v>Possui sala definida, mas com limitações relevantes (privacidade, acessibilidade, mobiliário)</x:v>
      </x:c>
      <x:c r="U31" s="66" t="str">
        <x:v>Art. 7º, §1º, I e II.</x:v>
      </x:c>
      <x:c r="V31" s="26" t="n">
        <x:f>IF(S31="Atende",3,IF(S31="Parcial",1.5,0))</x:f>
        <x:v>0</x:v>
      </x:c>
      <x:c r="W31" s="26" t="str"/>
      <x:c r="X31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31" s="66" t="str">
        <x:v>Art. 4º, III; art. 10, I.</x:v>
      </x:c>
      <x:c r="Z31" s="26" t="n">
        <x:f>IF(W31="Atende",2,IF(W31="Parcial",1.0,0))</x:f>
        <x:v>0</x:v>
      </x:c>
      <x:c r="AA31" s="26" t="str"/>
      <x:c r="AB31" s="57" t="str">
        <x:v>Pessoas privadas de liberdade: Recebe raramente | Familiares / pessoas de referência de pessoas privadas de liberdade: Recebe raramente | Servidores(as) penais e demais trabalhadores(as) dos serviços penais: Recebe com alguma frequência | Outros cidadãos e usuários de serviços relacionados ao sistema penal: Recebe raramente</x:v>
      </x:c>
      <x:c r="AC31" s="66" t="str">
        <x:v>Art. 4º, III; art. 10, I.</x:v>
      </x:c>
      <x:c r="AD31" s="26" t="n">
        <x:f>IF(AA31="Atende",2,IF(AA31="Parcial",1.0,0))</x:f>
        <x:v>0</x:v>
      </x:c>
      <x:c r="AE31" s="26" t="n">
        <x:f>SUM(F31,J31,N31,R31,V31,Z31,AD31)</x:f>
        <x:v>0</x:v>
      </x:c>
      <x:c r="AF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Sim</x:v>
      </x:c>
      <x:c r="E32" s="66" t="str">
        <x:v>Art. 7º, §2º, I.</x:v>
      </x:c>
      <x:c r="F32" s="26" t="n">
        <x:f>IF(C32="Atende",2,IF(C32="Parcial",1.0,0))</x:f>
        <x:v>0</x:v>
      </x:c>
      <x:c r="G32" s="26" t="str"/>
      <x:c r="H32" s="57" t="str">
        <x:v>Sim</x:v>
      </x:c>
      <x:c r="I32" s="66" t="str">
        <x:v>Art. 7º, §2º, II.</x:v>
      </x:c>
      <x:c r="J32" s="26" t="n">
        <x:f>IF(G32="Atende",2,IF(G32="Parcial",1.0,0))</x:f>
        <x:v>0</x:v>
      </x:c>
      <x:c r="K32" s="26" t="str"/>
      <x:c r="L32" s="57" t="str">
        <x:v>Utiliza apenas outro sistema eletrônico de ouvidoria (estadual ou próprio do órgão);</x:v>
      </x:c>
      <x:c r="M32" s="66" t="str">
        <x:v>Art. 7º, §2º, III.</x:v>
      </x:c>
      <x:c r="N32" s="26" t="n">
        <x:f>IF(K32="Atende",2,IF(K32="Parcial",1.0,0))</x:f>
        <x:v>0</x:v>
      </x:c>
      <x:c r="O32" s="26" t="str"/>
      <x:c r="P32" s="57" t="str">
        <x:v>Sim</x:v>
      </x:c>
      <x:c r="Q32" s="66" t="str">
        <x:v>Art. 7º, §2º, IV.</x:v>
      </x:c>
      <x:c r="R32" s="26" t="n">
        <x:f>IF(O32="Atende",2,IF(O32="Parcial",1.0,0))</x:f>
        <x:v>0</x:v>
      </x:c>
      <x:c r="S32" s="26" t="str"/>
      <x:c r="T32" s="57" t="str">
        <x:v>Possui instalação física própria, com privacidade, acessibilidade e condições adequadas de atendimento</x:v>
      </x:c>
      <x:c r="U32" s="66" t="str">
        <x:v>Art. 7º, §1º, I e II.</x:v>
      </x:c>
      <x:c r="V32" s="26" t="n">
        <x:f>IF(S32="Atende",3,IF(S32="Parcial",1.5,0))</x:f>
        <x:v>0</x:v>
      </x:c>
      <x:c r="W32" s="26" t="str"/>
      <x:c r="X32" s="57" t="str">
        <x:v>Pessoas privadas de liberdade;Familiares / pessoas de referência de pessoas privadas de liberdade;Servidores(as) penais e demais trabalhadores(as) dos serviços penais;Demais cidadãos e usuários de serviços relacionados ao sistema penal;</x:v>
      </x:c>
      <x:c r="Y32" s="66" t="str">
        <x:v>Art. 4º, III; art. 10, I.</x:v>
      </x:c>
      <x:c r="Z32" s="26" t="n">
        <x:f>IF(W32="Atende",2,IF(W32="Parcial",1.0,0))</x:f>
        <x:v>0</x:v>
      </x:c>
      <x:c r="AA32" s="26" t="str"/>
      <x:c r="AB32" s="57" t="str">
        <x:v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x:v>
      </x:c>
      <x:c r="AC32" s="66" t="str">
        <x:v>Art. 4º, III; art. 10, I.</x:v>
      </x:c>
      <x:c r="AD32" s="26" t="n">
        <x:f>IF(AA32="Atende",2,IF(AA32="Parcial",1.0,0))</x:f>
        <x:v>0</x:v>
      </x:c>
      <x:c r="AE32" s="26" t="n">
        <x:f>SUM(F32,J32,N32,R32,V32,Z32,AD32)</x:f>
        <x:v>0</x:v>
      </x:c>
      <x:c r="AF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66" t="str">
        <x:v>Art. 7º, §2º, I.</x:v>
      </x:c>
      <x:c r="F33" s="26" t="n">
        <x:f>IF(C33="Atende",2,IF(C33="Parcial",1.0,0))</x:f>
        <x:v>0</x:v>
      </x:c>
      <x:c r="G33" s="26" t="str"/>
      <x:c r="H33" s="57" t="str">
        <x:v>Sem resposta no diagnóstico</x:v>
      </x:c>
      <x:c r="I33" s="66" t="str">
        <x:v>Art. 7º, §2º, II.</x:v>
      </x:c>
      <x:c r="J33" s="26" t="n">
        <x:f>IF(G33="Atende",2,IF(G33="Parcial",1.0,0))</x:f>
        <x:v>0</x:v>
      </x:c>
      <x:c r="K33" s="26" t="str"/>
      <x:c r="L33" s="57" t="str">
        <x:v>Sem resposta no diagnóstico</x:v>
      </x:c>
      <x:c r="M33" s="66" t="str">
        <x:v>Art. 7º, §2º, III.</x:v>
      </x:c>
      <x:c r="N33" s="26" t="n">
        <x:f>IF(K33="Atende",2,IF(K33="Parcial",1.0,0))</x:f>
        <x:v>0</x:v>
      </x:c>
      <x:c r="O33" s="26" t="str"/>
      <x:c r="P33" s="57" t="str">
        <x:v>Sem resposta no diagnóstico</x:v>
      </x:c>
      <x:c r="Q33" s="66" t="str">
        <x:v>Art. 7º, §2º, IV.</x:v>
      </x:c>
      <x:c r="R33" s="26" t="n">
        <x:f>IF(O33="Atende",2,IF(O33="Parcial",1.0,0))</x:f>
        <x:v>0</x:v>
      </x:c>
      <x:c r="S33" s="26" t="str"/>
      <x:c r="T33" s="57" t="str">
        <x:v>Sem resposta no diagnóstico</x:v>
      </x:c>
      <x:c r="U33" s="66" t="str">
        <x:v>Art. 7º, §1º, I e II.</x:v>
      </x:c>
      <x:c r="V33" s="26" t="n">
        <x:f>IF(S33="Atende",3,IF(S33="Parcial",1.5,0))</x:f>
        <x:v>0</x:v>
      </x:c>
      <x:c r="W33" s="26" t="str"/>
      <x:c r="X33" s="57" t="str">
        <x:v>Sem resposta no diagnóstico</x:v>
      </x:c>
      <x:c r="Y33" s="66" t="str">
        <x:v>Art. 4º, III; art. 10, I.</x:v>
      </x:c>
      <x:c r="Z33" s="26" t="n">
        <x:f>IF(W33="Atende",2,IF(W33="Parcial",1.0,0))</x:f>
        <x:v>0</x:v>
      </x:c>
      <x:c r="AA33" s="26" t="str"/>
      <x:c r="AB33" s="57" t="str">
        <x:v>Sem resposta no diagnóstico</x:v>
      </x:c>
      <x:c r="AC33" s="66" t="str">
        <x:v>Art. 4º, III; art. 10, I.</x:v>
      </x:c>
      <x:c r="AD33" s="26" t="n">
        <x:f>IF(AA33="Atende",2,IF(AA33="Parcial",1.0,0))</x:f>
        <x:v>0</x:v>
      </x:c>
      <x:c r="AE33" s="26" t="n">
        <x:f>SUM(F33,J33,N33,R33,V33,Z33,AD33)</x:f>
        <x:v>0</x:v>
      </x:c>
      <x:c r="AF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Não</x:v>
      </x:c>
      <x:c r="E34" s="66" t="str">
        <x:v>Art. 7º, §2º, I.</x:v>
      </x:c>
      <x:c r="F34" s="26" t="n">
        <x:f>IF(C34="Atende",2,IF(C34="Parcial",1.0,0))</x:f>
        <x:v>0</x:v>
      </x:c>
      <x:c r="G34" s="26" t="str"/>
      <x:c r="H34" s="57" t="str">
        <x:v>Não</x:v>
      </x:c>
      <x:c r="I34" s="66" t="str">
        <x:v>Art. 7º, §2º, II.</x:v>
      </x:c>
      <x:c r="J34" s="26" t="n">
        <x:f>IF(G34="Atende",2,IF(G34="Parcial",1.0,0))</x:f>
        <x:v>0</x:v>
      </x:c>
      <x:c r="K34" s="26" t="str"/>
      <x:c r="L34" s="57" t="str">
        <x:v>Não possui canal próprio na Fala.BR, mas utiliza o canal Fala.BR da Ouvidoria-Geral do Estado ou outra ouvidoria central;</x:v>
      </x:c>
      <x:c r="M34" s="66" t="str">
        <x:v>Art. 7º, §2º, III.</x:v>
      </x:c>
      <x:c r="N34" s="26" t="n">
        <x:f>IF(K34="Atende",2,IF(K34="Parcial",1.0,0))</x:f>
        <x:v>0</x:v>
      </x:c>
      <x:c r="O34" s="26" t="str"/>
      <x:c r="P34" s="57" t="str">
        <x:v>Não</x:v>
      </x:c>
      <x:c r="Q34" s="66" t="str">
        <x:v>Art. 7º, §2º, IV.</x:v>
      </x:c>
      <x:c r="R34" s="26" t="n">
        <x:f>IF(O34="Atende",2,IF(O34="Parcial",1.0,0))</x:f>
        <x:v>0</x:v>
      </x:c>
      <x:c r="S34" s="26" t="str"/>
      <x:c r="T34" s="57" t="str">
        <x:v>Possui sala definida, mas com limitações relevantes (privacidade, acessibilidade, mobiliário)</x:v>
      </x:c>
      <x:c r="U34" s="66" t="str">
        <x:v>Art. 7º, §1º, I e II.</x:v>
      </x:c>
      <x:c r="V34" s="26" t="n">
        <x:f>IF(S34="Atende",3,IF(S34="Parcial",1.5,0))</x:f>
        <x:v>0</x:v>
      </x:c>
      <x:c r="W34" s="26" t="str"/>
      <x:c r="X34" s="57" t="str">
        <x:v>Não existe normativa;</x:v>
      </x:c>
      <x:c r="Y34" s="66" t="str">
        <x:v>Art. 4º, III; art. 10, I.</x:v>
      </x:c>
      <x:c r="Z34" s="26" t="n">
        <x:f>IF(W34="Atende",2,IF(W34="Parcial",1.0,0))</x:f>
        <x:v>0</x:v>
      </x:c>
      <x:c r="AA34" s="26" t="str"/>
      <x:c r="AB34" s="57" t="str">
        <x:v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x:v>
      </x:c>
      <x:c r="AC34" s="66" t="str">
        <x:v>Art. 4º, III; art. 10, I.</x:v>
      </x:c>
      <x:c r="AD34" s="26" t="n">
        <x:f>IF(AA34="Atende",2,IF(AA34="Parcial",1.0,0))</x:f>
        <x:v>0</x:v>
      </x:c>
      <x:c r="AE34" s="26" t="n">
        <x:f>SUM(F34,J34,N34,R34,V34,Z34,AD34)</x:f>
        <x:v>0</x:v>
      </x:c>
      <x:c r="AF34" s="26" t="str">
        <x:v>Doc. SEI 37070578</x:v>
      </x:c>
    </x:row>
  </x:sheetData>
  <x:mergeCells>
    <x:mergeCell ref="A1:AF1"/>
    <x:mergeCell ref="A2:AF2"/>
    <x:mergeCell ref="A4:B4"/>
    <x:mergeCell ref="C4:R4"/>
    <x:mergeCell ref="S4:V4"/>
    <x:mergeCell ref="W4:AD4"/>
    <x:mergeCell ref="AE4:AF4"/>
    <x:mergeCell ref="A6:B6"/>
  </x:mergeCells>
  <x:conditionalFormatting sqref="C7:C34">
    <x:cfRule type="expression" dxfId="27" priority="1">
      <x:formula>C7="Atende"</x:formula>
    </x:cfRule>
    <x:cfRule type="expression" dxfId="28" priority="2">
      <x:formula>C7="Parcial"</x:formula>
    </x:cfRule>
    <x:cfRule type="expression" dxfId="29" priority="3">
      <x:formula>OR(C7="Não atende",C7="Sem evidência")</x:formula>
    </x:cfRule>
  </x:conditionalFormatting>
  <x:conditionalFormatting sqref="G7:G34">
    <x:cfRule type="expression" dxfId="30" priority="4">
      <x:formula>G7="Atende"</x:formula>
    </x:cfRule>
    <x:cfRule type="expression" dxfId="31" priority="5">
      <x:formula>G7="Parcial"</x:formula>
    </x:cfRule>
    <x:cfRule type="expression" dxfId="32" priority="6">
      <x:formula>OR(G7="Não atende",G7="Sem evidência")</x:formula>
    </x:cfRule>
  </x:conditionalFormatting>
  <x:conditionalFormatting sqref="K7:K34">
    <x:cfRule type="expression" dxfId="33" priority="7">
      <x:formula>K7="Atende"</x:formula>
    </x:cfRule>
    <x:cfRule type="expression" dxfId="34" priority="8">
      <x:formula>K7="Parcial"</x:formula>
    </x:cfRule>
    <x:cfRule type="expression" dxfId="35" priority="9">
      <x:formula>OR(K7="Não atende",K7="Sem evidência")</x:formula>
    </x:cfRule>
  </x:conditionalFormatting>
  <x:conditionalFormatting sqref="O7:O34">
    <x:cfRule type="expression" dxfId="36" priority="10">
      <x:formula>O7="Atende"</x:formula>
    </x:cfRule>
    <x:cfRule type="expression" dxfId="37" priority="11">
      <x:formula>O7="Parcial"</x:formula>
    </x:cfRule>
    <x:cfRule type="expression" dxfId="38" priority="12">
      <x:formula>OR(O7="Não atende",O7="Sem evidência")</x:formula>
    </x:cfRule>
  </x:conditionalFormatting>
  <x:conditionalFormatting sqref="S7:S34">
    <x:cfRule type="expression" dxfId="39" priority="13">
      <x:formula>S7="Atende"</x:formula>
    </x:cfRule>
    <x:cfRule type="expression" dxfId="40" priority="14">
      <x:formula>S7="Parcial"</x:formula>
    </x:cfRule>
    <x:cfRule type="expression" dxfId="41" priority="15">
      <x:formula>OR(S7="Não atende",S7="Sem evidência")</x:formula>
    </x:cfRule>
  </x:conditionalFormatting>
  <x:conditionalFormatting sqref="W7:W34">
    <x:cfRule type="expression" dxfId="42" priority="16">
      <x:formula>W7="Atende"</x:formula>
    </x:cfRule>
    <x:cfRule type="expression" dxfId="43" priority="17">
      <x:formula>W7="Parcial"</x:formula>
    </x:cfRule>
    <x:cfRule type="expression" dxfId="44" priority="18">
      <x:formula>OR(W7="Não atende",W7="Sem evidência")</x:formula>
    </x:cfRule>
  </x:conditionalFormatting>
  <x:conditionalFormatting sqref="AA7:AA34">
    <x:cfRule type="expression" dxfId="45" priority="19">
      <x:formula>AA7="Atende"</x:formula>
    </x:cfRule>
    <x:cfRule type="expression" dxfId="46" priority="20">
      <x:formula>AA7="Parcial"</x:formula>
    </x:cfRule>
    <x:cfRule type="expression" dxfId="47" priority="21">
      <x:formula>OR(AA7="Não atende",AA7="Sem evidência")</x:formula>
    </x:cfRule>
  </x:conditionalFormatting>
  <x:dataValidations count="7">
    <x:dataValidation type="list" sqref="C7:C34">
      <x:formula1>"Atende,Parcial,Não atende,Sem evidência"</x:formula1>
    </x:dataValidation>
    <x:dataValidation type="list" sqref="G7:G34">
      <x:formula1>"Atende,Parcial,Não atende,Sem evidência"</x:formula1>
    </x:dataValidation>
    <x:dataValidation type="list" sqref="K7:K34">
      <x:formula1>"Atende,Parcial,Não atende,Sem evidência"</x:formula1>
    </x:dataValidation>
    <x:dataValidation type="list" sqref="O7:O34">
      <x:formula1>"Atende,Parcial,Não atende,Sem evidência"</x:formula1>
    </x:dataValidation>
    <x:dataValidation type="list" sqref="S7:S34">
      <x:formula1>"Atende,Parcial,Não atende,Sem evidência"</x:formula1>
    </x:dataValidation>
    <x:dataValidation type="list" sqref="W7:W34">
      <x:formula1>"Atende,Parcial,Não atende,Sem evidência"</x:formula1>
    </x:dataValidation>
    <x:dataValidation type="list" sqref="AA7:AA34">
      <x:formula1>"Atende,Parcial,Não atende,Sem evidência"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30" hidden="0" customWidth="1"/>
    <x:col min="4" max="4" width="40" hidden="0" customWidth="1"/>
    <x:col min="5" max="5" width="25" hidden="0" customWidth="1"/>
    <x:col min="6" max="6" width="8" hidden="0" customWidth="1"/>
    <x:col min="7" max="7" width="30" hidden="0" customWidth="1"/>
    <x:col min="8" max="8" width="40" hidden="0" customWidth="1"/>
    <x:col min="9" max="9" width="25" hidden="0" customWidth="1"/>
    <x:col min="10" max="10" width="8" hidden="0" customWidth="1"/>
    <x:col min="11" max="11" width="30" hidden="0" customWidth="1"/>
    <x:col min="12" max="12" width="40" hidden="0" customWidth="1"/>
    <x:col min="13" max="13" width="25" hidden="0" customWidth="1"/>
    <x:col min="14" max="14" width="8" hidden="0" customWidth="1"/>
    <x:col min="15" max="15" width="14" hidden="0" customWidth="1"/>
    <x:col min="16" max="16" width="38" hidden="0" customWidth="1"/>
  </x:cols>
  <x:sheetData>
    <x:row r="1" ht="28" customHeight="1">
      <x:c r="A1" s="4" t="str">
        <x:v>05 — Transparência e publicidade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46" customHeight="1">
      <x:c r="A2" s="11" t="str">
        <x:v>Peso da dimensão: 15 pontos. A coluna verde reproduz a resposta dada no Diagnóstico das Ouvidorias Estaduais de Serviços Penais.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</x:row>
    <x:row r="4">
      <x:c r="A4" s="31" t="str">
        <x:v>Identificação</x:v>
      </x:c>
      <x:c r="B4" s="31"/>
      <x:c r="C4" s="31" t="str">
        <x:v>Item 1 — Visibilidade institucional e divulgação dos canais e atribuições</x:v>
      </x:c>
      <x:c r="D4" s="31"/>
      <x:c r="E4" s="31"/>
      <x:c r="F4" s="31"/>
      <x:c r="G4" s="31"/>
      <x:c r="H4" s="31"/>
      <x:c r="I4" s="31"/>
      <x:c r="J4" s="31"/>
      <x:c r="K4" s="31" t="str">
        <x:v>Item 2 — Publicidade das ações e atividades</x:v>
      </x:c>
      <x:c r="L4" s="31"/>
      <x:c r="M4" s="31"/>
      <x:c r="N4" s="31"/>
      <x:c r="O4" s="31" t="str">
        <x:v>Resultado da dimensão</x:v>
      </x:c>
      <x:c r="P4" s="31"/>
    </x:row>
    <x:row r="5" ht="58" customHeight="1">
      <x:c r="A5" s="20" t="str">
        <x:v>UF</x:v>
      </x:c>
      <x:c r="B5" s="20" t="str">
        <x:v>Unidade Federativa</x:v>
      </x:c>
      <x:c r="C5" s="20" t="str">
        <x:v>M2-35 — Placas e cartazes da Ouvidoria</x:v>
      </x:c>
      <x:c r="D5" s="20" t="str">
        <x:v>Resposta do diagnóstico</x:v>
      </x:c>
      <x:c r="E5" s="20" t="str">
        <x:v>Fundamentação na IN nº 75/2026</x:v>
      </x:c>
      <x:c r="F5" s="20" t="str">
        <x:v>5 pts</x:v>
      </x:c>
      <x:c r="G5" s="20" t="str">
        <x:v>M1-12 — Conteúdo do ato de criação da Ouvidoria de Serviços Penais</x:v>
      </x:c>
      <x:c r="H5" s="20" t="str">
        <x:v>Resposta do diagnóstico</x:v>
      </x:c>
      <x:c r="I5" s="20" t="str">
        <x:v>Fundamentação na IN nº 75/2026</x:v>
      </x:c>
      <x:c r="J5" s="20" t="str">
        <x:v>5 pts</x:v>
      </x:c>
      <x:c r="K5" s="20" t="str">
        <x:v>M4-71 — Monitoramento, relatórios e recomendações</x:v>
      </x:c>
      <x:c r="L5" s="20" t="str">
        <x:v>Resposta do diagnóstico</x:v>
      </x:c>
      <x:c r="M5" s="20" t="str">
        <x:v>Fundamentação na IN nº 75/2026</x:v>
      </x:c>
      <x:c r="N5" s="20" t="str">
        <x:v>5 pts</x:v>
      </x:c>
      <x:c r="O5" s="20" t="str">
        <x:v>Pontuação /15</x:v>
      </x:c>
      <x:c r="P5" s="20" t="str">
        <x:v>Evidências / observações</x:v>
      </x:c>
    </x:row>
    <x:row r="6" ht="132" customHeight="1">
      <x:c r="A6" s="40" t="str">
        <x:v>Como aplicar / resposta / fundamento →</x:v>
      </x:c>
      <x:c r="B6" s="40"/>
      <x:c r="C6" s="49" t="str">
        <x:v>5 pts: existem placas/cartazes institucionais que dão visibilidade à Ouvidoria e a seus canais. 2,5 pt: divulgação física limitada ou parcial. 0 pt: inexistente ou sem evidência.</x:v>
      </x:c>
      <x:c r="D6" s="57" t="str">
        <x:v>Resposta original da UF no diagnóstico enviado.</x:v>
      </x:c>
      <x:c r="E6" s="66" t="str">
        <x:v>Art. 4º, IV; art. 7º, §6º, III.</x:v>
      </x:c>
      <x:c r="F6" s="11" t="str">
        <x:v>5 = atende
2.5 = parcial
0 = não atende / sem evidência</x:v>
      </x:c>
      <x:c r="G6" s="49" t="str">
        <x:v>5 pts: o ato define claramente as competências/atribuições da Ouvidoria. 2,5 pt: definição parcial ou genérica. 0 pt: ausência ou sem evidência.</x:v>
      </x:c>
      <x:c r="H6" s="57" t="str">
        <x:v>Resposta original da UF no diagnóstico enviado.</x:v>
      </x:c>
      <x:c r="I6" s="66" t="str">
        <x:v>Art. 6º, §1º, II; art. 7º, §3º, II.</x:v>
      </x:c>
      <x:c r="J6" s="11" t="str">
        <x:v>5 = atende
2.5 = parcial
0 = não atende / sem evidência</x:v>
      </x:c>
      <x:c r="K6" s="49" t="str">
        <x:v>5 pts: há produção/divulgação periódica de relatórios, monitoramento ou recomendações. 2,5 pt: prática parcial ou esporádica. 0 pt: inexistente ou sem evidência.</x:v>
      </x:c>
      <x:c r="L6" s="57" t="str">
        <x:v>Resposta original da UF no diagnóstico enviado.</x:v>
      </x:c>
      <x:c r="M6" s="66" t="str">
        <x:v>Art. 4º, IV; art. 10, VI; art. 12, §3º.</x:v>
      </x:c>
      <x:c r="N6" s="11" t="str">
        <x:v>5 = atende
2.5 = parcial
0 = não atende / sem evidência</x:v>
      </x:c>
      <x:c r="O6" s="11" t="str">
        <x:v>Soma automática das perguntas desta dimensão.</x:v>
      </x:c>
      <x:c r="P6" s="11" t="str">
        <x:v>Registre observações adicionais, se necessário.</x:v>
      </x:c>
    </x:row>
    <x:row r="7">
      <x:c r="A7" s="26" t="str">
        <x:v>AC</x:v>
      </x:c>
      <x:c r="B7" s="26" t="str">
        <x:v>Acre</x:v>
      </x:c>
      <x:c r="C7" s="26" t="str"/>
      <x:c r="D7" s="57" t="str">
        <x:v>A Ouvidoria não dispõe de placas/cartazes próprios fixados nas unidades prisionais nem em locais de atendimento ao público, familiares e servidores(as)</x:v>
      </x:c>
      <x:c r="E7" s="66" t="str">
        <x:v>Art. 4º, IV; art. 7º, §6º, III.</x:v>
      </x:c>
      <x:c r="F7" s="26" t="n">
        <x:f>IF(C7="Atende",5,IF(C7="Parcial",2.5,0))</x:f>
        <x:v>0</x:v>
      </x:c>
      <x:c r="G7" s="26" t="str"/>
      <x:c r="H7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familiares;Garante a proteção da identidade do(a) manifestante e a confidencialidade das informações;Enuncia a finalidade da Ouvidoria de Serviços Penais como instância permanente de interlocução entre cidadãos, pessoas privadas de liberdade, familiares e servidores(as) penais e a administração penitenciária;</x:v>
      </x:c>
      <x:c r="I7" s="66" t="str">
        <x:v>Art. 6º, §1º, II; art. 7º, §3º, II.</x:v>
      </x:c>
      <x:c r="J7" s="26" t="n">
        <x:f>IF(G7="Atende",5,IF(G7="Parcial",2.5,0))</x:f>
        <x:v>0</x:v>
      </x:c>
      <x:c r="K7" s="26" t="str"/>
      <x:c r="L7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7" s="66" t="str">
        <x:v>Art. 4º, IV; art. 10, VI; art. 12, §3º.</x:v>
      </x:c>
      <x:c r="N7" s="26" t="n">
        <x:f>IF(K7="Atende",5,IF(K7="Parcial",2.5,0))</x:f>
        <x:v>0</x:v>
      </x:c>
      <x:c r="O7" s="26" t="n">
        <x:f>SUM(F7,J7,N7)</x:f>
        <x:v>0</x:v>
      </x:c>
      <x:c r="P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A Ouvidoria dispõe de placas/cartazes em algumas unidades ou pontos de atendimento, de forma pontual e sem padronização</x:v>
      </x:c>
      <x:c r="E8" s="66" t="str">
        <x:v>Art. 4º, IV; art. 7º, §6º, III.</x:v>
      </x:c>
      <x:c r="F8" s="26" t="n">
        <x:f>IF(C8="Atende",5,IF(C8="Parcial",2.5,0))</x:f>
        <x:v>0</x:v>
      </x:c>
      <x:c r="G8" s="26" t="str"/>
      <x:c r="H8" s="57" t="str">
        <x:v>Não há normativa;</x:v>
      </x:c>
      <x:c r="I8" s="66" t="str">
        <x:v>Art. 6º, §1º, II; art. 7º, §3º, II.</x:v>
      </x:c>
      <x:c r="J8" s="26" t="n">
        <x:f>IF(G8="Atende",5,IF(G8="Parcial",2.5,0))</x:f>
        <x:v>0</x:v>
      </x:c>
      <x:c r="K8" s="26" t="str"/>
      <x:c r="L8" s="57" t="str">
        <x:v>Há relatórios periódicos, mas com pouco uso gerencial e sem indicadores estruturados</x:v>
      </x:c>
      <x:c r="M8" s="66" t="str">
        <x:v>Art. 4º, IV; art. 10, VI; art. 12, §3º.</x:v>
      </x:c>
      <x:c r="N8" s="26" t="n">
        <x:f>IF(K8="Atende",5,IF(K8="Parcial",2.5,0))</x:f>
        <x:v>0</x:v>
      </x:c>
      <x:c r="O8" s="26" t="n">
        <x:f>SUM(F8,J8,N8)</x:f>
        <x:v>0</x:v>
      </x:c>
      <x:c r="P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A Ouvidoria não dispõe de placas/cartazes próprios fixados nas unidades prisionais nem em locais de atendimento ao público, familiares e servidores(as)</x:v>
      </x:c>
      <x:c r="E9" s="66" t="str">
        <x:v>Art. 4º, IV; art. 7º, §6º, III.</x:v>
      </x:c>
      <x:c r="F9" s="26" t="n">
        <x:f>IF(C9="Atende",5,IF(C9="Parcial",2.5,0))</x:f>
        <x:v>0</x:v>
      </x:c>
      <x:c r="G9" s="26" t="str"/>
      <x:c r="H9" s="57" t="str">
        <x:v>Indica a denominação da Ouvidoria de Serviços Penais e sua vinculação na estrutura organizacional do órgão;Estabelece prazos para resposta das áreas competentes e para devolutiva ao(à) manifestante;Define as competências básicas, compreendendo o recebimento, a análise, o encaminhamento e a resposta às manifestações;Garante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contínuas;Enuncia a finalidade da Ouvidoria de Serviços Penais como instância permanente de interlocução entre cidadãos, pessoas privadas de liberdade, familiares e servidores(as) penais e a administração penitenciária;Prevê que a Ouvidoria pode solicitar informações e documentos e requisitar apuração às áreas competentes, com prazos definidos;</x:v>
      </x:c>
      <x:c r="I9" s="66" t="str">
        <x:v>Art. 6º, §1º, II; art. 7º, §3º, II.</x:v>
      </x:c>
      <x:c r="J9" s="26" t="n">
        <x:f>IF(G9="Atende",5,IF(G9="Parcial",2.5,0))</x:f>
        <x:v>0</x:v>
      </x:c>
      <x:c r="K9" s="26" t="str"/>
      <x:c r="L9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9" s="66" t="str">
        <x:v>Art. 4º, IV; art. 10, VI; art. 12, §3º.</x:v>
      </x:c>
      <x:c r="N9" s="26" t="n">
        <x:f>IF(K9="Atende",5,IF(K9="Parcial",2.5,0))</x:f>
        <x:v>0</x:v>
      </x:c>
      <x:c r="O9" s="26" t="n">
        <x:f>SUM(F9,J9,N9)</x:f>
        <x:v>0</x:v>
      </x:c>
      <x:c r="P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10" s="66" t="str">
        <x:v>Art. 4º, IV; art. 7º, §6º, III.</x:v>
      </x:c>
      <x:c r="F10" s="26" t="n">
        <x:f>IF(C10="Atende",5,IF(C10="Parcial",2.5,0))</x:f>
        <x:v>0</x:v>
      </x:c>
      <x:c r="G10" s="26" t="str"/>
      <x:c r="H10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I10" s="66" t="str">
        <x:v>Art. 6º, §1º, II; art. 7º, §3º, II.</x:v>
      </x:c>
      <x:c r="J10" s="26" t="n">
        <x:f>IF(G10="Atende",5,IF(G10="Parcial",2.5,0))</x:f>
        <x:v>0</x:v>
      </x:c>
      <x:c r="K10" s="26" t="str"/>
      <x:c r="L10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0" s="66" t="str">
        <x:v>Art. 4º, IV; art. 10, VI; art. 12, §3º.</x:v>
      </x:c>
      <x:c r="N10" s="26" t="n">
        <x:f>IF(K10="Atende",5,IF(K10="Parcial",2.5,0))</x:f>
        <x:v>0</x:v>
      </x:c>
      <x:c r="O10" s="26" t="n">
        <x:f>SUM(F10,J10,N10)</x:f>
        <x:v>0</x:v>
      </x:c>
      <x:c r="P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A Ouvidoria dispõe de placas/cartazes em algumas unidades ou pontos de atendimento, de forma pontual e sem padronização</x:v>
      </x:c>
      <x:c r="E11" s="66" t="str">
        <x:v>Art. 4º, IV; art. 7º, §6º, III.</x:v>
      </x:c>
      <x:c r="F11" s="26" t="n">
        <x:f>IF(C11="Atende",5,IF(C11="Parcial",2.5,0))</x:f>
        <x:v>0</x:v>
      </x:c>
      <x:c r="G11" s="26" t="str"/>
      <x:c r="H11" s="57" t="str">
        <x:v>Indica a denominação da Ouvidoria de Serviços Penais e sua vinculação na estrutura organizacional do órgão;Define as competências básicas, compreendendo o recebimento, a análise, o encaminhamento e a resposta às manifestações;</x:v>
      </x:c>
      <x:c r="I11" s="66" t="str">
        <x:v>Art. 6º, §1º, II; art. 7º, §3º, II.</x:v>
      </x:c>
      <x:c r="J11" s="26" t="n">
        <x:f>IF(G11="Atende",5,IF(G11="Parcial",2.5,0))</x:f>
        <x:v>0</x:v>
      </x:c>
      <x:c r="K11" s="26" t="str"/>
      <x:c r="L11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1" s="66" t="str">
        <x:v>Art. 4º, IV; art. 10, VI; art. 12, §3º.</x:v>
      </x:c>
      <x:c r="N11" s="26" t="n">
        <x:f>IF(K11="Atende",5,IF(K11="Parcial",2.5,0))</x:f>
        <x:v>0</x:v>
      </x:c>
      <x:c r="O11" s="26" t="n">
        <x:f>SUM(F11,J11,N11)</x:f>
        <x:v>0</x:v>
      </x:c>
      <x:c r="P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12" s="66" t="str">
        <x:v>Art. 4º, IV; art. 7º, §6º, III.</x:v>
      </x:c>
      <x:c r="F12" s="26" t="n">
        <x:f>IF(C12="Atende",5,IF(C12="Parcial",2.5,0))</x:f>
        <x:v>0</x:v>
      </x:c>
      <x:c r="G12" s="26" t="str"/>
      <x:c r="H12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I12" s="66" t="str">
        <x:v>Art. 6º, §1º, II; art. 7º, §3º, II.</x:v>
      </x:c>
      <x:c r="J12" s="26" t="n">
        <x:f>IF(G12="Atende",5,IF(G12="Parcial",2.5,0))</x:f>
        <x:v>0</x:v>
      </x:c>
      <x:c r="K12" s="26" t="str"/>
      <x:c r="L12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2" s="66" t="str">
        <x:v>Art. 4º, IV; art. 10, VI; art. 12, §3º.</x:v>
      </x:c>
      <x:c r="N12" s="26" t="n">
        <x:f>IF(K12="Atende",5,IF(K12="Parcial",2.5,0))</x:f>
        <x:v>0</x:v>
      </x:c>
      <x:c r="O12" s="26" t="n">
        <x:f>SUM(F12,J12,N12)</x:f>
        <x:v>0</x:v>
      </x:c>
      <x:c r="P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A Ouvidoria dispõe de placas/cartazes em algumas unidades ou pontos de atendimento, de forma pontual e sem padronização</x:v>
      </x:c>
      <x:c r="E13" s="66" t="str">
        <x:v>Art. 4º, IV; art. 7º, §6º, III.</x:v>
      </x:c>
      <x:c r="F13" s="26" t="n">
        <x:f>IF(C13="Atende",5,IF(C13="Parcial",2.5,0))</x:f>
        <x:v>0</x:v>
      </x:c>
      <x:c r="G13" s="26" t="str"/>
      <x:c r="H13" s="57" t="str">
        <x:v>Indica a denominação da Ouvidoria de Serviços Penais e sua vinculação na estrutura organizacional do órgão;</x:v>
      </x:c>
      <x:c r="I13" s="66" t="str">
        <x:v>Art. 6º, §1º, II; art. 7º, §3º, II.</x:v>
      </x:c>
      <x:c r="J13" s="26" t="n">
        <x:f>IF(G13="Atende",5,IF(G13="Parcial",2.5,0))</x:f>
        <x:v>0</x:v>
      </x:c>
      <x:c r="K13" s="26" t="str"/>
      <x:c r="L13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3" s="66" t="str">
        <x:v>Art. 4º, IV; art. 10, VI; art. 12, §3º.</x:v>
      </x:c>
      <x:c r="N13" s="26" t="n">
        <x:f>IF(K13="Atende",5,IF(K13="Parcial",2.5,0))</x:f>
        <x:v>0</x:v>
      </x:c>
      <x:c r="O13" s="26" t="n">
        <x:f>SUM(F13,J13,N13)</x:f>
        <x:v>0</x:v>
      </x:c>
      <x:c r="P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14" s="66" t="str">
        <x:v>Art. 4º, IV; art. 7º, §6º, III.</x:v>
      </x:c>
      <x:c r="F14" s="26" t="n">
        <x:f>IF(C14="Atende",5,IF(C14="Parcial",2.5,0))</x:f>
        <x:v>0</x:v>
      </x:c>
      <x:c r="G14" s="26" t="str"/>
      <x:c r="H14" s="57" t="str">
        <x:v>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Ouvidoria;Define as competências básicas, compreendendo o recebimento, a análise, o encaminhamento e a resposta às manifestações;Garante a proteção da identidade do(a) manifestante e a confidencialidade das informações;Define mandato, regras de substituição e regras de confidencialidade aplicáveis ao(à) Ouvidor(a) e à equipe;Prevê que a resposta ao(à) manifestante deve ser prestada em linguagem clara, acessível e respeitosa;Indica a denominação da Ouvidoria de Serviços Penais e sua vinculação na estrutura organizacional do órgão;</x:v>
      </x:c>
      <x:c r="I14" s="66" t="str">
        <x:v>Art. 6º, §1º, II; art. 7º, §3º, II.</x:v>
      </x:c>
      <x:c r="J14" s="26" t="n">
        <x:f>IF(G14="Atende",5,IF(G14="Parcial",2.5,0))</x:f>
        <x:v>0</x:v>
      </x:c>
      <x:c r="K14" s="26" t="str"/>
      <x:c r="L14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4" s="66" t="str">
        <x:v>Art. 4º, IV; art. 10, VI; art. 12, §3º.</x:v>
      </x:c>
      <x:c r="N14" s="26" t="n">
        <x:f>IF(K14="Atende",5,IF(K14="Parcial",2.5,0))</x:f>
        <x:v>0</x:v>
      </x:c>
      <x:c r="O14" s="26" t="n">
        <x:f>SUM(F14,J14,N14)</x:f>
        <x:v>0</x:v>
      </x:c>
      <x:c r="P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A Ouvidoria não dispõe de placas/cartazes próprios fixados nas unidades prisionais nem em locais de atendimento ao público, familiares e servidores(as)</x:v>
      </x:c>
      <x:c r="E15" s="66" t="str">
        <x:v>Art. 4º, IV; art. 7º, §6º, III.</x:v>
      </x:c>
      <x:c r="F15" s="26" t="n">
        <x:f>IF(C15="Atende",5,IF(C15="Parcial",2.5,0))</x:f>
        <x:v>0</x:v>
      </x:c>
      <x:c r="G15" s="26" t="str"/>
      <x:c r="H15" s="57" t="str">
        <x:v>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respeitosa;Define as competências básicas, compreendendo o recebimento, a análise, o encaminhamento e a resposta às manifestações;Estabelece o dever de colaboração das áreas técnicas e administrativas do órgão com as demandas encaminhadas pela Ouvidoria;</x:v>
      </x:c>
      <x:c r="I15" s="66" t="str">
        <x:v>Art. 6º, §1º, II; art. 7º, §3º, II.</x:v>
      </x:c>
      <x:c r="J15" s="26" t="n">
        <x:f>IF(G15="Atende",5,IF(G15="Parcial",2.5,0))</x:f>
        <x:v>0</x:v>
      </x:c>
      <x:c r="K15" s="26" t="str"/>
      <x:c r="L15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5" s="66" t="str">
        <x:v>Art. 4º, IV; art. 10, VI; art. 12, §3º.</x:v>
      </x:c>
      <x:c r="N15" s="26" t="n">
        <x:f>IF(K15="Atende",5,IF(K15="Parcial",2.5,0))</x:f>
        <x:v>0</x:v>
      </x:c>
      <x:c r="O15" s="26" t="n">
        <x:f>SUM(F15,J15,N15)</x:f>
        <x:v>0</x:v>
      </x:c>
      <x:c r="P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A Ouvidoria dispõe de placas/cartazes em algumas unidades ou pontos de atendimento, de forma pontual e sem padronização</x:v>
      </x:c>
      <x:c r="E16" s="66" t="str">
        <x:v>Art. 4º, IV; art. 7º, §6º, III.</x:v>
      </x:c>
      <x:c r="F16" s="26" t="n">
        <x:f>IF(C16="Atende",5,IF(C16="Parcial",2.5,0))</x:f>
        <x:v>0</x:v>
      </x:c>
      <x:c r="G16" s="26" t="str"/>
      <x:c r="H16" s="57" t="str">
        <x:v>Define mandato, regras de substituição e regras de confidencialidade aplicáveis ao(à) Ouvidor(a) e à equipe;Enuncia a finalidade da Ouvidoria de Serviços Penais como instância permanente de interlocução entre cidadãos, pessoas privadas de liberdade, familiares e servidores(as) penais e a administração penitenciária;Prevê a elaboração e publicação de relatórios periódicos de atividades, com dados estatísticos e indicadores de desempenho;Determina que a Ouvidoria deve identificar padrões e tendências nas manifestações para elaborar diagnósticos e propor melhorias contínuas;Prevê que a resposta ao(à) manifestante deve ser prestada em linguagem clara, acessível e respeitosa;Garante a proteção da identidade do(a) manifestante e a confidencialidade das informações;Estabelece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</x:v>
      </x:c>
      <x:c r="I16" s="66" t="str">
        <x:v>Art. 6º, §1º, II; art. 7º, §3º, II.</x:v>
      </x:c>
      <x:c r="J16" s="26" t="n">
        <x:f>IF(G16="Atende",5,IF(G16="Parcial",2.5,0))</x:f>
        <x:v>0</x:v>
      </x:c>
      <x:c r="K16" s="26" t="str"/>
      <x:c r="L16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6" s="66" t="str">
        <x:v>Art. 4º, IV; art. 10, VI; art. 12, §3º.</x:v>
      </x:c>
      <x:c r="N16" s="26" t="n">
        <x:f>IF(K16="Atende",5,IF(K16="Parcial",2.5,0))</x:f>
        <x:v>0</x:v>
      </x:c>
      <x:c r="O16" s="26" t="n">
        <x:f>SUM(F16,J16,N16)</x:f>
        <x:v>0</x:v>
      </x:c>
      <x:c r="P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A Ouvidoria não dispõe de placas/cartazes próprios fixados nas unidades prisionais nem em locais de atendimento ao público, familiares e servidores(as)</x:v>
      </x:c>
      <x:c r="E17" s="66" t="str">
        <x:v>Art. 4º, IV; art. 7º, §6º, III.</x:v>
      </x:c>
      <x:c r="F17" s="26" t="n">
        <x:f>IF(C17="Atende",5,IF(C17="Parcial",2.5,0))</x:f>
        <x:v>0</x:v>
      </x:c>
      <x:c r="G17" s="26" t="str"/>
      <x:c r="H17" s="57" t="str">
        <x:v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Ouvidoria;Enuncia a finalidade da Ouvidoria de Serviços Penais como instância permanente de interlocução entre cidadãos, pessoas privadas de liberdade, familiares e servidores(as) penais e a administração penitenciária;Determina que a Ouvidoria deve identificar padrões e tendências nas manifestações para elaborar diagnósticos e propor melhorias contínuas;Prevê que a Ouvidoria pode solicitar informações e documentos e requisitar apuração às áreas competentes, com prazos definidos;Especifica, entre o público atendido, cidadãos, servidores(as), pessoas privadas de liberdade e seus familiares;</x:v>
      </x:c>
      <x:c r="I17" s="66" t="str">
        <x:v>Art. 6º, §1º, II; art. 7º, §3º, II.</x:v>
      </x:c>
      <x:c r="J17" s="26" t="n">
        <x:f>IF(G17="Atende",5,IF(G17="Parcial",2.5,0))</x:f>
        <x:v>0</x:v>
      </x:c>
      <x:c r="K17" s="26" t="str"/>
      <x:c r="L17" s="57" t="str">
        <x:v>Há relatórios periódicos, mas com pouco uso gerencial e sem indicadores estruturados</x:v>
      </x:c>
      <x:c r="M17" s="66" t="str">
        <x:v>Art. 4º, IV; art. 10, VI; art. 12, §3º.</x:v>
      </x:c>
      <x:c r="N17" s="26" t="n">
        <x:f>IF(K17="Atende",5,IF(K17="Parcial",2.5,0))</x:f>
        <x:v>0</x:v>
      </x:c>
      <x:c r="O17" s="26" t="n">
        <x:f>SUM(F17,J17,N17)</x:f>
        <x:v>0</x:v>
      </x:c>
      <x:c r="P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A Ouvidoria não dispõe de placas/cartazes próprios fixados nas unidades prisionais nem em locais de atendimento ao público, familiares e servidores(as)</x:v>
      </x:c>
      <x:c r="E18" s="66" t="str">
        <x:v>Art. 4º, IV; art. 7º, §6º, III.</x:v>
      </x:c>
      <x:c r="F18" s="26" t="n">
        <x:f>IF(C18="Atende",5,IF(C18="Parcial",2.5,0))</x:f>
        <x:v>0</x:v>
      </x:c>
      <x:c r="G18" s="26" t="str"/>
      <x:c r="H18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equipe;Prevê que a Ouvidoria pode solicitar informações e documentos e requisitar apuração às áreas competentes, com prazos definidos;</x:v>
      </x:c>
      <x:c r="I18" s="66" t="str">
        <x:v>Art. 6º, §1º, II; art. 7º, §3º, II.</x:v>
      </x:c>
      <x:c r="J18" s="26" t="n">
        <x:f>IF(G18="Atende",5,IF(G18="Parcial",2.5,0))</x:f>
        <x:v>0</x:v>
      </x:c>
      <x:c r="K18" s="26" t="str"/>
      <x:c r="L18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18" s="66" t="str">
        <x:v>Art. 4º, IV; art. 10, VI; art. 12, §3º.</x:v>
      </x:c>
      <x:c r="N18" s="26" t="n">
        <x:f>IF(K18="Atende",5,IF(K18="Parcial",2.5,0))</x:f>
        <x:v>0</x:v>
      </x:c>
      <x:c r="O18" s="26" t="n">
        <x:f>SUM(F18,J18,N18)</x:f>
        <x:v>0</x:v>
      </x:c>
      <x:c r="P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19" s="66" t="str">
        <x:v>Art. 4º, IV; art. 7º, §6º, III.</x:v>
      </x:c>
      <x:c r="F19" s="26" t="n">
        <x:f>IF(C19="Atende",5,IF(C19="Parcial",2.5,0))</x:f>
        <x:v>0</x:v>
      </x:c>
      <x:c r="G19" s="26" t="str"/>
      <x:c r="H19" s="57" t="str">
        <x:v>Não há normativa;</x:v>
      </x:c>
      <x:c r="I19" s="66" t="str">
        <x:v>Art. 6º, §1º, II; art. 7º, §3º, II.</x:v>
      </x:c>
      <x:c r="J19" s="26" t="n">
        <x:f>IF(G19="Atende",5,IF(G19="Parcial",2.5,0))</x:f>
        <x:v>0</x:v>
      </x:c>
      <x:c r="K19" s="26" t="str"/>
      <x:c r="L19" s="57" t="str">
        <x:v>Há relatórios periódicos, mas com pouco uso gerencial e sem indicadores estruturados</x:v>
      </x:c>
      <x:c r="M19" s="66" t="str">
        <x:v>Art. 4º, IV; art. 10, VI; art. 12, §3º.</x:v>
      </x:c>
      <x:c r="N19" s="26" t="n">
        <x:f>IF(K19="Atende",5,IF(K19="Parcial",2.5,0))</x:f>
        <x:v>0</x:v>
      </x:c>
      <x:c r="O19" s="26" t="n">
        <x:f>SUM(F19,J19,N19)</x:f>
        <x:v>0</x:v>
      </x:c>
      <x:c r="P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A Ouvidoria dispõe de placas/cartazes em algumas unidades ou pontos de atendimento, de forma pontual e sem padronização</x:v>
      </x:c>
      <x:c r="E20" s="66" t="str">
        <x:v>Art. 4º, IV; art. 7º, §6º, III.</x:v>
      </x:c>
      <x:c r="F20" s="26" t="n">
        <x:f>IF(C20="Atende",5,IF(C20="Parcial",2.5,0))</x:f>
        <x:v>0</x:v>
      </x:c>
      <x:c r="G20" s="26" t="str"/>
      <x:c r="H20" s="57" t="str">
        <x:v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I20" s="66" t="str">
        <x:v>Art. 6º, §1º, II; art. 7º, §3º, II.</x:v>
      </x:c>
      <x:c r="J20" s="26" t="n">
        <x:f>IF(G20="Atende",5,IF(G20="Parcial",2.5,0))</x:f>
        <x:v>0</x:v>
      </x:c>
      <x:c r="K20" s="26" t="str"/>
      <x:c r="L20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20" s="66" t="str">
        <x:v>Art. 4º, IV; art. 10, VI; art. 12, §3º.</x:v>
      </x:c>
      <x:c r="N20" s="26" t="n">
        <x:f>IF(K20="Atende",5,IF(K20="Parcial",2.5,0))</x:f>
        <x:v>0</x:v>
      </x:c>
      <x:c r="O20" s="26" t="n">
        <x:f>SUM(F20,J20,N20)</x:f>
        <x:v>0</x:v>
      </x:c>
      <x:c r="P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A Ouvidoria não dispõe de placas/cartazes próprios fixados nas unidades prisionais nem em locais de atendimento ao público, familiares e servidores(as)</x:v>
      </x:c>
      <x:c r="E21" s="66" t="str">
        <x:v>Art. 4º, IV; art. 7º, §6º, III.</x:v>
      </x:c>
      <x:c r="F21" s="26" t="n">
        <x:f>IF(C21="Atende",5,IF(C21="Parcial",2.5,0))</x:f>
        <x:v>0</x:v>
      </x:c>
      <x:c r="G21" s="26" t="str"/>
      <x:c r="H21" s="57" t="str">
        <x:v>Não há Ouvidoria constituída na Secretaria;</x:v>
      </x:c>
      <x:c r="I21" s="66" t="str">
        <x:v>Art. 6º, §1º, II; art. 7º, §3º, II.</x:v>
      </x:c>
      <x:c r="J21" s="26" t="n">
        <x:f>IF(G21="Atende",5,IF(G21="Parcial",2.5,0))</x:f>
        <x:v>0</x:v>
      </x:c>
      <x:c r="K21" s="26" t="str"/>
      <x:c r="L21" s="57" t="str">
        <x:v>Não há Ouvidoria consituída</x:v>
      </x:c>
      <x:c r="M21" s="66" t="str">
        <x:v>Art. 4º, IV; art. 10, VI; art. 12, §3º.</x:v>
      </x:c>
      <x:c r="N21" s="26" t="n">
        <x:f>IF(K21="Atende",5,IF(K21="Parcial",2.5,0))</x:f>
        <x:v>0</x:v>
      </x:c>
      <x:c r="O21" s="26" t="n">
        <x:f>SUM(F21,J21,N21)</x:f>
        <x:v>0</x:v>
      </x:c>
      <x:c r="P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A Ouvidoria não dispõe de placas/cartazes próprios fixados nas unidades prisionais nem em locais de atendimento ao público, familiares e servidores(as)</x:v>
      </x:c>
      <x:c r="E22" s="66" t="str">
        <x:v>Art. 4º, IV; art. 7º, §6º, III.</x:v>
      </x:c>
      <x:c r="F22" s="26" t="n">
        <x:f>IF(C22="Atende",5,IF(C22="Parcial",2.5,0))</x:f>
        <x:v>0</x:v>
      </x:c>
      <x:c r="G22" s="26" t="str"/>
      <x:c r="H22" s="57" t="str">
        <x:v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Ouvidoria;Define mandato, regras de substituição e regras de confidencialidade aplicáveis ao(à) Ouvidor(a) e à equipe;</x:v>
      </x:c>
      <x:c r="I22" s="66" t="str">
        <x:v>Art. 6º, §1º, II; art. 7º, §3º, II.</x:v>
      </x:c>
      <x:c r="J22" s="26" t="n">
        <x:f>IF(G22="Atende",5,IF(G22="Parcial",2.5,0))</x:f>
        <x:v>0</x:v>
      </x:c>
      <x:c r="K22" s="26" t="str"/>
      <x:c r="L22" s="57" t="str">
        <x:v>Há relatórios periódicos, mas com pouco uso gerencial e sem indicadores estruturados</x:v>
      </x:c>
      <x:c r="M22" s="66" t="str">
        <x:v>Art. 4º, IV; art. 10, VI; art. 12, §3º.</x:v>
      </x:c>
      <x:c r="N22" s="26" t="n">
        <x:f>IF(K22="Atende",5,IF(K22="Parcial",2.5,0))</x:f>
        <x:v>0</x:v>
      </x:c>
      <x:c r="O22" s="26" t="n">
        <x:f>SUM(F22,J22,N22)</x:f>
        <x:v>0</x:v>
      </x:c>
      <x:c r="P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23" s="66" t="str">
        <x:v>Art. 4º, IV; art. 7º, §6º, III.</x:v>
      </x:c>
      <x:c r="F23" s="26" t="n">
        <x:f>IF(C23="Atende",5,IF(C23="Parcial",2.5,0))</x:f>
        <x:v>0</x:v>
      </x:c>
      <x:c r="G23" s="26" t="str"/>
      <x:c r="H23" s="57" t="str">
        <x:v>Não há normativa;</x:v>
      </x:c>
      <x:c r="I23" s="66" t="str">
        <x:v>Art. 6º, §1º, II; art. 7º, §3º, II.</x:v>
      </x:c>
      <x:c r="J23" s="26" t="n">
        <x:f>IF(G23="Atende",5,IF(G23="Parcial",2.5,0))</x:f>
        <x:v>0</x:v>
      </x:c>
      <x:c r="K23" s="26" t="str"/>
      <x:c r="L23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23" s="66" t="str">
        <x:v>Art. 4º, IV; art. 10, VI; art. 12, §3º.</x:v>
      </x:c>
      <x:c r="N23" s="26" t="n">
        <x:f>IF(K23="Atende",5,IF(K23="Parcial",2.5,0))</x:f>
        <x:v>0</x:v>
      </x:c>
      <x:c r="O23" s="26" t="n">
        <x:f>SUM(F23,J23,N23)</x:f>
        <x:v>0</x:v>
      </x:c>
      <x:c r="P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A Ouvidoria não dispõe de placas/cartazes próprios fixados nas unidades prisionais nem em locais de atendimento ao público, familiares e servidores(as)</x:v>
      </x:c>
      <x:c r="E24" s="66" t="str">
        <x:v>Art. 4º, IV; art. 7º, §6º, III.</x:v>
      </x:c>
      <x:c r="F24" s="26" t="n">
        <x:f>IF(C24="Atende",5,IF(C24="Parcial",2.5,0))</x:f>
        <x:v>0</x:v>
      </x:c>
      <x:c r="G24" s="26" t="str"/>
      <x:c r="H24" s="57" t="str">
        <x:v>Não há normativa;</x:v>
      </x:c>
      <x:c r="I24" s="66" t="str">
        <x:v>Art. 6º, §1º, II; art. 7º, §3º, II.</x:v>
      </x:c>
      <x:c r="J24" s="26" t="n">
        <x:f>IF(G24="Atende",5,IF(G24="Parcial",2.5,0))</x:f>
        <x:v>0</x:v>
      </x:c>
      <x:c r="K24" s="26" t="str"/>
      <x:c r="L24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24" s="66" t="str">
        <x:v>Art. 4º, IV; art. 10, VI; art. 12, §3º.</x:v>
      </x:c>
      <x:c r="N24" s="26" t="n">
        <x:f>IF(K24="Atende",5,IF(K24="Parcial",2.5,0))</x:f>
        <x:v>0</x:v>
      </x:c>
      <x:c r="O24" s="26" t="n">
        <x:f>SUM(F24,J24,N24)</x:f>
        <x:v>0</x:v>
      </x:c>
      <x:c r="P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A Ouvidoria não dispõe de placas/cartazes próprios fixados nas unidades prisionais nem em locais de atendimento ao público, familiares e servidores(as)</x:v>
      </x:c>
      <x:c r="E25" s="66" t="str">
        <x:v>Art. 4º, IV; art. 7º, §6º, III.</x:v>
      </x:c>
      <x:c r="F25" s="26" t="n">
        <x:f>IF(C25="Atende",5,IF(C25="Parcial",2.5,0))</x:f>
        <x:v>0</x:v>
      </x:c>
      <x:c r="G25" s="26" t="str"/>
      <x:c r="H25" s="57" t="str">
        <x:v>Especifica, entre o público atendido, cidadãos, servidores(as), pessoas privadas de liberdade e seus familiares;Indica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definidos;Prevê a elaboração e publicação de relatórios periódicos de atividades, com dados estatísticos e indicadores de desempenho;Garante a proteção da identidade do(a) manifestante e a confidencialidade das informações;</x:v>
      </x:c>
      <x:c r="I25" s="66" t="str">
        <x:v>Art. 6º, §1º, II; art. 7º, §3º, II.</x:v>
      </x:c>
      <x:c r="J25" s="26" t="n">
        <x:f>IF(G25="Atende",5,IF(G25="Parcial",2.5,0))</x:f>
        <x:v>0</x:v>
      </x:c>
      <x:c r="K25" s="26" t="str"/>
      <x:c r="L25" s="57" t="str">
        <x:v>Há relatórios pontuais, sem periodicidade definida</x:v>
      </x:c>
      <x:c r="M25" s="66" t="str">
        <x:v>Art. 4º, IV; art. 10, VI; art. 12, §3º.</x:v>
      </x:c>
      <x:c r="N25" s="26" t="n">
        <x:f>IF(K25="Atende",5,IF(K25="Parcial",2.5,0))</x:f>
        <x:v>0</x:v>
      </x:c>
      <x:c r="O25" s="26" t="n">
        <x:f>SUM(F25,J25,N25)</x:f>
        <x:v>0</x:v>
      </x:c>
      <x:c r="P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26" s="66" t="str">
        <x:v>Art. 4º, IV; art. 7º, §6º, III.</x:v>
      </x:c>
      <x:c r="F26" s="26" t="n">
        <x:f>IF(C26="Atende",5,IF(C26="Parcial",2.5,0))</x:f>
        <x:v>0</x:v>
      </x:c>
      <x:c r="G26" s="26" t="str"/>
      <x:c r="H26" s="57" t="str">
        <x:v>Indica a denominação da Ouvidoria de Serviços Penais e sua vinculação na estrutura organizacional do órgão;Define as competências básicas, compreendendo o recebimento, a análise, o encaminhamento e a resposta às manifestações;Prevê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I26" s="66" t="str">
        <x:v>Art. 6º, §1º, II; art. 7º, §3º, II.</x:v>
      </x:c>
      <x:c r="J26" s="26" t="n">
        <x:f>IF(G26="Atende",5,IF(G26="Parcial",2.5,0))</x:f>
        <x:v>0</x:v>
      </x:c>
      <x:c r="K26" s="26" t="str"/>
      <x:c r="L26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26" s="66" t="str">
        <x:v>Art. 4º, IV; art. 10, VI; art. 12, §3º.</x:v>
      </x:c>
      <x:c r="N26" s="26" t="n">
        <x:f>IF(K26="Atende",5,IF(K26="Parcial",2.5,0))</x:f>
        <x:v>0</x:v>
      </x:c>
      <x:c r="O26" s="26" t="n">
        <x:f>SUM(F26,J26,N26)</x:f>
        <x:v>0</x:v>
      </x:c>
      <x:c r="P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27" s="66" t="str">
        <x:v>Art. 4º, IV; art. 7º, §6º, III.</x:v>
      </x:c>
      <x:c r="F27" s="26" t="n">
        <x:f>IF(C27="Atende",5,IF(C27="Parcial",2.5,0))</x:f>
        <x:v>0</x:v>
      </x:c>
      <x:c r="G27" s="26" t="str"/>
      <x:c r="H27" s="57" t="str">
        <x:v>Indica a denominação da Ouvidoria de Serviços Penais e sua vinculação na estrutura organizacional do órgão;Define as competências básicas, compreendendo o recebimento, a análise, o encaminhamento e a resposta às manifestações;</x:v>
      </x:c>
      <x:c r="I27" s="66" t="str">
        <x:v>Art. 6º, §1º, II; art. 7º, §3º, II.</x:v>
      </x:c>
      <x:c r="J27" s="26" t="n">
        <x:f>IF(G27="Atende",5,IF(G27="Parcial",2.5,0))</x:f>
        <x:v>0</x:v>
      </x:c>
      <x:c r="K27" s="26" t="str"/>
      <x:c r="L27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27" s="66" t="str">
        <x:v>Art. 4º, IV; art. 10, VI; art. 12, §3º.</x:v>
      </x:c>
      <x:c r="N27" s="26" t="n">
        <x:f>IF(K27="Atende",5,IF(K27="Parcial",2.5,0))</x:f>
        <x:v>0</x:v>
      </x:c>
      <x:c r="O27" s="26" t="n">
        <x:f>SUM(F27,J27,N27)</x:f>
        <x:v>0</x:v>
      </x:c>
      <x:c r="P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A Ouvidoria dispõe de placas/cartazes em algumas unidades ou pontos de atendimento, de forma pontual e sem padronização</x:v>
      </x:c>
      <x:c r="E28" s="66" t="str">
        <x:v>Art. 4º, IV; art. 7º, §6º, III.</x:v>
      </x:c>
      <x:c r="F28" s="26" t="n">
        <x:f>IF(C28="Atende",5,IF(C28="Parcial",2.5,0))</x:f>
        <x:v>0</x:v>
      </x:c>
      <x:c r="G28" s="26" t="str"/>
      <x:c r="H28" s="57" t="str">
        <x:v>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</x:v>
      </x:c>
      <x:c r="I28" s="66" t="str">
        <x:v>Art. 6º, §1º, II; art. 7º, §3º, II.</x:v>
      </x:c>
      <x:c r="J28" s="26" t="n">
        <x:f>IF(G28="Atende",5,IF(G28="Parcial",2.5,0))</x:f>
        <x:v>0</x:v>
      </x:c>
      <x:c r="K28" s="26" t="str"/>
      <x:c r="L28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28" s="66" t="str">
        <x:v>Art. 4º, IV; art. 10, VI; art. 12, §3º.</x:v>
      </x:c>
      <x:c r="N28" s="26" t="n">
        <x:f>IF(K28="Atende",5,IF(K28="Parcial",2.5,0))</x:f>
        <x:v>0</x:v>
      </x:c>
      <x:c r="O28" s="26" t="n">
        <x:f>SUM(F28,J28,N28)</x:f>
        <x:v>0</x:v>
      </x:c>
      <x:c r="P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29" s="66" t="str">
        <x:v>Art. 4º, IV; art. 7º, §6º, III.</x:v>
      </x:c>
      <x:c r="F29" s="26" t="n">
        <x:f>IF(C29="Atende",5,IF(C29="Parcial",2.5,0))</x:f>
        <x:v>0</x:v>
      </x:c>
      <x:c r="G29" s="26" t="str"/>
      <x:c r="H29" s="57" t="str">
        <x:v>Não há normativa;</x:v>
      </x:c>
      <x:c r="I29" s="66" t="str">
        <x:v>Art. 6º, §1º, II; art. 7º, §3º, II.</x:v>
      </x:c>
      <x:c r="J29" s="26" t="n">
        <x:f>IF(G29="Atende",5,IF(G29="Parcial",2.5,0))</x:f>
        <x:v>0</x:v>
      </x:c>
      <x:c r="K29" s="26" t="str"/>
      <x:c r="L29" s="57" t="str">
        <x:v>Há relatórios periódicos, mas com pouco uso gerencial e sem indicadores estruturados</x:v>
      </x:c>
      <x:c r="M29" s="66" t="str">
        <x:v>Art. 4º, IV; art. 10, VI; art. 12, §3º.</x:v>
      </x:c>
      <x:c r="N29" s="26" t="n">
        <x:f>IF(K29="Atende",5,IF(K29="Parcial",2.5,0))</x:f>
        <x:v>0</x:v>
      </x:c>
      <x:c r="O29" s="26" t="n">
        <x:f>SUM(F29,J29,N29)</x:f>
        <x:v>0</x:v>
      </x:c>
      <x:c r="P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30" s="66" t="str">
        <x:v>Art. 4º, IV; art. 7º, §6º, III.</x:v>
      </x:c>
      <x:c r="F30" s="26" t="n">
        <x:f>IF(C30="Atende",5,IF(C30="Parcial",2.5,0))</x:f>
        <x:v>0</x:v>
      </x:c>
      <x:c r="G30" s="26" t="str"/>
      <x:c r="H30" s="57" t="str">
        <x:v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x:v>
      </x:c>
      <x:c r="I30" s="66" t="str">
        <x:v>Art. 6º, §1º, II; art. 7º, §3º, II.</x:v>
      </x:c>
      <x:c r="J30" s="26" t="n">
        <x:f>IF(G30="Atende",5,IF(G30="Parcial",2.5,0))</x:f>
        <x:v>0</x:v>
      </x:c>
      <x:c r="K30" s="26" t="str"/>
      <x:c r="L30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30" s="66" t="str">
        <x:v>Art. 4º, IV; art. 10, VI; art. 12, §3º.</x:v>
      </x:c>
      <x:c r="N30" s="26" t="n">
        <x:f>IF(K30="Atende",5,IF(K30="Parcial",2.5,0))</x:f>
        <x:v>0</x:v>
      </x:c>
      <x:c r="O30" s="26" t="n">
        <x:f>SUM(F30,J30,N30)</x:f>
        <x:v>0</x:v>
      </x:c>
      <x:c r="P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A Ouvidoria dispõe de placas/cartazes em algumas unidades ou pontos de atendimento, de forma pontual e sem padronização</x:v>
      </x:c>
      <x:c r="E31" s="66" t="str">
        <x:v>Art. 4º, IV; art. 7º, §6º, III.</x:v>
      </x:c>
      <x:c r="F31" s="26" t="n">
        <x:f>IF(C31="Atende",5,IF(C31="Parcial",2.5,0))</x:f>
        <x:v>0</x:v>
      </x:c>
      <x:c r="G31" s="26" t="str"/>
      <x:c r="H31" s="57" t="str">
        <x:v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respeitosa;Enuncia a finalidade da Ouvidoria de Serviços Penais como instância permanente de interlocução entre cidadãos, pessoas privadas de liberdade, familiares e servidores(as) penais e a administração penitenciária;</x:v>
      </x:c>
      <x:c r="I31" s="66" t="str">
        <x:v>Art. 6º, §1º, II; art. 7º, §3º, II.</x:v>
      </x:c>
      <x:c r="J31" s="26" t="n">
        <x:f>IF(G31="Atende",5,IF(G31="Parcial",2.5,0))</x:f>
        <x:v>0</x:v>
      </x:c>
      <x:c r="K31" s="26" t="str"/>
      <x:c r="L31" s="57" t="str">
        <x:v>Há relatórios periódicos com dados estatísticos e análise de manifestações.</x:v>
      </x:c>
      <x:c r="M31" s="66" t="str">
        <x:v>Art. 4º, IV; art. 10, VI; art. 12, §3º.</x:v>
      </x:c>
      <x:c r="N31" s="26" t="n">
        <x:f>IF(K31="Atende",5,IF(K31="Parcial",2.5,0))</x:f>
        <x:v>0</x:v>
      </x:c>
      <x:c r="O31" s="26" t="n">
        <x:f>SUM(F31,J31,N31)</x:f>
        <x:v>0</x:v>
      </x:c>
      <x:c r="P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A Ouvidoria dispõe de placas/cartazes padronizados em todas ou na maior parte das unidades prisionais e dos locais de atendimento ao público, familiares e servidores(as), com indicação clara dos canais de contato</x:v>
      </x:c>
      <x:c r="E32" s="66" t="str">
        <x:v>Art. 4º, IV; art. 7º, §6º, III.</x:v>
      </x:c>
      <x:c r="F32" s="26" t="n">
        <x:f>IF(C32="Atende",5,IF(C32="Parcial",2.5,0))</x:f>
        <x:v>0</x:v>
      </x:c>
      <x:c r="G32" s="26" t="str"/>
      <x:c r="H32" s="57" t="str">
        <x:v>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manifestante;Prevê que a resposta ao(à) manifestante deve ser prestada em linguagem clara, acessível e respeitosa;Garante a proteção da identidade do(a) manifestante e a confidencialidade das informações;Determina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</x:v>
      </x:c>
      <x:c r="I32" s="66" t="str">
        <x:v>Art. 6º, §1º, II; art. 7º, §3º, II.</x:v>
      </x:c>
      <x:c r="J32" s="26" t="n">
        <x:f>IF(G32="Atende",5,IF(G32="Parcial",2.5,0))</x:f>
        <x:v>0</x:v>
      </x:c>
      <x:c r="K32" s="26" t="str"/>
      <x:c r="L32" s="57" t="str">
        <x:v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x:v>
      </x:c>
      <x:c r="M32" s="66" t="str">
        <x:v>Art. 4º, IV; art. 10, VI; art. 12, §3º.</x:v>
      </x:c>
      <x:c r="N32" s="26" t="n">
        <x:f>IF(K32="Atende",5,IF(K32="Parcial",2.5,0))</x:f>
        <x:v>0</x:v>
      </x:c>
      <x:c r="O32" s="26" t="n">
        <x:f>SUM(F32,J32,N32)</x:f>
        <x:v>0</x:v>
      </x:c>
      <x:c r="P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66" t="str">
        <x:v>Art. 4º, IV; art. 7º, §6º, III.</x:v>
      </x:c>
      <x:c r="F33" s="26" t="n">
        <x:f>IF(C33="Atende",5,IF(C33="Parcial",2.5,0))</x:f>
        <x:v>0</x:v>
      </x:c>
      <x:c r="G33" s="26" t="str"/>
      <x:c r="H33" s="57" t="str">
        <x:v>Sem resposta no diagnóstico</x:v>
      </x:c>
      <x:c r="I33" s="66" t="str">
        <x:v>Art. 6º, §1º, II; art. 7º, §3º, II.</x:v>
      </x:c>
      <x:c r="J33" s="26" t="n">
        <x:f>IF(G33="Atende",5,IF(G33="Parcial",2.5,0))</x:f>
        <x:v>0</x:v>
      </x:c>
      <x:c r="K33" s="26" t="str"/>
      <x:c r="L33" s="57" t="str">
        <x:v>Sem resposta no diagnóstico</x:v>
      </x:c>
      <x:c r="M33" s="66" t="str">
        <x:v>Art. 4º, IV; art. 10, VI; art. 12, §3º.</x:v>
      </x:c>
      <x:c r="N33" s="26" t="n">
        <x:f>IF(K33="Atende",5,IF(K33="Parcial",2.5,0))</x:f>
        <x:v>0</x:v>
      </x:c>
      <x:c r="O33" s="26" t="n">
        <x:f>SUM(F33,J33,N33)</x:f>
        <x:v>0</x:v>
      </x:c>
      <x:c r="P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A Ouvidoria não dispõe de placas/cartazes próprios fixados nas unidades prisionais nem em locais de atendimento ao público, familiares e servidores(as)</x:v>
      </x:c>
      <x:c r="E34" s="66" t="str">
        <x:v>Art. 4º, IV; art. 7º, §6º, III.</x:v>
      </x:c>
      <x:c r="F34" s="26" t="n">
        <x:f>IF(C34="Atende",5,IF(C34="Parcial",2.5,0))</x:f>
        <x:v>0</x:v>
      </x:c>
      <x:c r="G34" s="26" t="str"/>
      <x:c r="H34" s="57" t="str">
        <x:v>Não há normativa;</x:v>
      </x:c>
      <x:c r="I34" s="66" t="str">
        <x:v>Art. 6º, §1º, II; art. 7º, §3º, II.</x:v>
      </x:c>
      <x:c r="J34" s="26" t="n">
        <x:f>IF(G34="Atende",5,IF(G34="Parcial",2.5,0))</x:f>
        <x:v>0</x:v>
      </x:c>
      <x:c r="K34" s="26" t="str"/>
      <x:c r="L34" s="57" t="str">
        <x:v>Há relatórios periódicos, mas com pouco uso gerencial e sem indicadores estruturados</x:v>
      </x:c>
      <x:c r="M34" s="66" t="str">
        <x:v>Art. 4º, IV; art. 10, VI; art. 12, §3º.</x:v>
      </x:c>
      <x:c r="N34" s="26" t="n">
        <x:f>IF(K34="Atende",5,IF(K34="Parcial",2.5,0))</x:f>
        <x:v>0</x:v>
      </x:c>
      <x:c r="O34" s="26" t="n">
        <x:f>SUM(F34,J34,N34)</x:f>
        <x:v>0</x:v>
      </x:c>
      <x:c r="P34" s="26" t="str">
        <x:v>Doc. SEI 37070578</x:v>
      </x:c>
    </x:row>
  </x:sheetData>
  <x:mergeCells>
    <x:mergeCell ref="A1:P1"/>
    <x:mergeCell ref="A2:P2"/>
    <x:mergeCell ref="A4:B4"/>
    <x:mergeCell ref="C4:J4"/>
    <x:mergeCell ref="K4:N4"/>
    <x:mergeCell ref="O4:P4"/>
    <x:mergeCell ref="A6:B6"/>
  </x:mergeCells>
  <x:conditionalFormatting sqref="C7:C34">
    <x:cfRule type="expression" dxfId="48" priority="1">
      <x:formula>C7="Atende"</x:formula>
    </x:cfRule>
    <x:cfRule type="expression" dxfId="49" priority="2">
      <x:formula>C7="Parcial"</x:formula>
    </x:cfRule>
    <x:cfRule type="expression" dxfId="50" priority="3">
      <x:formula>OR(C7="Não atende",C7="Sem evidência")</x:formula>
    </x:cfRule>
  </x:conditionalFormatting>
  <x:conditionalFormatting sqref="G7:G34">
    <x:cfRule type="expression" dxfId="51" priority="4">
      <x:formula>G7="Atende"</x:formula>
    </x:cfRule>
    <x:cfRule type="expression" dxfId="52" priority="5">
      <x:formula>G7="Parcial"</x:formula>
    </x:cfRule>
    <x:cfRule type="expression" dxfId="53" priority="6">
      <x:formula>OR(G7="Não atende",G7="Sem evidência")</x:formula>
    </x:cfRule>
  </x:conditionalFormatting>
  <x:conditionalFormatting sqref="K7:K34">
    <x:cfRule type="expression" dxfId="54" priority="7">
      <x:formula>K7="Atende"</x:formula>
    </x:cfRule>
    <x:cfRule type="expression" dxfId="55" priority="8">
      <x:formula>K7="Parcial"</x:formula>
    </x:cfRule>
    <x:cfRule type="expression" dxfId="56" priority="9">
      <x:formula>OR(K7="Não atende",K7="Sem evidência")</x:formula>
    </x:cfRule>
  </x:conditionalFormatting>
  <x:dataValidations count="3">
    <x:dataValidation type="list" sqref="C7:C34">
      <x:formula1>"Atende,Parcial,Não atende,Sem evidência"</x:formula1>
    </x:dataValidation>
    <x:dataValidation type="list" sqref="G7:G34">
      <x:formula1>"Atende,Parcial,Não atende,Sem evidência"</x:formula1>
    </x:dataValidation>
    <x:dataValidation type="list" sqref="K7:K34">
      <x:formula1>"Atende,Parcial,Não atende,Sem evidência"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30" hidden="0" customWidth="1"/>
    <x:col min="4" max="4" width="40" hidden="0" customWidth="1"/>
    <x:col min="5" max="5" width="25" hidden="0" customWidth="1"/>
    <x:col min="6" max="6" width="8" hidden="0" customWidth="1"/>
    <x:col min="7" max="7" width="30" hidden="0" customWidth="1"/>
    <x:col min="8" max="8" width="40" hidden="0" customWidth="1"/>
    <x:col min="9" max="9" width="25" hidden="0" customWidth="1"/>
    <x:col min="10" max="10" width="8" hidden="0" customWidth="1"/>
    <x:col min="11" max="11" width="30" hidden="0" customWidth="1"/>
    <x:col min="12" max="12" width="40" hidden="0" customWidth="1"/>
    <x:col min="13" max="13" width="25" hidden="0" customWidth="1"/>
    <x:col min="14" max="14" width="8" hidden="0" customWidth="1"/>
    <x:col min="15" max="15" width="30" hidden="0" customWidth="1"/>
    <x:col min="16" max="16" width="40" hidden="0" customWidth="1"/>
    <x:col min="17" max="17" width="25" hidden="0" customWidth="1"/>
    <x:col min="18" max="18" width="8" hidden="0" customWidth="1"/>
    <x:col min="19" max="19" width="30" hidden="0" customWidth="1"/>
    <x:col min="20" max="20" width="40" hidden="0" customWidth="1"/>
    <x:col min="21" max="21" width="25" hidden="0" customWidth="1"/>
    <x:col min="22" max="22" width="8" hidden="0" customWidth="1"/>
    <x:col min="23" max="23" width="30" hidden="0" customWidth="1"/>
    <x:col min="24" max="24" width="40" hidden="0" customWidth="1"/>
    <x:col min="25" max="25" width="25" hidden="0" customWidth="1"/>
    <x:col min="26" max="26" width="8" hidden="0" customWidth="1"/>
    <x:col min="27" max="27" width="30" hidden="0" customWidth="1"/>
    <x:col min="28" max="28" width="40" hidden="0" customWidth="1"/>
    <x:col min="29" max="29" width="25" hidden="0" customWidth="1"/>
    <x:col min="30" max="30" width="8" hidden="0" customWidth="1"/>
    <x:col min="31" max="31" width="30" hidden="0" customWidth="1"/>
    <x:col min="32" max="32" width="40" hidden="0" customWidth="1"/>
    <x:col min="33" max="33" width="25" hidden="0" customWidth="1"/>
    <x:col min="34" max="34" width="8" hidden="0" customWidth="1"/>
    <x:col min="35" max="35" width="14" hidden="0" customWidth="1"/>
    <x:col min="36" max="36" width="38" hidden="0" customWidth="1"/>
  </x:cols>
  <x:sheetData>
    <x:row r="1" ht="28" customHeight="1">
      <x:c r="A1" s="4" t="str">
        <x:v>06 — Integração tecnológica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</x:row>
    <x:row r="2" ht="46" customHeight="1">
      <x:c r="A2" s="11" t="str">
        <x:v>Peso da dimensão: 25 pontos. A coluna verde reproduz a resposta dada no Diagnóstico das Ouvidorias Estaduais de Serviços Penais.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</x:row>
    <x:row r="4">
      <x:c r="A4" s="31" t="str">
        <x:v>Identificação</x:v>
      </x:c>
      <x:c r="B4" s="31"/>
      <x:c r="C4" s="31" t="str">
        <x:v>Item 1 — Canal eletrônico e solução para registro e gestão das manifestações</x:v>
      </x:c>
      <x:c r="D4" s="31"/>
      <x:c r="E4" s="31"/>
      <x:c r="F4" s="31"/>
      <x:c r="G4" s="31" t="str">
        <x:v>Item 2 — Protocolo, rastreabilidade e acompanhamento</x:v>
      </x:c>
      <x:c r="H4" s="31"/>
      <x:c r="I4" s="31"/>
      <x:c r="J4" s="31"/>
      <x:c r="K4" s="31"/>
      <x:c r="L4" s="31"/>
      <x:c r="M4" s="31"/>
      <x:c r="N4" s="31"/>
      <x:c r="O4" s="31" t="str">
        <x:v>Item 3 — Sigilo, autenticação e controle de acesso</x:v>
      </x:c>
      <x:c r="P4" s="31"/>
      <x:c r="Q4" s="31"/>
      <x:c r="R4" s="31"/>
      <x:c r="S4" s="31" t="str">
        <x:v>Item 4 — Computadores e acesso à internet</x:v>
      </x:c>
      <x:c r="T4" s="31"/>
      <x:c r="U4" s="31"/>
      <x:c r="V4" s="31"/>
      <x:c r="W4" s="31" t="str">
        <x:v>Item 5 — Impressoras e scanners</x:v>
      </x:c>
      <x:c r="X4" s="31"/>
      <x:c r="Y4" s="31"/>
      <x:c r="Z4" s="31"/>
      <x:c r="AA4" s="31"/>
      <x:c r="AB4" s="31"/>
      <x:c r="AC4" s="31"/>
      <x:c r="AD4" s="31"/>
      <x:c r="AE4" s="31" t="str">
        <x:v>Item 6 — Aparelhos de telefone celular</x:v>
      </x:c>
      <x:c r="AF4" s="31"/>
      <x:c r="AG4" s="31"/>
      <x:c r="AH4" s="31"/>
      <x:c r="AI4" s="31" t="str">
        <x:v>Resultado da dimensão</x:v>
      </x:c>
      <x:c r="AJ4" s="31"/>
    </x:row>
    <x:row r="5" ht="58" customHeight="1">
      <x:c r="A5" s="20" t="str">
        <x:v>UF</x:v>
      </x:c>
      <x:c r="B5" s="20" t="str">
        <x:v>Unidade Federativa</x:v>
      </x:c>
      <x:c r="C5" s="20" t="str">
        <x:v>M2-45 — Sistemas ou canais eletrônicos utilizados para registro e gestão</x:v>
      </x:c>
      <x:c r="D5" s="20" t="str">
        <x:v>Resposta do diagnóstico</x:v>
      </x:c>
      <x:c r="E5" s="20" t="str">
        <x:v>Fundamentação na IN nº 75/2026</x:v>
      </x:c>
      <x:c r="F5" s="20" t="str">
        <x:v>5 pts</x:v>
      </x:c>
      <x:c r="G5" s="20" t="str">
        <x:v>M4-66 — Registro, protocolo e classificação das manifestações</x:v>
      </x:c>
      <x:c r="H5" s="20" t="str">
        <x:v>Resposta do diagnóstico</x:v>
      </x:c>
      <x:c r="I5" s="20" t="str">
        <x:v>Fundamentação na IN nº 75/2026</x:v>
      </x:c>
      <x:c r="J5" s="20" t="str">
        <x:v>3 pts</x:v>
      </x:c>
      <x:c r="K5" s="20" t="str">
        <x:v>M4-67 — Fluxo de trabalho interno da Ouvidoria</x:v>
      </x:c>
      <x:c r="L5" s="20" t="str">
        <x:v>Resposta do diagnóstico</x:v>
      </x:c>
      <x:c r="M5" s="20" t="str">
        <x:v>Fundamentação na IN nº 75/2026</x:v>
      </x:c>
      <x:c r="N5" s="20" t="str">
        <x:v>3 pts</x:v>
      </x:c>
      <x:c r="O5" s="20" t="str">
        <x:v>M2-37 — Recursos específicos de segurança da informação</x:v>
      </x:c>
      <x:c r="P5" s="20" t="str">
        <x:v>Resposta do diagnóstico</x:v>
      </x:c>
      <x:c r="Q5" s="20" t="str">
        <x:v>Fundamentação na IN nº 75/2026</x:v>
      </x:c>
      <x:c r="R5" s="20" t="str">
        <x:v>4 pts</x:v>
      </x:c>
      <x:c r="S5" s="20" t="str">
        <x:v>M2-17 — Quantidade atualmente disponível de computadores com acesso à internet</x:v>
      </x:c>
      <x:c r="T5" s="20" t="str">
        <x:v>Resposta do diagnóstico</x:v>
      </x:c>
      <x:c r="U5" s="20" t="str">
        <x:v>Fundamentação na IN nº 75/2026</x:v>
      </x:c>
      <x:c r="V5" s="20" t="str">
        <x:v>4 pts</x:v>
      </x:c>
      <x:c r="W5" s="20" t="str">
        <x:v>M2-19 — Impressoras multifuncionais atualmente disponíveis</x:v>
      </x:c>
      <x:c r="X5" s="20" t="str">
        <x:v>Resposta do diagnóstico</x:v>
      </x:c>
      <x:c r="Y5" s="20" t="str">
        <x:v>Fundamentação na IN nº 75/2026</x:v>
      </x:c>
      <x:c r="Z5" s="20" t="str">
        <x:v>2 pts</x:v>
      </x:c>
      <x:c r="AA5" s="20" t="str">
        <x:v>M2-21 — Scanners atualmente disponíveis</x:v>
      </x:c>
      <x:c r="AB5" s="20" t="str">
        <x:v>Resposta do diagnóstico</x:v>
      </x:c>
      <x:c r="AC5" s="20" t="str">
        <x:v>Fundamentação na IN nº 75/2026</x:v>
      </x:c>
      <x:c r="AD5" s="20" t="str">
        <x:v>2 pts</x:v>
      </x:c>
      <x:c r="AE5" s="20" t="str">
        <x:v>M2-27 — Smartphones atualmente disponíveis</x:v>
      </x:c>
      <x:c r="AF5" s="20" t="str">
        <x:v>Resposta do diagnóstico</x:v>
      </x:c>
      <x:c r="AG5" s="20" t="str">
        <x:v>Fundamentação na IN nº 75/2026</x:v>
      </x:c>
      <x:c r="AH5" s="20" t="str">
        <x:v>2 pts</x:v>
      </x:c>
      <x:c r="AI5" s="20" t="str">
        <x:v>Pontuação /25</x:v>
      </x:c>
      <x:c r="AJ5" s="20" t="str">
        <x:v>Evidências / observações</x:v>
      </x:c>
    </x:row>
    <x:row r="6" ht="132" customHeight="1">
      <x:c r="A6" s="40" t="str">
        <x:v>Como aplicar / resposta / fundamento →</x:v>
      </x:c>
      <x:c r="B6" s="40"/>
      <x:c r="C6" s="49" t="str">
        <x:v>5 pts: utiliza solução eletrônica institucional capaz de receber/registrar e apoiar a gestão. 2,5 pt: solução parcial, manual ou limitada. 0 pt: inexistente ou sem evidência.</x:v>
      </x:c>
      <x:c r="D6" s="57" t="str">
        <x:v>Resposta original da UF no diagnóstico enviado.</x:v>
      </x:c>
      <x:c r="E6" s="66" t="str">
        <x:v>Art. 4º, V; art. 7º, §2º, III; §4º, II; §5º.</x:v>
      </x:c>
      <x:c r="F6" s="11" t="str">
        <x:v>5 = atende
2.5 = parcial
0 = não atende / sem evidência</x:v>
      </x:c>
      <x:c r="G6" s="49" t="str">
        <x:v>3 pts: manifestações são registradas/classificadas e recebem protocolo para acompanhamento. 1,5 pt: registro/protocolo parcial. 0 pt: inexistente ou sem evidência.</x:v>
      </x:c>
      <x:c r="H6" s="57" t="str">
        <x:v>Resposta original da UF no diagnóstico enviado.</x:v>
      </x:c>
      <x:c r="I6" s="66" t="str">
        <x:v>Art. 11; art. 13, II.</x:v>
      </x:c>
      <x:c r="J6" s="11" t="str">
        <x:v>3 = atende
1.5 = parcial
0 = não atende / sem evidência</x:v>
      </x:c>
      <x:c r="K6" s="49" t="str">
        <x:v>3 pts: fluxo permite acompanhar encaminhamento e resposta com rastreabilidade. 1,5 pt: fluxo parcial ou pouco aplicado. 0 pt: informal/inexistente ou sem evidência.</x:v>
      </x:c>
      <x:c r="L6" s="57" t="str">
        <x:v>Resposta original da UF no diagnóstico enviado.</x:v>
      </x:c>
      <x:c r="M6" s="66" t="str">
        <x:v>Art. 13, I a V e parágrafo único.</x:v>
      </x:c>
      <x:c r="N6" s="11" t="str">
        <x:v>3 = atende
1.5 = parcial
0 = não atende / sem evidência</x:v>
      </x:c>
      <x:c r="O6" s="49" t="str">
        <x:v>4 pts: há autenticação, restrição de acesso e mecanismos compatíveis de segurança. 2 pts: controles básicos ou incompletos. 0 pt: inexistentes ou sem evidência.</x:v>
      </x:c>
      <x:c r="P6" s="57" t="str">
        <x:v>Resposta original da UF no diagnóstico enviado.</x:v>
      </x:c>
      <x:c r="Q6" s="66" t="str">
        <x:v>Art. 4º, §2º; art. 7º, §4º, II e III; §5º.</x:v>
      </x:c>
      <x:c r="R6" s="11" t="str">
        <x:v>4 = atende
2 = parcial
0 = não atende / sem evidência</x:v>
      </x:c>
      <x:c r="S6" s="49" t="str">
        <x:v>4 pts: há computador(es) com acesso à internet disponível(is). 2 pts: disponibilidade compartilhada/limitada que compromete a rotina. 0 pt: quantidade zero ou sem evidência.</x:v>
      </x:c>
      <x:c r="T6" s="57" t="str">
        <x:v>Resposta original da UF no diagnóstico enviado.</x:v>
      </x:c>
      <x:c r="U6" s="66" t="str">
        <x:v>Art. 7º, §4º, I.</x:v>
      </x:c>
      <x:c r="V6" s="11" t="str">
        <x:v>4 = atende
2 = parcial
0 = não atende / sem evidência</x:v>
      </x:c>
      <x:c r="W6" s="49" t="str">
        <x:v>2 pts: há ao menos uma impressora multifuncional disponível regularmente. 1 pt: acesso compartilhado/limitado. 0 pt: inexistente ou sem evidência.</x:v>
      </x:c>
      <x:c r="X6" s="57" t="str">
        <x:v>Resposta original da UF no diagnóstico enviado.</x:v>
      </x:c>
      <x:c r="Y6" s="66" t="str">
        <x:v>Art. 7º, §6º, I.</x:v>
      </x:c>
      <x:c r="Z6" s="11" t="str">
        <x:v>2 = atende
1 = parcial
0 = não atende / sem evidência</x:v>
      </x:c>
      <x:c r="AA6" s="49" t="str">
        <x:v>2 pts: há scanner disponível regularmente. 1 pt: acesso compartilhado/limitado. 0 pt: inexistente ou sem evidência.</x:v>
      </x:c>
      <x:c r="AB6" s="57" t="str">
        <x:v>Resposta original da UF no diagnóstico enviado.</x:v>
      </x:c>
      <x:c r="AC6" s="66" t="str">
        <x:v>Art. 7º, §6º, I — impressora multifuncional; scanner autônomo não é citado expressamente.</x:v>
      </x:c>
      <x:c r="AD6" s="11" t="str">
        <x:v>2 = atende
1 = parcial
0 = não atende / sem evidência</x:v>
      </x:c>
      <x:c r="AE6" s="49" t="str">
        <x:v>2 pts: há aparelho celular institucional disponível. 1 pt: aparelho compartilhado/uso limitado. 0 pt: inexistente ou sem evidência.</x:v>
      </x:c>
      <x:c r="AF6" s="57" t="str">
        <x:v>Resposta original da UF no diagnóstico enviado.</x:v>
      </x:c>
      <x:c r="AG6" s="66" t="str">
        <x:v>Art. 7º, §6º, IV.</x:v>
      </x:c>
      <x:c r="AH6" s="11" t="str">
        <x:v>2 = atende
1 = parcial
0 = não atende / sem evidência</x:v>
      </x:c>
      <x:c r="AI6" s="11" t="str">
        <x:v>Soma automática das perguntas desta dimensão.</x:v>
      </x:c>
      <x:c r="AJ6" s="11" t="str">
        <x:v>Registre observações adicionais, se necessário.</x:v>
      </x:c>
    </x:row>
    <x:row r="7">
      <x:c r="A7" s="26" t="str">
        <x:v>AC</x:v>
      </x:c>
      <x:c r="B7" s="26" t="str">
        <x:v>Acre</x:v>
      </x:c>
      <x:c r="C7" s="26" t="str"/>
      <x:c r="D7" s="57" t="str">
        <x:v>Possui canal próprio na Plataforma Fala.BR (CGU);Não utiliza nenhum sistema estruturado; registros são feitos em planilha ou outro meio manual;</x:v>
      </x:c>
      <x:c r="E7" s="66" t="str">
        <x:v>Art. 4º, V; art. 7º, §2º, III; §4º, II; §5º.</x:v>
      </x:c>
      <x:c r="F7" s="26" t="n">
        <x:f>IF(C7="Atende",5,IF(C7="Parcial",2.5,0))</x:f>
        <x:v>0</x:v>
      </x:c>
      <x:c r="G7" s="26" t="str"/>
      <x:c r="H7" s="57" t="str">
        <x:v>Toda manifestação é registrada com número de protocolo, é classificada por tipo e passa por análise preliminar, com critérios para arquivamento fundamentado e para o tratamento de manifestações anônimas</x:v>
      </x:c>
      <x:c r="I7" s="66" t="str">
        <x:v>Art. 11; art. 13, II.</x:v>
      </x:c>
      <x:c r="J7" s="26" t="n">
        <x:f>IF(G7="Atende",3,IF(G7="Parcial",1.5,0))</x:f>
        <x:v>0</x:v>
      </x:c>
      <x:c r="K7" s="26" t="str"/>
      <x:c r="L7" s="57" t="str">
        <x:v>Há fluxo descrito, mas pouco aplicado na prática</x:v>
      </x:c>
      <x:c r="M7" s="66" t="str">
        <x:v>Art. 13, I a V e parágrafo único.</x:v>
      </x:c>
      <x:c r="N7" s="26" t="n">
        <x:f>IF(K7="Atende",3,IF(K7="Parcial",1.5,0))</x:f>
        <x:v>0</x:v>
      </x:c>
      <x:c r="O7" s="26" t="str"/>
      <x:c r="P7" s="57" t="str">
        <x:v>Antivírus institucional instalado nas estações de trabalho;Mecanismos de autenticação e controle de acesso aos dados;Acesso restrito a pastas/sistemas que contenham manifestações;Política interna ou instruções sobre tratamento de dados pessoais;</x:v>
      </x:c>
      <x:c r="Q7" s="66" t="str">
        <x:v>Art. 4º, §2º; art. 7º, §4º, II e III; §5º.</x:v>
      </x:c>
      <x:c r="R7" s="26" t="n">
        <x:f>IF(O7="Atende",4,IF(O7="Parcial",2.0,0))</x:f>
        <x:v>0</x:v>
      </x:c>
      <x:c r="S7" s="26" t="str"/>
      <x:c r="T7" s="57" t="str">
        <x:v>3</x:v>
      </x:c>
      <x:c r="U7" s="66" t="str">
        <x:v>Art. 7º, §4º, I.</x:v>
      </x:c>
      <x:c r="V7" s="26" t="n">
        <x:f>IF(S7="Atende",4,IF(S7="Parcial",2.0,0))</x:f>
        <x:v>0</x:v>
      </x:c>
      <x:c r="W7" s="26" t="str"/>
      <x:c r="X7" s="57" t="str">
        <x:v>1</x:v>
      </x:c>
      <x:c r="Y7" s="66" t="str">
        <x:v>Art. 7º, §6º, I.</x:v>
      </x:c>
      <x:c r="Z7" s="26" t="n">
        <x:f>IF(W7="Atende",2,IF(W7="Parcial",1.0,0))</x:f>
        <x:v>0</x:v>
      </x:c>
      <x:c r="AA7" s="26" t="str"/>
      <x:c r="AB7" s="57" t="str">
        <x:v>0</x:v>
      </x:c>
      <x:c r="AC7" s="66" t="str">
        <x:v>Art. 7º, §6º, I — impressora multifuncional; scanner autônomo não é citado expressamente.</x:v>
      </x:c>
      <x:c r="AD7" s="26" t="n">
        <x:f>IF(AA7="Atende",2,IF(AA7="Parcial",1.0,0))</x:f>
        <x:v>0</x:v>
      </x:c>
      <x:c r="AE7" s="26" t="str"/>
      <x:c r="AF7" s="57" t="str">
        <x:v>1</x:v>
      </x:c>
      <x:c r="AG7" s="66" t="str">
        <x:v>Art. 7º, §6º, IV.</x:v>
      </x:c>
      <x:c r="AH7" s="26" t="n">
        <x:f>IF(AE7="Atende",2,IF(AE7="Parcial",1.0,0))</x:f>
        <x:v>0</x:v>
      </x:c>
      <x:c r="AI7" s="26" t="n">
        <x:f>SUM(F7,J7,N7,R7,V7,Z7,AD7,AH7)</x:f>
        <x:v>0</x:v>
      </x:c>
      <x:c r="AJ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Utiliza apenas outro sistema eletrônico de ouvidoria (estadual ou próprio do órgão);</x:v>
      </x:c>
      <x:c r="E8" s="66" t="str">
        <x:v>Art. 4º, V; art. 7º, §2º, III; §4º, II; §5º.</x:v>
      </x:c>
      <x:c r="F8" s="26" t="n">
        <x:f>IF(C8="Atende",5,IF(C8="Parcial",2.5,0))</x:f>
        <x:v>0</x:v>
      </x:c>
      <x:c r="G8" s="26" t="str"/>
      <x:c r="H8" s="57" t="str">
        <x:v>As manifestações são registradas, mas sem número de protocolo individual</x:v>
      </x:c>
      <x:c r="I8" s="66" t="str">
        <x:v>Art. 11; art. 13, II.</x:v>
      </x:c>
      <x:c r="J8" s="26" t="n">
        <x:f>IF(G8="Atende",3,IF(G8="Parcial",1.5,0))</x:f>
        <x:v>0</x:v>
      </x:c>
      <x:c r="K8" s="26" t="str"/>
      <x:c r="L8" s="57" t="str">
        <x:v>Há fluxo informal (cada caso é tratado de forma diferente, sem padronização)</x:v>
      </x:c>
      <x:c r="M8" s="66" t="str">
        <x:v>Art. 13, I a V e parágrafo único.</x:v>
      </x:c>
      <x:c r="N8" s="26" t="n">
        <x:f>IF(K8="Atende",3,IF(K8="Parcial",1.5,0))</x:f>
        <x:v>0</x:v>
      </x:c>
      <x:c r="O8" s="26" t="str"/>
      <x:c r="P8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8" s="66" t="str">
        <x:v>Art. 4º, §2º; art. 7º, §4º, II e III; §5º.</x:v>
      </x:c>
      <x:c r="R8" s="26" t="n">
        <x:f>IF(O8="Atende",4,IF(O8="Parcial",2.0,0))</x:f>
        <x:v>0</x:v>
      </x:c>
      <x:c r="S8" s="26" t="str"/>
      <x:c r="T8" s="57" t="str">
        <x:v>3</x:v>
      </x:c>
      <x:c r="U8" s="66" t="str">
        <x:v>Art. 7º, §4º, I.</x:v>
      </x:c>
      <x:c r="V8" s="26" t="n">
        <x:f>IF(S8="Atende",4,IF(S8="Parcial",2.0,0))</x:f>
        <x:v>0</x:v>
      </x:c>
      <x:c r="W8" s="26" t="str"/>
      <x:c r="X8" s="57" t="str">
        <x:v>1</x:v>
      </x:c>
      <x:c r="Y8" s="66" t="str">
        <x:v>Art. 7º, §6º, I.</x:v>
      </x:c>
      <x:c r="Z8" s="26" t="n">
        <x:f>IF(W8="Atende",2,IF(W8="Parcial",1.0,0))</x:f>
        <x:v>0</x:v>
      </x:c>
      <x:c r="AA8" s="26" t="str"/>
      <x:c r="AB8" s="57" t="str">
        <x:v>1</x:v>
      </x:c>
      <x:c r="AC8" s="66" t="str">
        <x:v>Art. 7º, §6º, I — impressora multifuncional; scanner autônomo não é citado expressamente.</x:v>
      </x:c>
      <x:c r="AD8" s="26" t="n">
        <x:f>IF(AA8="Atende",2,IF(AA8="Parcial",1.0,0))</x:f>
        <x:v>0</x:v>
      </x:c>
      <x:c r="AE8" s="26" t="str"/>
      <x:c r="AF8" s="57" t="str">
        <x:v>3</x:v>
      </x:c>
      <x:c r="AG8" s="66" t="str">
        <x:v>Art. 7º, §6º, IV.</x:v>
      </x:c>
      <x:c r="AH8" s="26" t="n">
        <x:f>IF(AE8="Atende",2,IF(AE8="Parcial",1.0,0))</x:f>
        <x:v>0</x:v>
      </x:c>
      <x:c r="AI8" s="26" t="n">
        <x:f>SUM(F8,J8,N8,R8,V8,Z8,AD8,AH8)</x:f>
        <x:v>0</x:v>
      </x:c>
      <x:c r="AJ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Utiliza apenas outro sistema eletrônico de ouvidoria (estadual ou próprio do órgão);</x:v>
      </x:c>
      <x:c r="E9" s="66" t="str">
        <x:v>Art. 4º, V; art. 7º, §2º, III; §4º, II; §5º.</x:v>
      </x:c>
      <x:c r="F9" s="26" t="n">
        <x:f>IF(C9="Atende",5,IF(C9="Parcial",2.5,0))</x:f>
        <x:v>0</x:v>
      </x:c>
      <x:c r="G9" s="26" t="str"/>
      <x:c r="H9" s="57" t="str">
        <x:v>Toda manifestação é registrada com número de protocolo, é classificada por tipo e passa por análise preliminar, com critérios para arquivamento fundamentado e para o tratamento de manifestações anônimas</x:v>
      </x:c>
      <x:c r="I9" s="66" t="str">
        <x:v>Art. 11; art. 13, II.</x:v>
      </x:c>
      <x:c r="J9" s="26" t="n">
        <x:f>IF(G9="Atende",3,IF(G9="Parcial",1.5,0))</x:f>
        <x:v>0</x:v>
      </x:c>
      <x:c r="K9" s="26" t="str"/>
      <x:c r="L9" s="57" t="str">
        <x:v>Há fluxo formalizado e efetivamente utilizado, contemplando, no mínimo, recebimento, registro, encaminhamento à área competente, acompanhamento da resposta e devolutiva ao(à) manifestante, quando aplicável</x:v>
      </x:c>
      <x:c r="M9" s="66" t="str">
        <x:v>Art. 13, I a V e parágrafo único.</x:v>
      </x:c>
      <x:c r="N9" s="26" t="n">
        <x:f>IF(K9="Atende",3,IF(K9="Parcial",1.5,0))</x:f>
        <x:v>0</x:v>
      </x:c>
      <x:c r="O9" s="26" t="str"/>
      <x:c r="P9" s="57" t="str">
        <x:v>Acesso restrito a pastas/sistemas que contenham manifestações;Mecanismos de autenticação e controle de acesso aos dados;</x:v>
      </x:c>
      <x:c r="Q9" s="66" t="str">
        <x:v>Art. 4º, §2º; art. 7º, §4º, II e III; §5º.</x:v>
      </x:c>
      <x:c r="R9" s="26" t="n">
        <x:f>IF(O9="Atende",4,IF(O9="Parcial",2.0,0))</x:f>
        <x:v>0</x:v>
      </x:c>
      <x:c r="S9" s="26" t="str"/>
      <x:c r="T9" s="57" t="str">
        <x:v>2</x:v>
      </x:c>
      <x:c r="U9" s="66" t="str">
        <x:v>Art. 7º, §4º, I.</x:v>
      </x:c>
      <x:c r="V9" s="26" t="n">
        <x:f>IF(S9="Atende",4,IF(S9="Parcial",2.0,0))</x:f>
        <x:v>0</x:v>
      </x:c>
      <x:c r="W9" s="26" t="str"/>
      <x:c r="X9" s="57" t="str">
        <x:v>0</x:v>
      </x:c>
      <x:c r="Y9" s="66" t="str">
        <x:v>Art. 7º, §6º, I.</x:v>
      </x:c>
      <x:c r="Z9" s="26" t="n">
        <x:f>IF(W9="Atende",2,IF(W9="Parcial",1.0,0))</x:f>
        <x:v>0</x:v>
      </x:c>
      <x:c r="AA9" s="26" t="str"/>
      <x:c r="AB9" s="57" t="str">
        <x:v>0</x:v>
      </x:c>
      <x:c r="AC9" s="66" t="str">
        <x:v>Art. 7º, §6º, I — impressora multifuncional; scanner autônomo não é citado expressamente.</x:v>
      </x:c>
      <x:c r="AD9" s="26" t="n">
        <x:f>IF(AA9="Atende",2,IF(AA9="Parcial",1.0,0))</x:f>
        <x:v>0</x:v>
      </x:c>
      <x:c r="AE9" s="26" t="str"/>
      <x:c r="AF9" s="57" t="str">
        <x:v>1</x:v>
      </x:c>
      <x:c r="AG9" s="66" t="str">
        <x:v>Art. 7º, §6º, IV.</x:v>
      </x:c>
      <x:c r="AH9" s="26" t="n">
        <x:f>IF(AE9="Atende",2,IF(AE9="Parcial",1.0,0))</x:f>
        <x:v>0</x:v>
      </x:c>
      <x:c r="AI9" s="26" t="n">
        <x:f>SUM(F9,J9,N9,R9,V9,Z9,AD9,AH9)</x:f>
        <x:v>0</x:v>
      </x:c>
      <x:c r="AJ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Possui canal próprio na Plataforma Fala.BR (CGU);Utiliza apenas outro sistema eletrônico de ouvidoria (estadual ou próprio do órgão);</x:v>
      </x:c>
      <x:c r="E10" s="66" t="str">
        <x:v>Art. 4º, V; art. 7º, §2º, III; §4º, II; §5º.</x:v>
      </x:c>
      <x:c r="F10" s="26" t="n">
        <x:f>IF(C10="Atende",5,IF(C10="Parcial",2.5,0))</x:f>
        <x:v>0</x:v>
      </x:c>
      <x:c r="G10" s="26" t="str"/>
      <x:c r="H10" s="57" t="str">
        <x:v>Toda manifestação é registrada com número de protocolo, é classificada por tipo e passa por análise preliminar, com critérios para arquivamento fundamentado e para o tratamento de manifestações anônimas</x:v>
      </x:c>
      <x:c r="I10" s="66" t="str">
        <x:v>Art. 11; art. 13, II.</x:v>
      </x:c>
      <x:c r="J10" s="26" t="n">
        <x:f>IF(G10="Atende",3,IF(G10="Parcial",1.5,0))</x:f>
        <x:v>0</x:v>
      </x:c>
      <x:c r="K10" s="26" t="str"/>
      <x:c r="L10" s="57" t="str">
        <x:v>Há fluxo formalizado e efetivamente utilizado, contemplando, no mínimo, recebimento, registro, encaminhamento à área competente, acompanhamento da resposta e devolutiva ao(à) manifestante, quando aplicável</x:v>
      </x:c>
      <x:c r="M10" s="66" t="str">
        <x:v>Art. 13, I a V e parágrafo único.</x:v>
      </x:c>
      <x:c r="N10" s="26" t="n">
        <x:f>IF(K10="Atende",3,IF(K10="Parcial",1.5,0))</x:f>
        <x:v>0</x:v>
      </x:c>
      <x:c r="O10" s="26" t="str"/>
      <x:c r="P10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10" s="66" t="str">
        <x:v>Art. 4º, §2º; art. 7º, §4º, II e III; §5º.</x:v>
      </x:c>
      <x:c r="R10" s="26" t="n">
        <x:f>IF(O10="Atende",4,IF(O10="Parcial",2.0,0))</x:f>
        <x:v>0</x:v>
      </x:c>
      <x:c r="S10" s="26" t="str"/>
      <x:c r="T10" s="57" t="str">
        <x:v>10</x:v>
      </x:c>
      <x:c r="U10" s="66" t="str">
        <x:v>Art. 7º, §4º, I.</x:v>
      </x:c>
      <x:c r="V10" s="26" t="n">
        <x:f>IF(S10="Atende",4,IF(S10="Parcial",2.0,0))</x:f>
        <x:v>0</x:v>
      </x:c>
      <x:c r="W10" s="26" t="str"/>
      <x:c r="X10" s="57" t="str">
        <x:v>1</x:v>
      </x:c>
      <x:c r="Y10" s="66" t="str">
        <x:v>Art. 7º, §6º, I.</x:v>
      </x:c>
      <x:c r="Z10" s="26" t="n">
        <x:f>IF(W10="Atende",2,IF(W10="Parcial",1.0,0))</x:f>
        <x:v>0</x:v>
      </x:c>
      <x:c r="AA10" s="26" t="str"/>
      <x:c r="AB10" s="57" t="str">
        <x:v>1</x:v>
      </x:c>
      <x:c r="AC10" s="66" t="str">
        <x:v>Art. 7º, §6º, I — impressora multifuncional; scanner autônomo não é citado expressamente.</x:v>
      </x:c>
      <x:c r="AD10" s="26" t="n">
        <x:f>IF(AA10="Atende",2,IF(AA10="Parcial",1.0,0))</x:f>
        <x:v>0</x:v>
      </x:c>
      <x:c r="AE10" s="26" t="str"/>
      <x:c r="AF10" s="57" t="str">
        <x:v>2</x:v>
      </x:c>
      <x:c r="AG10" s="66" t="str">
        <x:v>Art. 7º, §6º, IV.</x:v>
      </x:c>
      <x:c r="AH10" s="26" t="n">
        <x:f>IF(AE10="Atende",2,IF(AE10="Parcial",1.0,0))</x:f>
        <x:v>0</x:v>
      </x:c>
      <x:c r="AI10" s="26" t="n">
        <x:f>SUM(F10,J10,N10,R10,V10,Z10,AD10,AH10)</x:f>
        <x:v>0</x:v>
      </x:c>
      <x:c r="AJ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Utiliza apenas outro sistema eletrônico de ouvidoria (estadual ou próprio do órgão);</x:v>
      </x:c>
      <x:c r="E11" s="66" t="str">
        <x:v>Art. 4º, V; art. 7º, §2º, III; §4º, II; §5º.</x:v>
      </x:c>
      <x:c r="F11" s="26" t="n">
        <x:f>IF(C11="Atende",5,IF(C11="Parcial",2.5,0))</x:f>
        <x:v>0</x:v>
      </x:c>
      <x:c r="G11" s="26" t="str"/>
      <x:c r="H11" s="57" t="str">
        <x:v>Toda manifestação é registrada com número de protocolo, é classificada por tipo e passa por análise preliminar, com critérios para arquivamento fundamentado e para o tratamento de manifestações anônimas</x:v>
      </x:c>
      <x:c r="I11" s="66" t="str">
        <x:v>Art. 11; art. 13, II.</x:v>
      </x:c>
      <x:c r="J11" s="26" t="n">
        <x:f>IF(G11="Atende",3,IF(G11="Parcial",1.5,0))</x:f>
        <x:v>0</x:v>
      </x:c>
      <x:c r="K11" s="26" t="str"/>
      <x:c r="L11" s="57" t="str">
        <x:v>Há fluxo formalizado e efetivamente utilizado, contemplando, no mínimo, recebimento, registro, encaminhamento à área competente, acompanhamento da resposta e devolutiva ao(à) manifestante, quando aplicável</x:v>
      </x:c>
      <x:c r="M11" s="66" t="str">
        <x:v>Art. 13, I a V e parágrafo único.</x:v>
      </x:c>
      <x:c r="N11" s="26" t="n">
        <x:f>IF(K11="Atende",3,IF(K11="Parcial",1.5,0))</x:f>
        <x:v>0</x:v>
      </x:c>
      <x:c r="O11" s="26" t="str"/>
      <x:c r="P11" s="57" t="str">
        <x:v>Antivírus institucional instalado nas estações de trabalho;Rotina de backup periódico dos dados da Ouvidoria;Acesso restrito a pastas/sistemas que contenham manifestações;Política interna ou instruções sobre tratamento de dados pessoais;</x:v>
      </x:c>
      <x:c r="Q11" s="66" t="str">
        <x:v>Art. 4º, §2º; art. 7º, §4º, II e III; §5º.</x:v>
      </x:c>
      <x:c r="R11" s="26" t="n">
        <x:f>IF(O11="Atende",4,IF(O11="Parcial",2.0,0))</x:f>
        <x:v>0</x:v>
      </x:c>
      <x:c r="S11" s="26" t="str"/>
      <x:c r="T11" s="57" t="str">
        <x:v>2</x:v>
      </x:c>
      <x:c r="U11" s="66" t="str">
        <x:v>Art. 7º, §4º, I.</x:v>
      </x:c>
      <x:c r="V11" s="26" t="n">
        <x:f>IF(S11="Atende",4,IF(S11="Parcial",2.0,0))</x:f>
        <x:v>0</x:v>
      </x:c>
      <x:c r="W11" s="26" t="str"/>
      <x:c r="X11" s="57" t="str">
        <x:v>1</x:v>
      </x:c>
      <x:c r="Y11" s="66" t="str">
        <x:v>Art. 7º, §6º, I.</x:v>
      </x:c>
      <x:c r="Z11" s="26" t="n">
        <x:f>IF(W11="Atende",2,IF(W11="Parcial",1.0,0))</x:f>
        <x:v>0</x:v>
      </x:c>
      <x:c r="AA11" s="26" t="str"/>
      <x:c r="AB11" s="57" t="str">
        <x:v>1</x:v>
      </x:c>
      <x:c r="AC11" s="66" t="str">
        <x:v>Art. 7º, §6º, I — impressora multifuncional; scanner autônomo não é citado expressamente.</x:v>
      </x:c>
      <x:c r="AD11" s="26" t="n">
        <x:f>IF(AA11="Atende",2,IF(AA11="Parcial",1.0,0))</x:f>
        <x:v>0</x:v>
      </x:c>
      <x:c r="AE11" s="26" t="str"/>
      <x:c r="AF11" s="57" t="str">
        <x:v>0</x:v>
      </x:c>
      <x:c r="AG11" s="66" t="str">
        <x:v>Art. 7º, §6º, IV.</x:v>
      </x:c>
      <x:c r="AH11" s="26" t="n">
        <x:f>IF(AE11="Atende",2,IF(AE11="Parcial",1.0,0))</x:f>
        <x:v>0</x:v>
      </x:c>
      <x:c r="AI11" s="26" t="n">
        <x:f>SUM(F11,J11,N11,R11,V11,Z11,AD11,AH11)</x:f>
        <x:v>0</x:v>
      </x:c>
      <x:c r="AJ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Utiliza apenas outro sistema eletrônico de ouvidoria (estadual ou próprio do órgão);</x:v>
      </x:c>
      <x:c r="E12" s="66" t="str">
        <x:v>Art. 4º, V; art. 7º, §2º, III; §4º, II; §5º.</x:v>
      </x:c>
      <x:c r="F12" s="26" t="n">
        <x:f>IF(C12="Atende",5,IF(C12="Parcial",2.5,0))</x:f>
        <x:v>0</x:v>
      </x:c>
      <x:c r="G12" s="26" t="str"/>
      <x:c r="H12" s="57" t="str">
        <x:v>Toda manifestação é registrada com número de protocolo, é classificada por tipo e passa por análise preliminar, com critérios para arquivamento fundamentado e para o tratamento de manifestações anônimas</x:v>
      </x:c>
      <x:c r="I12" s="66" t="str">
        <x:v>Art. 11; art. 13, II.</x:v>
      </x:c>
      <x:c r="J12" s="26" t="n">
        <x:f>IF(G12="Atende",3,IF(G12="Parcial",1.5,0))</x:f>
        <x:v>0</x:v>
      </x:c>
      <x:c r="K12" s="26" t="str"/>
      <x:c r="L12" s="57" t="str">
        <x:v>Há fluxo formalizado e efetivamente utilizado, contemplando, no mínimo, recebimento, registro, encaminhamento à área competente, acompanhamento da resposta e devolutiva ao(à) manifestante, quando aplicável</x:v>
      </x:c>
      <x:c r="M12" s="66" t="str">
        <x:v>Art. 13, I a V e parágrafo único.</x:v>
      </x:c>
      <x:c r="N12" s="26" t="n">
        <x:f>IF(K12="Atende",3,IF(K12="Parcial",1.5,0))</x:f>
        <x:v>0</x:v>
      </x:c>
      <x:c r="O12" s="26" t="str"/>
      <x:c r="P12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12" s="66" t="str">
        <x:v>Art. 4º, §2º; art. 7º, §4º, II e III; §5º.</x:v>
      </x:c>
      <x:c r="R12" s="26" t="n">
        <x:f>IF(O12="Atende",4,IF(O12="Parcial",2.0,0))</x:f>
        <x:v>0</x:v>
      </x:c>
      <x:c r="S12" s="26" t="str"/>
      <x:c r="T12" s="57" t="str">
        <x:v>5</x:v>
      </x:c>
      <x:c r="U12" s="66" t="str">
        <x:v>Art. 7º, §4º, I.</x:v>
      </x:c>
      <x:c r="V12" s="26" t="n">
        <x:f>IF(S12="Atende",4,IF(S12="Parcial",2.0,0))</x:f>
        <x:v>0</x:v>
      </x:c>
      <x:c r="W12" s="26" t="str"/>
      <x:c r="X12" s="57" t="str">
        <x:v>1</x:v>
      </x:c>
      <x:c r="Y12" s="66" t="str">
        <x:v>Art. 7º, §6º, I.</x:v>
      </x:c>
      <x:c r="Z12" s="26" t="n">
        <x:f>IF(W12="Atende",2,IF(W12="Parcial",1.0,0))</x:f>
        <x:v>0</x:v>
      </x:c>
      <x:c r="AA12" s="26" t="str"/>
      <x:c r="AB12" s="57" t="str">
        <x:v>0</x:v>
      </x:c>
      <x:c r="AC12" s="66" t="str">
        <x:v>Art. 7º, §6º, I — impressora multifuncional; scanner autônomo não é citado expressamente.</x:v>
      </x:c>
      <x:c r="AD12" s="26" t="n">
        <x:f>IF(AA12="Atende",2,IF(AA12="Parcial",1.0,0))</x:f>
        <x:v>0</x:v>
      </x:c>
      <x:c r="AE12" s="26" t="str"/>
      <x:c r="AF12" s="57" t="str">
        <x:v>2</x:v>
      </x:c>
      <x:c r="AG12" s="66" t="str">
        <x:v>Art. 7º, §6º, IV.</x:v>
      </x:c>
      <x:c r="AH12" s="26" t="n">
        <x:f>IF(AE12="Atende",2,IF(AE12="Parcial",1.0,0))</x:f>
        <x:v>0</x:v>
      </x:c>
      <x:c r="AI12" s="26" t="n">
        <x:f>SUM(F12,J12,N12,R12,V12,Z12,AD12,AH12)</x:f>
        <x:v>0</x:v>
      </x:c>
      <x:c r="AJ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Utiliza apenas outro sistema eletrônico de ouvidoria (estadual ou próprio do órgão);</x:v>
      </x:c>
      <x:c r="E13" s="66" t="str">
        <x:v>Art. 4º, V; art. 7º, §2º, III; §4º, II; §5º.</x:v>
      </x:c>
      <x:c r="F13" s="26" t="n">
        <x:f>IF(C13="Atende",5,IF(C13="Parcial",2.5,0))</x:f>
        <x:v>0</x:v>
      </x:c>
      <x:c r="G13" s="26" t="str"/>
      <x:c r="H13" s="57" t="str">
        <x:v>Toda manifestação é registrada com número de protocolo, é classificada por tipo e passa por análise preliminar, com critérios para arquivamento fundamentado e para o tratamento de manifestações anônimas</x:v>
      </x:c>
      <x:c r="I13" s="66" t="str">
        <x:v>Art. 11; art. 13, II.</x:v>
      </x:c>
      <x:c r="J13" s="26" t="n">
        <x:f>IF(G13="Atende",3,IF(G13="Parcial",1.5,0))</x:f>
        <x:v>0</x:v>
      </x:c>
      <x:c r="K13" s="26" t="str"/>
      <x:c r="L13" s="57" t="str">
        <x:v>Há fluxo formalizado e efetivamente utilizado, contemplando, no mínimo, recebimento, registro, encaminhamento à área competente, acompanhamento da resposta e devolutiva ao(à) manifestante, quando aplicável</x:v>
      </x:c>
      <x:c r="M13" s="66" t="str">
        <x:v>Art. 13, I a V e parágrafo único.</x:v>
      </x:c>
      <x:c r="N13" s="26" t="n">
        <x:f>IF(K13="Atende",3,IF(K13="Parcial",1.5,0))</x:f>
        <x:v>0</x:v>
      </x:c>
      <x:c r="O13" s="26" t="str"/>
      <x:c r="P13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13" s="66" t="str">
        <x:v>Art. 4º, §2º; art. 7º, §4º, II e III; §5º.</x:v>
      </x:c>
      <x:c r="R13" s="26" t="n">
        <x:f>IF(O13="Atende",4,IF(O13="Parcial",2.0,0))</x:f>
        <x:v>0</x:v>
      </x:c>
      <x:c r="S13" s="26" t="str"/>
      <x:c r="T13" s="57" t="str">
        <x:v>5</x:v>
      </x:c>
      <x:c r="U13" s="66" t="str">
        <x:v>Art. 7º, §4º, I.</x:v>
      </x:c>
      <x:c r="V13" s="26" t="n">
        <x:f>IF(S13="Atende",4,IF(S13="Parcial",2.0,0))</x:f>
        <x:v>0</x:v>
      </x:c>
      <x:c r="W13" s="26" t="str"/>
      <x:c r="X13" s="57" t="str">
        <x:v>2</x:v>
      </x:c>
      <x:c r="Y13" s="66" t="str">
        <x:v>Art. 7º, §6º, I.</x:v>
      </x:c>
      <x:c r="Z13" s="26" t="n">
        <x:f>IF(W13="Atende",2,IF(W13="Parcial",1.0,0))</x:f>
        <x:v>0</x:v>
      </x:c>
      <x:c r="AA13" s="26" t="str"/>
      <x:c r="AB13" s="57" t="str">
        <x:v>0</x:v>
      </x:c>
      <x:c r="AC13" s="66" t="str">
        <x:v>Art. 7º, §6º, I — impressora multifuncional; scanner autônomo não é citado expressamente.</x:v>
      </x:c>
      <x:c r="AD13" s="26" t="n">
        <x:f>IF(AA13="Atende",2,IF(AA13="Parcial",1.0,0))</x:f>
        <x:v>0</x:v>
      </x:c>
      <x:c r="AE13" s="26" t="str"/>
      <x:c r="AF13" s="57" t="str">
        <x:v>1</x:v>
      </x:c>
      <x:c r="AG13" s="66" t="str">
        <x:v>Art. 7º, §6º, IV.</x:v>
      </x:c>
      <x:c r="AH13" s="26" t="n">
        <x:f>IF(AE13="Atende",2,IF(AE13="Parcial",1.0,0))</x:f>
        <x:v>0</x:v>
      </x:c>
      <x:c r="AI13" s="26" t="n">
        <x:f>SUM(F13,J13,N13,R13,V13,Z13,AD13,AH13)</x:f>
        <x:v>0</x:v>
      </x:c>
      <x:c r="AJ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Utiliza apenas outro sistema eletrônico de ouvidoria (estadual ou próprio do órgão);</x:v>
      </x:c>
      <x:c r="E14" s="66" t="str">
        <x:v>Art. 4º, V; art. 7º, §2º, III; §4º, II; §5º.</x:v>
      </x:c>
      <x:c r="F14" s="26" t="n">
        <x:f>IF(C14="Atende",5,IF(C14="Parcial",2.5,0))</x:f>
        <x:v>0</x:v>
      </x:c>
      <x:c r="G14" s="26" t="str"/>
      <x:c r="H14" s="57" t="str">
        <x:v>Toda manifestação é registrada com número de protocolo, é classificada por tipo e passa por análise preliminar, com critérios para arquivamento fundamentado e para o tratamento de manifestações anônimas</x:v>
      </x:c>
      <x:c r="I14" s="66" t="str">
        <x:v>Art. 11; art. 13, II.</x:v>
      </x:c>
      <x:c r="J14" s="26" t="n">
        <x:f>IF(G14="Atende",3,IF(G14="Parcial",1.5,0))</x:f>
        <x:v>0</x:v>
      </x:c>
      <x:c r="K14" s="26" t="str"/>
      <x:c r="L14" s="57" t="str">
        <x:v>Há fluxo formalizado e efetivamente utilizado, contemplando, no mínimo, recebimento, registro, encaminhamento à área competente, acompanhamento da resposta e devolutiva ao(à) manifestante, quando aplicável</x:v>
      </x:c>
      <x:c r="M14" s="66" t="str">
        <x:v>Art. 13, I a V e parágrafo único.</x:v>
      </x:c>
      <x:c r="N14" s="26" t="n">
        <x:f>IF(K14="Atende",3,IF(K14="Parcial",1.5,0))</x:f>
        <x:v>0</x:v>
      </x:c>
      <x:c r="O14" s="26" t="str"/>
      <x:c r="P14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14" s="66" t="str">
        <x:v>Art. 4º, §2º; art. 7º, §4º, II e III; §5º.</x:v>
      </x:c>
      <x:c r="R14" s="26" t="n">
        <x:f>IF(O14="Atende",4,IF(O14="Parcial",2.0,0))</x:f>
        <x:v>0</x:v>
      </x:c>
      <x:c r="S14" s="26" t="str"/>
      <x:c r="T14" s="57" t="str">
        <x:v>3</x:v>
      </x:c>
      <x:c r="U14" s="66" t="str">
        <x:v>Art. 7º, §4º, I.</x:v>
      </x:c>
      <x:c r="V14" s="26" t="n">
        <x:f>IF(S14="Atende",4,IF(S14="Parcial",2.0,0))</x:f>
        <x:v>0</x:v>
      </x:c>
      <x:c r="W14" s="26" t="str"/>
      <x:c r="X14" s="57" t="str">
        <x:v>3</x:v>
      </x:c>
      <x:c r="Y14" s="66" t="str">
        <x:v>Art. 7º, §6º, I.</x:v>
      </x:c>
      <x:c r="Z14" s="26" t="n">
        <x:f>IF(W14="Atende",2,IF(W14="Parcial",1.0,0))</x:f>
        <x:v>0</x:v>
      </x:c>
      <x:c r="AA14" s="26" t="str"/>
      <x:c r="AB14" s="57" t="str">
        <x:v>3</x:v>
      </x:c>
      <x:c r="AC14" s="66" t="str">
        <x:v>Art. 7º, §6º, I — impressora multifuncional; scanner autônomo não é citado expressamente.</x:v>
      </x:c>
      <x:c r="AD14" s="26" t="n">
        <x:f>IF(AA14="Atende",2,IF(AA14="Parcial",1.0,0))</x:f>
        <x:v>0</x:v>
      </x:c>
      <x:c r="AE14" s="26" t="str"/>
      <x:c r="AF14" s="57" t="str">
        <x:v>2</x:v>
      </x:c>
      <x:c r="AG14" s="66" t="str">
        <x:v>Art. 7º, §6º, IV.</x:v>
      </x:c>
      <x:c r="AH14" s="26" t="n">
        <x:f>IF(AE14="Atende",2,IF(AE14="Parcial",1.0,0))</x:f>
        <x:v>0</x:v>
      </x:c>
      <x:c r="AI14" s="26" t="n">
        <x:f>SUM(F14,J14,N14,R14,V14,Z14,AD14,AH14)</x:f>
        <x:v>0</x:v>
      </x:c>
      <x:c r="AJ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Utiliza apenas outro sistema eletrônico de ouvidoria (estadual ou próprio do órgão);</x:v>
      </x:c>
      <x:c r="E15" s="66" t="str">
        <x:v>Art. 4º, V; art. 7º, §2º, III; §4º, II; §5º.</x:v>
      </x:c>
      <x:c r="F15" s="26" t="n">
        <x:f>IF(C15="Atende",5,IF(C15="Parcial",2.5,0))</x:f>
        <x:v>0</x:v>
      </x:c>
      <x:c r="G15" s="26" t="str"/>
      <x:c r="H15" s="57" t="str">
        <x:v>Toda manifestação é registrada com número de protocolo, é classificada por tipo e passa por análise preliminar, com critérios para arquivamento fundamentado e para o tratamento de manifestações anônimas</x:v>
      </x:c>
      <x:c r="I15" s="66" t="str">
        <x:v>Art. 11; art. 13, II.</x:v>
      </x:c>
      <x:c r="J15" s="26" t="n">
        <x:f>IF(G15="Atende",3,IF(G15="Parcial",1.5,0))</x:f>
        <x:v>0</x:v>
      </x:c>
      <x:c r="K15" s="26" t="str"/>
      <x:c r="L15" s="57" t="str">
        <x:v>Há fluxo formalizado e efetivamente utilizado, contemplando, no mínimo, recebimento, registro, encaminhamento à área competente, acompanhamento da resposta e devolutiva ao(à) manifestante, quando aplicável</x:v>
      </x:c>
      <x:c r="M15" s="66" t="str">
        <x:v>Art. 13, I a V e parágrafo único.</x:v>
      </x:c>
      <x:c r="N15" s="26" t="n">
        <x:f>IF(K15="Atende",3,IF(K15="Parcial",1.5,0))</x:f>
        <x:v>0</x:v>
      </x:c>
      <x:c r="O15" s="26" t="str"/>
      <x:c r="P15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15" s="66" t="str">
        <x:v>Art. 4º, §2º; art. 7º, §4º, II e III; §5º.</x:v>
      </x:c>
      <x:c r="R15" s="26" t="n">
        <x:f>IF(O15="Atende",4,IF(O15="Parcial",2.0,0))</x:f>
        <x:v>0</x:v>
      </x:c>
      <x:c r="S15" s="26" t="str"/>
      <x:c r="T15" s="57" t="str">
        <x:v>4</x:v>
      </x:c>
      <x:c r="U15" s="66" t="str">
        <x:v>Art. 7º, §4º, I.</x:v>
      </x:c>
      <x:c r="V15" s="26" t="n">
        <x:f>IF(S15="Atende",4,IF(S15="Parcial",2.0,0))</x:f>
        <x:v>0</x:v>
      </x:c>
      <x:c r="W15" s="26" t="str"/>
      <x:c r="X15" s="57" t="str">
        <x:v>1</x:v>
      </x:c>
      <x:c r="Y15" s="66" t="str">
        <x:v>Art. 7º, §6º, I.</x:v>
      </x:c>
      <x:c r="Z15" s="26" t="n">
        <x:f>IF(W15="Atende",2,IF(W15="Parcial",1.0,0))</x:f>
        <x:v>0</x:v>
      </x:c>
      <x:c r="AA15" s="26" t="str"/>
      <x:c r="AB15" s="57" t="str">
        <x:v>1</x:v>
      </x:c>
      <x:c r="AC15" s="66" t="str">
        <x:v>Art. 7º, §6º, I — impressora multifuncional; scanner autônomo não é citado expressamente.</x:v>
      </x:c>
      <x:c r="AD15" s="26" t="n">
        <x:f>IF(AA15="Atende",2,IF(AA15="Parcial",1.0,0))</x:f>
        <x:v>0</x:v>
      </x:c>
      <x:c r="AE15" s="26" t="str"/>
      <x:c r="AF15" s="57" t="str">
        <x:v>1</x:v>
      </x:c>
      <x:c r="AG15" s="66" t="str">
        <x:v>Art. 7º, §6º, IV.</x:v>
      </x:c>
      <x:c r="AH15" s="26" t="n">
        <x:f>IF(AE15="Atende",2,IF(AE15="Parcial",1.0,0))</x:f>
        <x:v>0</x:v>
      </x:c>
      <x:c r="AI15" s="26" t="n">
        <x:f>SUM(F15,J15,N15,R15,V15,Z15,AD15,AH15)</x:f>
        <x:v>0</x:v>
      </x:c>
      <x:c r="AJ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Não possui canal próprio na Fala.BR, mas utiliza o canal Fala.BR da Ouvidoria-Geral do Estado ou outra ouvidoria central;Utiliza apenas outro sistema eletrônico de ouvidoria (estadual ou próprio do órgão);</x:v>
      </x:c>
      <x:c r="E16" s="66" t="str">
        <x:v>Art. 4º, V; art. 7º, §2º, III; §4º, II; §5º.</x:v>
      </x:c>
      <x:c r="F16" s="26" t="n">
        <x:f>IF(C16="Atende",5,IF(C16="Parcial",2.5,0))</x:f>
        <x:v>0</x:v>
      </x:c>
      <x:c r="G16" s="26" t="str"/>
      <x:c r="H16" s="57" t="str">
        <x:v>Toda manifestação é registrada com número de protocolo, é classificada por tipo e passa por análise preliminar, com critérios para arquivamento fundamentado e para o tratamento de manifestações anônimas</x:v>
      </x:c>
      <x:c r="I16" s="66" t="str">
        <x:v>Art. 11; art. 13, II.</x:v>
      </x:c>
      <x:c r="J16" s="26" t="n">
        <x:f>IF(G16="Atende",3,IF(G16="Parcial",1.5,0))</x:f>
        <x:v>0</x:v>
      </x:c>
      <x:c r="K16" s="26" t="str"/>
      <x:c r="L16" s="57" t="str">
        <x:v>Há fluxo formalizado e efetivamente utilizado, contemplando, no mínimo, recebimento, registro, encaminhamento à área competente, acompanhamento da resposta e devolutiva ao(à) manifestante, quando aplicável</x:v>
      </x:c>
      <x:c r="M16" s="66" t="str">
        <x:v>Art. 13, I a V e parágrafo único.</x:v>
      </x:c>
      <x:c r="N16" s="26" t="n">
        <x:f>IF(K16="Atende",3,IF(K16="Parcial",1.5,0))</x:f>
        <x:v>0</x:v>
      </x:c>
      <x:c r="O16" s="26" t="str"/>
      <x:c r="P16" s="57" t="str">
        <x:v>Antivírus institucional instalado nas estações de trabalho;Acesso restrito a pastas/sistemas que contenham manifestações;Mecanismos de autenticação e controle de acesso aos dados;Rotina de backup periódico dos dados da Ouvidoria;Política interna ou instruções sobre tratamento de dados pessoais;</x:v>
      </x:c>
      <x:c r="Q16" s="66" t="str">
        <x:v>Art. 4º, §2º; art. 7º, §4º, II e III; §5º.</x:v>
      </x:c>
      <x:c r="R16" s="26" t="n">
        <x:f>IF(O16="Atende",4,IF(O16="Parcial",2.0,0))</x:f>
        <x:v>0</x:v>
      </x:c>
      <x:c r="S16" s="26" t="str"/>
      <x:c r="T16" s="57" t="str">
        <x:v>9</x:v>
      </x:c>
      <x:c r="U16" s="66" t="str">
        <x:v>Art. 7º, §4º, I.</x:v>
      </x:c>
      <x:c r="V16" s="26" t="n">
        <x:f>IF(S16="Atende",4,IF(S16="Parcial",2.0,0))</x:f>
        <x:v>0</x:v>
      </x:c>
      <x:c r="W16" s="26" t="str"/>
      <x:c r="X16" s="57" t="str">
        <x:v>1</x:v>
      </x:c>
      <x:c r="Y16" s="66" t="str">
        <x:v>Art. 7º, §6º, I.</x:v>
      </x:c>
      <x:c r="Z16" s="26" t="n">
        <x:f>IF(W16="Atende",2,IF(W16="Parcial",1.0,0))</x:f>
        <x:v>0</x:v>
      </x:c>
      <x:c r="AA16" s="26" t="str"/>
      <x:c r="AB16" s="57" t="str">
        <x:v>1</x:v>
      </x:c>
      <x:c r="AC16" s="66" t="str">
        <x:v>Art. 7º, §6º, I — impressora multifuncional; scanner autônomo não é citado expressamente.</x:v>
      </x:c>
      <x:c r="AD16" s="26" t="n">
        <x:f>IF(AA16="Atende",2,IF(AA16="Parcial",1.0,0))</x:f>
        <x:v>0</x:v>
      </x:c>
      <x:c r="AE16" s="26" t="str"/>
      <x:c r="AF16" s="57" t="str">
        <x:v>1</x:v>
      </x:c>
      <x:c r="AG16" s="66" t="str">
        <x:v>Art. 7º, §6º, IV.</x:v>
      </x:c>
      <x:c r="AH16" s="26" t="n">
        <x:f>IF(AE16="Atende",2,IF(AE16="Parcial",1.0,0))</x:f>
        <x:v>0</x:v>
      </x:c>
      <x:c r="AI16" s="26" t="n">
        <x:f>SUM(F16,J16,N16,R16,V16,Z16,AD16,AH16)</x:f>
        <x:v>0</x:v>
      </x:c>
      <x:c r="AJ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Utiliza apenas outro sistema eletrônico de ouvidoria (estadual ou próprio do órgão);</x:v>
      </x:c>
      <x:c r="E17" s="66" t="str">
        <x:v>Art. 4º, V; art. 7º, §2º, III; §4º, II; §5º.</x:v>
      </x:c>
      <x:c r="F17" s="26" t="n">
        <x:f>IF(C17="Atende",5,IF(C17="Parcial",2.5,0))</x:f>
        <x:v>0</x:v>
      </x:c>
      <x:c r="G17" s="26" t="str"/>
      <x:c r="H17" s="57" t="str">
        <x:v>Toda manifestação é registrada com número de protocolo, é classificada por tipo e passa por análise preliminar, com critérios para arquivamento fundamentado e para o tratamento de manifestações anônimas</x:v>
      </x:c>
      <x:c r="I17" s="66" t="str">
        <x:v>Art. 11; art. 13, II.</x:v>
      </x:c>
      <x:c r="J17" s="26" t="n">
        <x:f>IF(G17="Atende",3,IF(G17="Parcial",1.5,0))</x:f>
        <x:v>0</x:v>
      </x:c>
      <x:c r="K17" s="26" t="str"/>
      <x:c r="L17" s="57" t="str">
        <x:v>Há fluxo formalizado e efetivamente utilizado, contemplando, no mínimo, recebimento, registro, encaminhamento à área competente, acompanhamento da resposta e devolutiva ao(à) manifestante, quando aplicável</x:v>
      </x:c>
      <x:c r="M17" s="66" t="str">
        <x:v>Art. 13, I a V e parágrafo único.</x:v>
      </x:c>
      <x:c r="N17" s="26" t="n">
        <x:f>IF(K17="Atende",3,IF(K17="Parcial",1.5,0))</x:f>
        <x:v>0</x:v>
      </x:c>
      <x:c r="O17" s="26" t="str"/>
      <x:c r="P17" s="57" t="str">
        <x:v>Antivírus institucional instalado nas estações de trabalho;Mecanismos de autenticação e controle de acesso aos dados;Acesso restrito a pastas/sistemas que contenham manifestações;Política interna ou instruções sobre tratamento de dados pessoais;</x:v>
      </x:c>
      <x:c r="Q17" s="66" t="str">
        <x:v>Art. 4º, §2º; art. 7º, §4º, II e III; §5º.</x:v>
      </x:c>
      <x:c r="R17" s="26" t="n">
        <x:f>IF(O17="Atende",4,IF(O17="Parcial",2.0,0))</x:f>
        <x:v>0</x:v>
      </x:c>
      <x:c r="S17" s="26" t="str"/>
      <x:c r="T17" s="57" t="str">
        <x:v>5</x:v>
      </x:c>
      <x:c r="U17" s="66" t="str">
        <x:v>Art. 7º, §4º, I.</x:v>
      </x:c>
      <x:c r="V17" s="26" t="n">
        <x:f>IF(S17="Atende",4,IF(S17="Parcial",2.0,0))</x:f>
        <x:v>0</x:v>
      </x:c>
      <x:c r="W17" s="26" t="str"/>
      <x:c r="X17" s="57" t="str">
        <x:v>1</x:v>
      </x:c>
      <x:c r="Y17" s="66" t="str">
        <x:v>Art. 7º, §6º, I.</x:v>
      </x:c>
      <x:c r="Z17" s="26" t="n">
        <x:f>IF(W17="Atende",2,IF(W17="Parcial",1.0,0))</x:f>
        <x:v>0</x:v>
      </x:c>
      <x:c r="AA17" s="26" t="str"/>
      <x:c r="AB17" s="57" t="str">
        <x:v>1</x:v>
      </x:c>
      <x:c r="AC17" s="66" t="str">
        <x:v>Art. 7º, §6º, I — impressora multifuncional; scanner autônomo não é citado expressamente.</x:v>
      </x:c>
      <x:c r="AD17" s="26" t="n">
        <x:f>IF(AA17="Atende",2,IF(AA17="Parcial",1.0,0))</x:f>
        <x:v>0</x:v>
      </x:c>
      <x:c r="AE17" s="26" t="str"/>
      <x:c r="AF17" s="57" t="str">
        <x:v>1</x:v>
      </x:c>
      <x:c r="AG17" s="66" t="str">
        <x:v>Art. 7º, §6º, IV.</x:v>
      </x:c>
      <x:c r="AH17" s="26" t="n">
        <x:f>IF(AE17="Atende",2,IF(AE17="Parcial",1.0,0))</x:f>
        <x:v>0</x:v>
      </x:c>
      <x:c r="AI17" s="26" t="n">
        <x:f>SUM(F17,J17,N17,R17,V17,Z17,AD17,AH17)</x:f>
        <x:v>0</x:v>
      </x:c>
      <x:c r="AJ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Possui canal próprio na Plataforma Fala.BR (CGU);</x:v>
      </x:c>
      <x:c r="E18" s="66" t="str">
        <x:v>Art. 4º, V; art. 7º, §2º, III; §4º, II; §5º.</x:v>
      </x:c>
      <x:c r="F18" s="26" t="n">
        <x:f>IF(C18="Atende",5,IF(C18="Parcial",2.5,0))</x:f>
        <x:v>0</x:v>
      </x:c>
      <x:c r="G18" s="26" t="str"/>
      <x:c r="H18" s="57" t="str">
        <x:v>Toda manifestação é registrada com número de protocolo, é classificada por tipo e passa por análise preliminar, com critérios para arquivamento fundamentado e para o tratamento de manifestações anônimas</x:v>
      </x:c>
      <x:c r="I18" s="66" t="str">
        <x:v>Art. 11; art. 13, II.</x:v>
      </x:c>
      <x:c r="J18" s="26" t="n">
        <x:f>IF(G18="Atende",3,IF(G18="Parcial",1.5,0))</x:f>
        <x:v>0</x:v>
      </x:c>
      <x:c r="K18" s="26" t="str"/>
      <x:c r="L18" s="57" t="str">
        <x:v>Há fluxo formalizado e efetivamente utilizado, contemplando, no mínimo, recebimento, registro, encaminhamento à área competente, acompanhamento da resposta e devolutiva ao(à) manifestante, quando aplicável</x:v>
      </x:c>
      <x:c r="M18" s="66" t="str">
        <x:v>Art. 13, I a V e parágrafo único.</x:v>
      </x:c>
      <x:c r="N18" s="26" t="n">
        <x:f>IF(K18="Atende",3,IF(K18="Parcial",1.5,0))</x:f>
        <x:v>0</x:v>
      </x:c>
      <x:c r="O18" s="26" t="str"/>
      <x:c r="P18" s="57" t="str">
        <x:v>Acesso restrito a pastas/sistemas que contenham manifestações;</x:v>
      </x:c>
      <x:c r="Q18" s="66" t="str">
        <x:v>Art. 4º, §2º; art. 7º, §4º, II e III; §5º.</x:v>
      </x:c>
      <x:c r="R18" s="26" t="n">
        <x:f>IF(O18="Atende",4,IF(O18="Parcial",2.0,0))</x:f>
        <x:v>0</x:v>
      </x:c>
      <x:c r="S18" s="26" t="str"/>
      <x:c r="T18" s="57" t="str">
        <x:v>3</x:v>
      </x:c>
      <x:c r="U18" s="66" t="str">
        <x:v>Art. 7º, §4º, I.</x:v>
      </x:c>
      <x:c r="V18" s="26" t="n">
        <x:f>IF(S18="Atende",4,IF(S18="Parcial",2.0,0))</x:f>
        <x:v>0</x:v>
      </x:c>
      <x:c r="W18" s="26" t="str"/>
      <x:c r="X18" s="57" t="str">
        <x:v>1</x:v>
      </x:c>
      <x:c r="Y18" s="66" t="str">
        <x:v>Art. 7º, §6º, I.</x:v>
      </x:c>
      <x:c r="Z18" s="26" t="n">
        <x:f>IF(W18="Atende",2,IF(W18="Parcial",1.0,0))</x:f>
        <x:v>0</x:v>
      </x:c>
      <x:c r="AA18" s="26" t="str"/>
      <x:c r="AB18" s="57" t="str">
        <x:v>0</x:v>
      </x:c>
      <x:c r="AC18" s="66" t="str">
        <x:v>Art. 7º, §6º, I — impressora multifuncional; scanner autônomo não é citado expressamente.</x:v>
      </x:c>
      <x:c r="AD18" s="26" t="n">
        <x:f>IF(AA18="Atende",2,IF(AA18="Parcial",1.0,0))</x:f>
        <x:v>0</x:v>
      </x:c>
      <x:c r="AE18" s="26" t="str"/>
      <x:c r="AF18" s="57" t="str">
        <x:v>2</x:v>
      </x:c>
      <x:c r="AG18" s="66" t="str">
        <x:v>Art. 7º, §6º, IV.</x:v>
      </x:c>
      <x:c r="AH18" s="26" t="n">
        <x:f>IF(AE18="Atende",2,IF(AE18="Parcial",1.0,0))</x:f>
        <x:v>0</x:v>
      </x:c>
      <x:c r="AI18" s="26" t="n">
        <x:f>SUM(F18,J18,N18,R18,V18,Z18,AD18,AH18)</x:f>
        <x:v>0</x:v>
      </x:c>
      <x:c r="AJ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Possui canal próprio na Plataforma Fala.BR (CGU);</x:v>
      </x:c>
      <x:c r="E19" s="66" t="str">
        <x:v>Art. 4º, V; art. 7º, §2º, III; §4º, II; §5º.</x:v>
      </x:c>
      <x:c r="F19" s="26" t="n">
        <x:f>IF(C19="Atende",5,IF(C19="Parcial",2.5,0))</x:f>
        <x:v>0</x:v>
      </x:c>
      <x:c r="G19" s="26" t="str"/>
      <x:c r="H19" s="57" t="str">
        <x:v>Toda manifestação é registrada com número de protocolo, é classificada por tipo e passa por análise preliminar, com critérios para arquivamento fundamentado e para o tratamento de manifestações anônimas</x:v>
      </x:c>
      <x:c r="I19" s="66" t="str">
        <x:v>Art. 11; art. 13, II.</x:v>
      </x:c>
      <x:c r="J19" s="26" t="n">
        <x:f>IF(G19="Atende",3,IF(G19="Parcial",1.5,0))</x:f>
        <x:v>0</x:v>
      </x:c>
      <x:c r="K19" s="26" t="str"/>
      <x:c r="L19" s="57" t="str">
        <x:v>Há fluxo formalizado e efetivamente utilizado, contemplando, no mínimo, recebimento, registro, encaminhamento à área competente, acompanhamento da resposta e devolutiva ao(à) manifestante, quando aplicável</x:v>
      </x:c>
      <x:c r="M19" s="66" t="str">
        <x:v>Art. 13, I a V e parágrafo único.</x:v>
      </x:c>
      <x:c r="N19" s="26" t="n">
        <x:f>IF(K19="Atende",3,IF(K19="Parcial",1.5,0))</x:f>
        <x:v>0</x:v>
      </x:c>
      <x:c r="O19" s="26" t="str"/>
      <x:c r="P19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19" s="66" t="str">
        <x:v>Art. 4º, §2º; art. 7º, §4º, II e III; §5º.</x:v>
      </x:c>
      <x:c r="R19" s="26" t="n">
        <x:f>IF(O19="Atende",4,IF(O19="Parcial",2.0,0))</x:f>
        <x:v>0</x:v>
      </x:c>
      <x:c r="S19" s="26" t="str"/>
      <x:c r="T19" s="57" t="str">
        <x:v>5</x:v>
      </x:c>
      <x:c r="U19" s="66" t="str">
        <x:v>Art. 7º, §4º, I.</x:v>
      </x:c>
      <x:c r="V19" s="26" t="n">
        <x:f>IF(S19="Atende",4,IF(S19="Parcial",2.0,0))</x:f>
        <x:v>0</x:v>
      </x:c>
      <x:c r="W19" s="26" t="str"/>
      <x:c r="X19" s="57" t="str">
        <x:v>1</x:v>
      </x:c>
      <x:c r="Y19" s="66" t="str">
        <x:v>Art. 7º, §6º, I.</x:v>
      </x:c>
      <x:c r="Z19" s="26" t="n">
        <x:f>IF(W19="Atende",2,IF(W19="Parcial",1.0,0))</x:f>
        <x:v>0</x:v>
      </x:c>
      <x:c r="AA19" s="26" t="str"/>
      <x:c r="AB19" s="57" t="str">
        <x:v>0</x:v>
      </x:c>
      <x:c r="AC19" s="66" t="str">
        <x:v>Art. 7º, §6º, I — impressora multifuncional; scanner autônomo não é citado expressamente.</x:v>
      </x:c>
      <x:c r="AD19" s="26" t="n">
        <x:f>IF(AA19="Atende",2,IF(AA19="Parcial",1.0,0))</x:f>
        <x:v>0</x:v>
      </x:c>
      <x:c r="AE19" s="26" t="str"/>
      <x:c r="AF19" s="57" t="str">
        <x:v>1</x:v>
      </x:c>
      <x:c r="AG19" s="66" t="str">
        <x:v>Art. 7º, §6º, IV.</x:v>
      </x:c>
      <x:c r="AH19" s="26" t="n">
        <x:f>IF(AE19="Atende",2,IF(AE19="Parcial",1.0,0))</x:f>
        <x:v>0</x:v>
      </x:c>
      <x:c r="AI19" s="26" t="n">
        <x:f>SUM(F19,J19,N19,R19,V19,Z19,AD19,AH19)</x:f>
        <x:v>0</x:v>
      </x:c>
      <x:c r="AJ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Utiliza apenas outro sistema eletrônico de ouvidoria (estadual ou próprio do órgão);</x:v>
      </x:c>
      <x:c r="E20" s="66" t="str">
        <x:v>Art. 4º, V; art. 7º, §2º, III; §4º, II; §5º.</x:v>
      </x:c>
      <x:c r="F20" s="26" t="n">
        <x:f>IF(C20="Atende",5,IF(C20="Parcial",2.5,0))</x:f>
        <x:v>0</x:v>
      </x:c>
      <x:c r="G20" s="26" t="str"/>
      <x:c r="H20" s="57" t="str">
        <x:v>Toda manifestação é registrada com número de protocolo, é classificada por tipo e passa por análise preliminar, com critérios para arquivamento fundamentado e para o tratamento de manifestações anônimas</x:v>
      </x:c>
      <x:c r="I20" s="66" t="str">
        <x:v>Art. 11; art. 13, II.</x:v>
      </x:c>
      <x:c r="J20" s="26" t="n">
        <x:f>IF(G20="Atende",3,IF(G20="Parcial",1.5,0))</x:f>
        <x:v>0</x:v>
      </x:c>
      <x:c r="K20" s="26" t="str"/>
      <x:c r="L20" s="57" t="str">
        <x:v>Há fluxo formalizado e efetivamente utilizado, contemplando, no mínimo, recebimento, registro, encaminhamento à área competente, acompanhamento da resposta e devolutiva ao(à) manifestante, quando aplicável</x:v>
      </x:c>
      <x:c r="M20" s="66" t="str">
        <x:v>Art. 13, I a V e parágrafo único.</x:v>
      </x:c>
      <x:c r="N20" s="26" t="n">
        <x:f>IF(K20="Atende",3,IF(K20="Parcial",1.5,0))</x:f>
        <x:v>0</x:v>
      </x:c>
      <x:c r="O20" s="26" t="str"/>
      <x:c r="P20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20" s="66" t="str">
        <x:v>Art. 4º, §2º; art. 7º, §4º, II e III; §5º.</x:v>
      </x:c>
      <x:c r="R20" s="26" t="n">
        <x:f>IF(O20="Atende",4,IF(O20="Parcial",2.0,0))</x:f>
        <x:v>0</x:v>
      </x:c>
      <x:c r="S20" s="26" t="str"/>
      <x:c r="T20" s="57" t="str">
        <x:v>6</x:v>
      </x:c>
      <x:c r="U20" s="66" t="str">
        <x:v>Art. 7º, §4º, I.</x:v>
      </x:c>
      <x:c r="V20" s="26" t="n">
        <x:f>IF(S20="Atende",4,IF(S20="Parcial",2.0,0))</x:f>
        <x:v>0</x:v>
      </x:c>
      <x:c r="W20" s="26" t="str"/>
      <x:c r="X20" s="57" t="str">
        <x:v>0</x:v>
      </x:c>
      <x:c r="Y20" s="66" t="str">
        <x:v>Art. 7º, §6º, I.</x:v>
      </x:c>
      <x:c r="Z20" s="26" t="n">
        <x:f>IF(W20="Atende",2,IF(W20="Parcial",1.0,0))</x:f>
        <x:v>0</x:v>
      </x:c>
      <x:c r="AA20" s="26" t="str"/>
      <x:c r="AB20" s="57" t="str">
        <x:v>0</x:v>
      </x:c>
      <x:c r="AC20" s="66" t="str">
        <x:v>Art. 7º, §6º, I — impressora multifuncional; scanner autônomo não é citado expressamente.</x:v>
      </x:c>
      <x:c r="AD20" s="26" t="n">
        <x:f>IF(AA20="Atende",2,IF(AA20="Parcial",1.0,0))</x:f>
        <x:v>0</x:v>
      </x:c>
      <x:c r="AE20" s="26" t="str"/>
      <x:c r="AF20" s="57" t="str">
        <x:v>0</x:v>
      </x:c>
      <x:c r="AG20" s="66" t="str">
        <x:v>Art. 7º, §6º, IV.</x:v>
      </x:c>
      <x:c r="AH20" s="26" t="n">
        <x:f>IF(AE20="Atende",2,IF(AE20="Parcial",1.0,0))</x:f>
        <x:v>0</x:v>
      </x:c>
      <x:c r="AI20" s="26" t="n">
        <x:f>SUM(F20,J20,N20,R20,V20,Z20,AD20,AH20)</x:f>
        <x:v>0</x:v>
      </x:c>
      <x:c r="AJ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Não possui canal próprio na Fala.BR, mas utiliza o canal Fala.BR da Ouvidoria-Geral do Estado ou outra ouvidoria central;emails da secretaria;</x:v>
      </x:c>
      <x:c r="E21" s="66" t="str">
        <x:v>Art. 4º, V; art. 7º, §2º, III; §4º, II; §5º.</x:v>
      </x:c>
      <x:c r="F21" s="26" t="n">
        <x:f>IF(C21="Atende",5,IF(C21="Parcial",2.5,0))</x:f>
        <x:v>0</x:v>
      </x:c>
      <x:c r="G21" s="26" t="str"/>
      <x:c r="H21" s="57" t="str">
        <x:v>Não há Ouvidoria consituída</x:v>
      </x:c>
      <x:c r="I21" s="66" t="str">
        <x:v>Art. 11; art. 13, II.</x:v>
      </x:c>
      <x:c r="J21" s="26" t="n">
        <x:f>IF(G21="Atende",3,IF(G21="Parcial",1.5,0))</x:f>
        <x:v>0</x:v>
      </x:c>
      <x:c r="K21" s="26" t="str"/>
      <x:c r="L21" s="57" t="str">
        <x:v>Não há Ouvidoria consituída</x:v>
      </x:c>
      <x:c r="M21" s="66" t="str">
        <x:v>Art. 13, I a V e parágrafo único.</x:v>
      </x:c>
      <x:c r="N21" s="26" t="n">
        <x:f>IF(K21="Atende",3,IF(K21="Parcial",1.5,0))</x:f>
        <x:v>0</x:v>
      </x:c>
      <x:c r="O21" s="26" t="str"/>
      <x:c r="P21" s="57" t="str">
        <x:v>Antivírus institucional instalado nas estações de trabalho;Rotina de backup periódico dos dados da Ouvidoria;Acesso restrito a pastas/sistemas que contenham manifestações;Política interna ou instruções sobre tratamento de dados pessoais;Mecanismos de autenticação e controle de acesso aos dados;</x:v>
      </x:c>
      <x:c r="Q21" s="66" t="str">
        <x:v>Art. 4º, §2º; art. 7º, §4º, II e III; §5º.</x:v>
      </x:c>
      <x:c r="R21" s="26" t="n">
        <x:f>IF(O21="Atende",4,IF(O21="Parcial",2.0,0))</x:f>
        <x:v>0</x:v>
      </x:c>
      <x:c r="S21" s="26" t="str"/>
      <x:c r="T21" s="57" t="str">
        <x:v>0</x:v>
      </x:c>
      <x:c r="U21" s="66" t="str">
        <x:v>Art. 7º, §4º, I.</x:v>
      </x:c>
      <x:c r="V21" s="26" t="n">
        <x:f>IF(S21="Atende",4,IF(S21="Parcial",2.0,0))</x:f>
        <x:v>0</x:v>
      </x:c>
      <x:c r="W21" s="26" t="str"/>
      <x:c r="X21" s="57" t="str">
        <x:v>0</x:v>
      </x:c>
      <x:c r="Y21" s="66" t="str">
        <x:v>Art. 7º, §6º, I.</x:v>
      </x:c>
      <x:c r="Z21" s="26" t="n">
        <x:f>IF(W21="Atende",2,IF(W21="Parcial",1.0,0))</x:f>
        <x:v>0</x:v>
      </x:c>
      <x:c r="AA21" s="26" t="str"/>
      <x:c r="AB21" s="57" t="str">
        <x:v>0</x:v>
      </x:c>
      <x:c r="AC21" s="66" t="str">
        <x:v>Art. 7º, §6º, I — impressora multifuncional; scanner autônomo não é citado expressamente.</x:v>
      </x:c>
      <x:c r="AD21" s="26" t="n">
        <x:f>IF(AA21="Atende",2,IF(AA21="Parcial",1.0,0))</x:f>
        <x:v>0</x:v>
      </x:c>
      <x:c r="AE21" s="26" t="str"/>
      <x:c r="AF21" s="57" t="str">
        <x:v>0</x:v>
      </x:c>
      <x:c r="AG21" s="66" t="str">
        <x:v>Art. 7º, §6º, IV.</x:v>
      </x:c>
      <x:c r="AH21" s="26" t="n">
        <x:f>IF(AE21="Atende",2,IF(AE21="Parcial",1.0,0))</x:f>
        <x:v>0</x:v>
      </x:c>
      <x:c r="AI21" s="26" t="n">
        <x:f>SUM(F21,J21,N21,R21,V21,Z21,AD21,AH21)</x:f>
        <x:v>0</x:v>
      </x:c>
      <x:c r="AJ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Utiliza apenas outro sistema eletrônico de ouvidoria (estadual ou próprio do órgão);</x:v>
      </x:c>
      <x:c r="E22" s="66" t="str">
        <x:v>Art. 4º, V; art. 7º, §2º, III; §4º, II; §5º.</x:v>
      </x:c>
      <x:c r="F22" s="26" t="n">
        <x:f>IF(C22="Atende",5,IF(C22="Parcial",2.5,0))</x:f>
        <x:v>0</x:v>
      </x:c>
      <x:c r="G22" s="26" t="str"/>
      <x:c r="H22" s="57" t="str">
        <x:v>Toda manifestação é registrada com número de protocolo, é classificada por tipo e passa por análise preliminar, com critérios para arquivamento fundamentado e para o tratamento de manifestações anônimas</x:v>
      </x:c>
      <x:c r="I22" s="66" t="str">
        <x:v>Art. 11; art. 13, II.</x:v>
      </x:c>
      <x:c r="J22" s="26" t="n">
        <x:f>IF(G22="Atende",3,IF(G22="Parcial",1.5,0))</x:f>
        <x:v>0</x:v>
      </x:c>
      <x:c r="K22" s="26" t="str"/>
      <x:c r="L22" s="57" t="str">
        <x:v>Há fluxo formalizado e efetivamente utilizado, contemplando, no mínimo, recebimento, registro, encaminhamento à área competente, acompanhamento da resposta e devolutiva ao(à) manifestante, quando aplicável</x:v>
      </x:c>
      <x:c r="M22" s="66" t="str">
        <x:v>Art. 13, I a V e parágrafo único.</x:v>
      </x:c>
      <x:c r="N22" s="26" t="n">
        <x:f>IF(K22="Atende",3,IF(K22="Parcial",1.5,0))</x:f>
        <x:v>0</x:v>
      </x:c>
      <x:c r="O22" s="26" t="str"/>
      <x:c r="P22" s="57" t="str">
        <x:v>Rotina de backup periódico dos dados da Ouvidoria;Política interna ou instruções sobre tratamento de dados pessoais;</x:v>
      </x:c>
      <x:c r="Q22" s="66" t="str">
        <x:v>Art. 4º, §2º; art. 7º, §4º, II e III; §5º.</x:v>
      </x:c>
      <x:c r="R22" s="26" t="n">
        <x:f>IF(O22="Atende",4,IF(O22="Parcial",2.0,0))</x:f>
        <x:v>0</x:v>
      </x:c>
      <x:c r="S22" s="26" t="str"/>
      <x:c r="T22" s="57" t="str">
        <x:v>2</x:v>
      </x:c>
      <x:c r="U22" s="66" t="str">
        <x:v>Art. 7º, §4º, I.</x:v>
      </x:c>
      <x:c r="V22" s="26" t="n">
        <x:f>IF(S22="Atende",4,IF(S22="Parcial",2.0,0))</x:f>
        <x:v>0</x:v>
      </x:c>
      <x:c r="W22" s="26" t="str"/>
      <x:c r="X22" s="57" t="str">
        <x:v>1</x:v>
      </x:c>
      <x:c r="Y22" s="66" t="str">
        <x:v>Art. 7º, §6º, I.</x:v>
      </x:c>
      <x:c r="Z22" s="26" t="n">
        <x:f>IF(W22="Atende",2,IF(W22="Parcial",1.0,0))</x:f>
        <x:v>0</x:v>
      </x:c>
      <x:c r="AA22" s="26" t="str"/>
      <x:c r="AB22" s="57" t="str">
        <x:v>1</x:v>
      </x:c>
      <x:c r="AC22" s="66" t="str">
        <x:v>Art. 7º, §6º, I — impressora multifuncional; scanner autônomo não é citado expressamente.</x:v>
      </x:c>
      <x:c r="AD22" s="26" t="n">
        <x:f>IF(AA22="Atende",2,IF(AA22="Parcial",1.0,0))</x:f>
        <x:v>0</x:v>
      </x:c>
      <x:c r="AE22" s="26" t="str"/>
      <x:c r="AF22" s="57" t="str">
        <x:v>1</x:v>
      </x:c>
      <x:c r="AG22" s="66" t="str">
        <x:v>Art. 7º, §6º, IV.</x:v>
      </x:c>
      <x:c r="AH22" s="26" t="n">
        <x:f>IF(AE22="Atende",2,IF(AE22="Parcial",1.0,0))</x:f>
        <x:v>0</x:v>
      </x:c>
      <x:c r="AI22" s="26" t="n">
        <x:f>SUM(F22,J22,N22,R22,V22,Z22,AD22,AH22)</x:f>
        <x:v>0</x:v>
      </x:c>
      <x:c r="AJ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Utiliza apenas outro sistema eletrônico de ouvidoria (estadual ou próprio do órgão);</x:v>
      </x:c>
      <x:c r="E23" s="66" t="str">
        <x:v>Art. 4º, V; art. 7º, §2º, III; §4º, II; §5º.</x:v>
      </x:c>
      <x:c r="F23" s="26" t="n">
        <x:f>IF(C23="Atende",5,IF(C23="Parcial",2.5,0))</x:f>
        <x:v>0</x:v>
      </x:c>
      <x:c r="G23" s="26" t="str"/>
      <x:c r="H23" s="57" t="str">
        <x:v>Toda manifestação é registrada com número de protocolo, é classificada por tipo e passa por análise preliminar, com critérios para arquivamento fundamentado e para o tratamento de manifestações anônimas</x:v>
      </x:c>
      <x:c r="I23" s="66" t="str">
        <x:v>Art. 11; art. 13, II.</x:v>
      </x:c>
      <x:c r="J23" s="26" t="n">
        <x:f>IF(G23="Atende",3,IF(G23="Parcial",1.5,0))</x:f>
        <x:v>0</x:v>
      </x:c>
      <x:c r="K23" s="26" t="str"/>
      <x:c r="L23" s="57" t="str">
        <x:v>Há fluxo formalizado e efetivamente utilizado, contemplando, no mínimo, recebimento, registro, encaminhamento à área competente, acompanhamento da resposta e devolutiva ao(à) manifestante, quando aplicável</x:v>
      </x:c>
      <x:c r="M23" s="66" t="str">
        <x:v>Art. 13, I a V e parágrafo único.</x:v>
      </x:c>
      <x:c r="N23" s="26" t="n">
        <x:f>IF(K23="Atende",3,IF(K23="Parcial",1.5,0))</x:f>
        <x:v>0</x:v>
      </x:c>
      <x:c r="O23" s="26" t="str"/>
      <x:c r="P23" s="57" t="str">
        <x:v>Mecanismos de autenticação e controle de acesso aos dados;Acesso restrito a pastas/sistemas que contenham manifestações;</x:v>
      </x:c>
      <x:c r="Q23" s="66" t="str">
        <x:v>Art. 4º, §2º; art. 7º, §4º, II e III; §5º.</x:v>
      </x:c>
      <x:c r="R23" s="26" t="n">
        <x:f>IF(O23="Atende",4,IF(O23="Parcial",2.0,0))</x:f>
        <x:v>0</x:v>
      </x:c>
      <x:c r="S23" s="26" t="str"/>
      <x:c r="T23" s="57" t="str">
        <x:v>3</x:v>
      </x:c>
      <x:c r="U23" s="66" t="str">
        <x:v>Art. 7º, §4º, I.</x:v>
      </x:c>
      <x:c r="V23" s="26" t="n">
        <x:f>IF(S23="Atende",4,IF(S23="Parcial",2.0,0))</x:f>
        <x:v>0</x:v>
      </x:c>
      <x:c r="W23" s="26" t="str"/>
      <x:c r="X23" s="57" t="str">
        <x:v>1</x:v>
      </x:c>
      <x:c r="Y23" s="66" t="str">
        <x:v>Art. 7º, §6º, I.</x:v>
      </x:c>
      <x:c r="Z23" s="26" t="n">
        <x:f>IF(W23="Atende",2,IF(W23="Parcial",1.0,0))</x:f>
        <x:v>0</x:v>
      </x:c>
      <x:c r="AA23" s="26" t="str"/>
      <x:c r="AB23" s="57" t="str">
        <x:v>1</x:v>
      </x:c>
      <x:c r="AC23" s="66" t="str">
        <x:v>Art. 7º, §6º, I — impressora multifuncional; scanner autônomo não é citado expressamente.</x:v>
      </x:c>
      <x:c r="AD23" s="26" t="n">
        <x:f>IF(AA23="Atende",2,IF(AA23="Parcial",1.0,0))</x:f>
        <x:v>0</x:v>
      </x:c>
      <x:c r="AE23" s="26" t="str"/>
      <x:c r="AF23" s="57" t="str">
        <x:v>0</x:v>
      </x:c>
      <x:c r="AG23" s="66" t="str">
        <x:v>Art. 7º, §6º, IV.</x:v>
      </x:c>
      <x:c r="AH23" s="26" t="n">
        <x:f>IF(AE23="Atende",2,IF(AE23="Parcial",1.0,0))</x:f>
        <x:v>0</x:v>
      </x:c>
      <x:c r="AI23" s="26" t="n">
        <x:f>SUM(F23,J23,N23,R23,V23,Z23,AD23,AH23)</x:f>
        <x:v>0</x:v>
      </x:c>
      <x:c r="AJ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Utiliza apenas outro sistema eletrônico de ouvidoria (estadual ou próprio do órgão);</x:v>
      </x:c>
      <x:c r="E24" s="66" t="str">
        <x:v>Art. 4º, V; art. 7º, §2º, III; §4º, II; §5º.</x:v>
      </x:c>
      <x:c r="F24" s="26" t="n">
        <x:f>IF(C24="Atende",5,IF(C24="Parcial",2.5,0))</x:f>
        <x:v>0</x:v>
      </x:c>
      <x:c r="G24" s="26" t="str"/>
      <x:c r="H24" s="57" t="str">
        <x:v>Toda manifestação é registrada com número de protocolo, é classificada por tipo e passa por análise preliminar, com critérios para arquivamento fundamentado e para o tratamento de manifestações anônimas</x:v>
      </x:c>
      <x:c r="I24" s="66" t="str">
        <x:v>Art. 11; art. 13, II.</x:v>
      </x:c>
      <x:c r="J24" s="26" t="n">
        <x:f>IF(G24="Atende",3,IF(G24="Parcial",1.5,0))</x:f>
        <x:v>0</x:v>
      </x:c>
      <x:c r="K24" s="26" t="str"/>
      <x:c r="L24" s="57" t="str">
        <x:v>Há fluxo formalizado e efetivamente utilizado, contemplando, no mínimo, recebimento, registro, encaminhamento à área competente, acompanhamento da resposta e devolutiva ao(à) manifestante, quando aplicável</x:v>
      </x:c>
      <x:c r="M24" s="66" t="str">
        <x:v>Art. 13, I a V e parágrafo único.</x:v>
      </x:c>
      <x:c r="N24" s="26" t="n">
        <x:f>IF(K24="Atende",3,IF(K24="Parcial",1.5,0))</x:f>
        <x:v>0</x:v>
      </x:c>
      <x:c r="O24" s="26" t="str"/>
      <x:c r="P24" s="57" t="str">
        <x:v>Antivírus institucional instalado nas estações de trabalho;Acesso restrito a pastas/sistemas que contenham manifestações;</x:v>
      </x:c>
      <x:c r="Q24" s="66" t="str">
        <x:v>Art. 4º, §2º; art. 7º, §4º, II e III; §5º.</x:v>
      </x:c>
      <x:c r="R24" s="26" t="n">
        <x:f>IF(O24="Atende",4,IF(O24="Parcial",2.0,0))</x:f>
        <x:v>0</x:v>
      </x:c>
      <x:c r="S24" s="26" t="str"/>
      <x:c r="T24" s="57" t="str">
        <x:v>4</x:v>
      </x:c>
      <x:c r="U24" s="66" t="str">
        <x:v>Art. 7º, §4º, I.</x:v>
      </x:c>
      <x:c r="V24" s="26" t="n">
        <x:f>IF(S24="Atende",4,IF(S24="Parcial",2.0,0))</x:f>
        <x:v>0</x:v>
      </x:c>
      <x:c r="W24" s="26" t="str"/>
      <x:c r="X24" s="57" t="str">
        <x:v>1</x:v>
      </x:c>
      <x:c r="Y24" s="66" t="str">
        <x:v>Art. 7º, §6º, I.</x:v>
      </x:c>
      <x:c r="Z24" s="26" t="n">
        <x:f>IF(W24="Atende",2,IF(W24="Parcial",1.0,0))</x:f>
        <x:v>0</x:v>
      </x:c>
      <x:c r="AA24" s="26" t="str"/>
      <x:c r="AB24" s="57" t="str">
        <x:v>1</x:v>
      </x:c>
      <x:c r="AC24" s="66" t="str">
        <x:v>Art. 7º, §6º, I — impressora multifuncional; scanner autônomo não é citado expressamente.</x:v>
      </x:c>
      <x:c r="AD24" s="26" t="n">
        <x:f>IF(AA24="Atende",2,IF(AA24="Parcial",1.0,0))</x:f>
        <x:v>0</x:v>
      </x:c>
      <x:c r="AE24" s="26" t="str"/>
      <x:c r="AF24" s="57" t="str">
        <x:v>1</x:v>
      </x:c>
      <x:c r="AG24" s="66" t="str">
        <x:v>Art. 7º, §6º, IV.</x:v>
      </x:c>
      <x:c r="AH24" s="26" t="n">
        <x:f>IF(AE24="Atende",2,IF(AE24="Parcial",1.0,0))</x:f>
        <x:v>0</x:v>
      </x:c>
      <x:c r="AI24" s="26" t="n">
        <x:f>SUM(F24,J24,N24,R24,V24,Z24,AD24,AH24)</x:f>
        <x:v>0</x:v>
      </x:c>
      <x:c r="AJ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Possui canal próprio na Plataforma Fala.BR (CGU);</x:v>
      </x:c>
      <x:c r="E25" s="66" t="str">
        <x:v>Art. 4º, V; art. 7º, §2º, III; §4º, II; §5º.</x:v>
      </x:c>
      <x:c r="F25" s="26" t="n">
        <x:f>IF(C25="Atende",5,IF(C25="Parcial",2.5,0))</x:f>
        <x:v>0</x:v>
      </x:c>
      <x:c r="G25" s="26" t="str"/>
      <x:c r="H25" s="57" t="str">
        <x:v>Toda manifestação é registrada com número de protocolo, é classificada por tipo e passa por análise preliminar, com critérios para arquivamento fundamentado e para o tratamento de manifestações anônimas</x:v>
      </x:c>
      <x:c r="I25" s="66" t="str">
        <x:v>Art. 11; art. 13, II.</x:v>
      </x:c>
      <x:c r="J25" s="26" t="n">
        <x:f>IF(G25="Atende",3,IF(G25="Parcial",1.5,0))</x:f>
        <x:v>0</x:v>
      </x:c>
      <x:c r="K25" s="26" t="str"/>
      <x:c r="L25" s="57" t="str">
        <x:v>Há fluxo formalizado e efetivamente utilizado, contemplando, no mínimo, recebimento, registro, encaminhamento à área competente, acompanhamento da resposta e devolutiva ao(à) manifestante, quando aplicável</x:v>
      </x:c>
      <x:c r="M25" s="66" t="str">
        <x:v>Art. 13, I a V e parágrafo único.</x:v>
      </x:c>
      <x:c r="N25" s="26" t="n">
        <x:f>IF(K25="Atende",3,IF(K25="Parcial",1.5,0))</x:f>
        <x:v>0</x:v>
      </x:c>
      <x:c r="O25" s="26" t="str"/>
      <x:c r="P25" s="57" t="str">
        <x:v>Antivírus institucional instalado nas estações de trabalho;Acesso restrito a pastas/sistemas que contenham manifestações;Política interna ou instruções sobre tratamento de dados pessoais;</x:v>
      </x:c>
      <x:c r="Q25" s="66" t="str">
        <x:v>Art. 4º, §2º; art. 7º, §4º, II e III; §5º.</x:v>
      </x:c>
      <x:c r="R25" s="26" t="n">
        <x:f>IF(O25="Atende",4,IF(O25="Parcial",2.0,0))</x:f>
        <x:v>0</x:v>
      </x:c>
      <x:c r="S25" s="26" t="str"/>
      <x:c r="T25" s="57" t="str">
        <x:v>1</x:v>
      </x:c>
      <x:c r="U25" s="66" t="str">
        <x:v>Art. 7º, §4º, I.</x:v>
      </x:c>
      <x:c r="V25" s="26" t="n">
        <x:f>IF(S25="Atende",4,IF(S25="Parcial",2.0,0))</x:f>
        <x:v>0</x:v>
      </x:c>
      <x:c r="W25" s="26" t="str"/>
      <x:c r="X25" s="57" t="str">
        <x:v>1</x:v>
      </x:c>
      <x:c r="Y25" s="66" t="str">
        <x:v>Art. 7º, §6º, I.</x:v>
      </x:c>
      <x:c r="Z25" s="26" t="n">
        <x:f>IF(W25="Atende",2,IF(W25="Parcial",1.0,0))</x:f>
        <x:v>0</x:v>
      </x:c>
      <x:c r="AA25" s="26" t="str"/>
      <x:c r="AB25" s="57" t="str">
        <x:v>1</x:v>
      </x:c>
      <x:c r="AC25" s="66" t="str">
        <x:v>Art. 7º, §6º, I — impressora multifuncional; scanner autônomo não é citado expressamente.</x:v>
      </x:c>
      <x:c r="AD25" s="26" t="n">
        <x:f>IF(AA25="Atende",2,IF(AA25="Parcial",1.0,0))</x:f>
        <x:v>0</x:v>
      </x:c>
      <x:c r="AE25" s="26" t="str"/>
      <x:c r="AF25" s="57" t="str">
        <x:v>0</x:v>
      </x:c>
      <x:c r="AG25" s="66" t="str">
        <x:v>Art. 7º, §6º, IV.</x:v>
      </x:c>
      <x:c r="AH25" s="26" t="n">
        <x:f>IF(AE25="Atende",2,IF(AE25="Parcial",1.0,0))</x:f>
        <x:v>0</x:v>
      </x:c>
      <x:c r="AI25" s="26" t="n">
        <x:f>SUM(F25,J25,N25,R25,V25,Z25,AD25,AH25)</x:f>
        <x:v>0</x:v>
      </x:c>
      <x:c r="AJ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Utiliza apenas outro sistema eletrônico de ouvidoria (estadual ou próprio do órgão);</x:v>
      </x:c>
      <x:c r="E26" s="66" t="str">
        <x:v>Art. 4º, V; art. 7º, §2º, III; §4º, II; §5º.</x:v>
      </x:c>
      <x:c r="F26" s="26" t="n">
        <x:f>IF(C26="Atende",5,IF(C26="Parcial",2.5,0))</x:f>
        <x:v>0</x:v>
      </x:c>
      <x:c r="G26" s="26" t="str"/>
      <x:c r="H26" s="57" t="str">
        <x:v>Toda manifestação é registrada com número de protocolo, é classificada por tipo e passa por análise preliminar, com critérios para arquivamento fundamentado e para o tratamento de manifestações anônimas</x:v>
      </x:c>
      <x:c r="I26" s="66" t="str">
        <x:v>Art. 11; art. 13, II.</x:v>
      </x:c>
      <x:c r="J26" s="26" t="n">
        <x:f>IF(G26="Atende",3,IF(G26="Parcial",1.5,0))</x:f>
        <x:v>0</x:v>
      </x:c>
      <x:c r="K26" s="26" t="str"/>
      <x:c r="L26" s="57" t="str">
        <x:v>Há fluxo informal (cada caso é tratado de forma diferente, sem padronização)</x:v>
      </x:c>
      <x:c r="M26" s="66" t="str">
        <x:v>Art. 13, I a V e parágrafo único.</x:v>
      </x:c>
      <x:c r="N26" s="26" t="n">
        <x:f>IF(K26="Atende",3,IF(K26="Parcial",1.5,0))</x:f>
        <x:v>0</x:v>
      </x:c>
      <x:c r="O26" s="26" t="str"/>
      <x:c r="P26" s="57" t="str">
        <x:v>Política interna ou instruções sobre tratamento de dados pessoais;Acesso restrito a pastas/sistemas que contenham manifestações;Rotina de backup periódico dos dados da Ouvidoria;Mecanismos de autenticação e controle de acesso aos dados;Antivírus institucional instalado nas estações de trabalho;</x:v>
      </x:c>
      <x:c r="Q26" s="66" t="str">
        <x:v>Art. 4º, §2º; art. 7º, §4º, II e III; §5º.</x:v>
      </x:c>
      <x:c r="R26" s="26" t="n">
        <x:f>IF(O26="Atende",4,IF(O26="Parcial",2.0,0))</x:f>
        <x:v>0</x:v>
      </x:c>
      <x:c r="S26" s="26" t="str"/>
      <x:c r="T26" s="57" t="str">
        <x:v>9</x:v>
      </x:c>
      <x:c r="U26" s="66" t="str">
        <x:v>Art. 7º, §4º, I.</x:v>
      </x:c>
      <x:c r="V26" s="26" t="n">
        <x:f>IF(S26="Atende",4,IF(S26="Parcial",2.0,0))</x:f>
        <x:v>0</x:v>
      </x:c>
      <x:c r="W26" s="26" t="str"/>
      <x:c r="X26" s="57" t="str">
        <x:v>1</x:v>
      </x:c>
      <x:c r="Y26" s="66" t="str">
        <x:v>Art. 7º, §6º, I.</x:v>
      </x:c>
      <x:c r="Z26" s="26" t="n">
        <x:f>IF(W26="Atende",2,IF(W26="Parcial",1.0,0))</x:f>
        <x:v>0</x:v>
      </x:c>
      <x:c r="AA26" s="26" t="str"/>
      <x:c r="AB26" s="57" t="str">
        <x:v>1</x:v>
      </x:c>
      <x:c r="AC26" s="66" t="str">
        <x:v>Art. 7º, §6º, I — impressora multifuncional; scanner autônomo não é citado expressamente.</x:v>
      </x:c>
      <x:c r="AD26" s="26" t="n">
        <x:f>IF(AA26="Atende",2,IF(AA26="Parcial",1.0,0))</x:f>
        <x:v>0</x:v>
      </x:c>
      <x:c r="AE26" s="26" t="str"/>
      <x:c r="AF26" s="57" t="str">
        <x:v>2</x:v>
      </x:c>
      <x:c r="AG26" s="66" t="str">
        <x:v>Art. 7º, §6º, IV.</x:v>
      </x:c>
      <x:c r="AH26" s="26" t="n">
        <x:f>IF(AE26="Atende",2,IF(AE26="Parcial",1.0,0))</x:f>
        <x:v>0</x:v>
      </x:c>
      <x:c r="AI26" s="26" t="n">
        <x:f>SUM(F26,J26,N26,R26,V26,Z26,AD26,AH26)</x:f>
        <x:v>0</x:v>
      </x:c>
      <x:c r="AJ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Possui canal próprio na Plataforma Fala.BR (CGU);</x:v>
      </x:c>
      <x:c r="E27" s="66" t="str">
        <x:v>Art. 4º, V; art. 7º, §2º, III; §4º, II; §5º.</x:v>
      </x:c>
      <x:c r="F27" s="26" t="n">
        <x:f>IF(C27="Atende",5,IF(C27="Parcial",2.5,0))</x:f>
        <x:v>0</x:v>
      </x:c>
      <x:c r="G27" s="26" t="str"/>
      <x:c r="H27" s="57" t="str">
        <x:v>Toda manifestação é registrada com número de protocolo, é classificada por tipo e passa por análise preliminar, com critérios para arquivamento fundamentado e para o tratamento de manifestações anônimas</x:v>
      </x:c>
      <x:c r="I27" s="66" t="str">
        <x:v>Art. 11; art. 13, II.</x:v>
      </x:c>
      <x:c r="J27" s="26" t="n">
        <x:f>IF(G27="Atende",3,IF(G27="Parcial",1.5,0))</x:f>
        <x:v>0</x:v>
      </x:c>
      <x:c r="K27" s="26" t="str"/>
      <x:c r="L27" s="57" t="str">
        <x:v>Há fluxo formalizado e efetivamente utilizado, contemplando, no mínimo, recebimento, registro, encaminhamento à área competente, acompanhamento da resposta e devolutiva ao(à) manifestante, quando aplicável</x:v>
      </x:c>
      <x:c r="M27" s="66" t="str">
        <x:v>Art. 13, I a V e parágrafo único.</x:v>
      </x:c>
      <x:c r="N27" s="26" t="n">
        <x:f>IF(K27="Atende",3,IF(K27="Parcial",1.5,0))</x:f>
        <x:v>0</x:v>
      </x:c>
      <x:c r="O27" s="26" t="str"/>
      <x:c r="P27" s="57" t="str">
        <x:v>Política interna ou instruções sobre tratamento de dados pessoais;</x:v>
      </x:c>
      <x:c r="Q27" s="66" t="str">
        <x:v>Art. 4º, §2º; art. 7º, §4º, II e III; §5º.</x:v>
      </x:c>
      <x:c r="R27" s="26" t="n">
        <x:f>IF(O27="Atende",4,IF(O27="Parcial",2.0,0))</x:f>
        <x:v>0</x:v>
      </x:c>
      <x:c r="S27" s="26" t="str"/>
      <x:c r="T27" s="57" t="str">
        <x:v>1</x:v>
      </x:c>
      <x:c r="U27" s="66" t="str">
        <x:v>Art. 7º, §4º, I.</x:v>
      </x:c>
      <x:c r="V27" s="26" t="n">
        <x:f>IF(S27="Atende",4,IF(S27="Parcial",2.0,0))</x:f>
        <x:v>0</x:v>
      </x:c>
      <x:c r="W27" s="26" t="str"/>
      <x:c r="X27" s="57" t="str">
        <x:v>0</x:v>
      </x:c>
      <x:c r="Y27" s="66" t="str">
        <x:v>Art. 7º, §6º, I.</x:v>
      </x:c>
      <x:c r="Z27" s="26" t="n">
        <x:f>IF(W27="Atende",2,IF(W27="Parcial",1.0,0))</x:f>
        <x:v>0</x:v>
      </x:c>
      <x:c r="AA27" s="26" t="str"/>
      <x:c r="AB27" s="57" t="str">
        <x:v>0</x:v>
      </x:c>
      <x:c r="AC27" s="66" t="str">
        <x:v>Art. 7º, §6º, I — impressora multifuncional; scanner autônomo não é citado expressamente.</x:v>
      </x:c>
      <x:c r="AD27" s="26" t="n">
        <x:f>IF(AA27="Atende",2,IF(AA27="Parcial",1.0,0))</x:f>
        <x:v>0</x:v>
      </x:c>
      <x:c r="AE27" s="26" t="str"/>
      <x:c r="AF27" s="57" t="str">
        <x:v>3</x:v>
      </x:c>
      <x:c r="AG27" s="66" t="str">
        <x:v>Art. 7º, §6º, IV.</x:v>
      </x:c>
      <x:c r="AH27" s="26" t="n">
        <x:f>IF(AE27="Atende",2,IF(AE27="Parcial",1.0,0))</x:f>
        <x:v>0</x:v>
      </x:c>
      <x:c r="AI27" s="26" t="n">
        <x:f>SUM(F27,J27,N27,R27,V27,Z27,AD27,AH27)</x:f>
        <x:v>0</x:v>
      </x:c>
      <x:c r="AJ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Utiliza apenas outro sistema eletrônico de ouvidoria (estadual ou próprio do órgão);</x:v>
      </x:c>
      <x:c r="E28" s="66" t="str">
        <x:v>Art. 4º, V; art. 7º, §2º, III; §4º, II; §5º.</x:v>
      </x:c>
      <x:c r="F28" s="26" t="n">
        <x:f>IF(C28="Atende",5,IF(C28="Parcial",2.5,0))</x:f>
        <x:v>0</x:v>
      </x:c>
      <x:c r="G28" s="26" t="str"/>
      <x:c r="H28" s="57" t="str">
        <x:v>As manifestações são registradas com número de protocolo, mas sem classificação ou critérios claros de análise preliminar</x:v>
      </x:c>
      <x:c r="I28" s="66" t="str">
        <x:v>Art. 11; art. 13, II.</x:v>
      </x:c>
      <x:c r="J28" s="26" t="n">
        <x:f>IF(G28="Atende",3,IF(G28="Parcial",1.5,0))</x:f>
        <x:v>0</x:v>
      </x:c>
      <x:c r="K28" s="26" t="str"/>
      <x:c r="L28" s="57" t="str">
        <x:v>Há fluxo formalizado e efetivamente utilizado, contemplando, no mínimo, recebimento, registro, encaminhamento à área competente, acompanhamento da resposta e devolutiva ao(à) manifestante, quando aplicável</x:v>
      </x:c>
      <x:c r="M28" s="66" t="str">
        <x:v>Art. 13, I a V e parágrafo único.</x:v>
      </x:c>
      <x:c r="N28" s="26" t="n">
        <x:f>IF(K28="Atende",3,IF(K28="Parcial",1.5,0))</x:f>
        <x:v>0</x:v>
      </x:c>
      <x:c r="O28" s="26" t="str"/>
      <x:c r="P28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28" s="66" t="str">
        <x:v>Art. 4º, §2º; art. 7º, §4º, II e III; §5º.</x:v>
      </x:c>
      <x:c r="R28" s="26" t="n">
        <x:f>IF(O28="Atende",4,IF(O28="Parcial",2.0,0))</x:f>
        <x:v>0</x:v>
      </x:c>
      <x:c r="S28" s="26" t="str"/>
      <x:c r="T28" s="57" t="str">
        <x:v>2</x:v>
      </x:c>
      <x:c r="U28" s="66" t="str">
        <x:v>Art. 7º, §4º, I.</x:v>
      </x:c>
      <x:c r="V28" s="26" t="n">
        <x:f>IF(S28="Atende",4,IF(S28="Parcial",2.0,0))</x:f>
        <x:v>0</x:v>
      </x:c>
      <x:c r="W28" s="26" t="str"/>
      <x:c r="X28" s="57" t="str">
        <x:v>1</x:v>
      </x:c>
      <x:c r="Y28" s="66" t="str">
        <x:v>Art. 7º, §6º, I.</x:v>
      </x:c>
      <x:c r="Z28" s="26" t="n">
        <x:f>IF(W28="Atende",2,IF(W28="Parcial",1.0,0))</x:f>
        <x:v>0</x:v>
      </x:c>
      <x:c r="AA28" s="26" t="str"/>
      <x:c r="AB28" s="57" t="str">
        <x:v>0</x:v>
      </x:c>
      <x:c r="AC28" s="66" t="str">
        <x:v>Art. 7º, §6º, I — impressora multifuncional; scanner autônomo não é citado expressamente.</x:v>
      </x:c>
      <x:c r="AD28" s="26" t="n">
        <x:f>IF(AA28="Atende",2,IF(AA28="Parcial",1.0,0))</x:f>
        <x:v>0</x:v>
      </x:c>
      <x:c r="AE28" s="26" t="str"/>
      <x:c r="AF28" s="57" t="str">
        <x:v>0</x:v>
      </x:c>
      <x:c r="AG28" s="66" t="str">
        <x:v>Art. 7º, §6º, IV.</x:v>
      </x:c>
      <x:c r="AH28" s="26" t="n">
        <x:f>IF(AE28="Atende",2,IF(AE28="Parcial",1.0,0))</x:f>
        <x:v>0</x:v>
      </x:c>
      <x:c r="AI28" s="26" t="n">
        <x:f>SUM(F28,J28,N28,R28,V28,Z28,AD28,AH28)</x:f>
        <x:v>0</x:v>
      </x:c>
      <x:c r="AJ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Possui canal próprio na Plataforma Fala.BR (CGU);</x:v>
      </x:c>
      <x:c r="E29" s="66" t="str">
        <x:v>Art. 4º, V; art. 7º, §2º, III; §4º, II; §5º.</x:v>
      </x:c>
      <x:c r="F29" s="26" t="n">
        <x:f>IF(C29="Atende",5,IF(C29="Parcial",2.5,0))</x:f>
        <x:v>0</x:v>
      </x:c>
      <x:c r="G29" s="26" t="str"/>
      <x:c r="H29" s="57" t="str">
        <x:v>As manifestações são registradas com número de protocolo, mas sem classificação ou critérios claros de análise preliminar</x:v>
      </x:c>
      <x:c r="I29" s="66" t="str">
        <x:v>Art. 11; art. 13, II.</x:v>
      </x:c>
      <x:c r="J29" s="26" t="n">
        <x:f>IF(G29="Atende",3,IF(G29="Parcial",1.5,0))</x:f>
        <x:v>0</x:v>
      </x:c>
      <x:c r="K29" s="26" t="str"/>
      <x:c r="L29" s="57" t="str">
        <x:v>Há fluxo informal (cada caso é tratado de forma diferente, sem padronização)</x:v>
      </x:c>
      <x:c r="M29" s="66" t="str">
        <x:v>Art. 13, I a V e parágrafo único.</x:v>
      </x:c>
      <x:c r="N29" s="26" t="n">
        <x:f>IF(K29="Atende",3,IF(K29="Parcial",1.5,0))</x:f>
        <x:v>0</x:v>
      </x:c>
      <x:c r="O29" s="26" t="str"/>
      <x:c r="P29" s="57" t="str">
        <x:v>Acesso restrito a pastas/sistemas que contenham manifestações;</x:v>
      </x:c>
      <x:c r="Q29" s="66" t="str">
        <x:v>Art. 4º, §2º; art. 7º, §4º, II e III; §5º.</x:v>
      </x:c>
      <x:c r="R29" s="26" t="n">
        <x:f>IF(O29="Atende",4,IF(O29="Parcial",2.0,0))</x:f>
        <x:v>0</x:v>
      </x:c>
      <x:c r="S29" s="26" t="str"/>
      <x:c r="T29" s="57" t="str">
        <x:v>2</x:v>
      </x:c>
      <x:c r="U29" s="66" t="str">
        <x:v>Art. 7º, §4º, I.</x:v>
      </x:c>
      <x:c r="V29" s="26" t="n">
        <x:f>IF(S29="Atende",4,IF(S29="Parcial",2.0,0))</x:f>
        <x:v>0</x:v>
      </x:c>
      <x:c r="W29" s="26" t="str"/>
      <x:c r="X29" s="57" t="str">
        <x:v>1</x:v>
      </x:c>
      <x:c r="Y29" s="66" t="str">
        <x:v>Art. 7º, §6º, I.</x:v>
      </x:c>
      <x:c r="Z29" s="26" t="n">
        <x:f>IF(W29="Atende",2,IF(W29="Parcial",1.0,0))</x:f>
        <x:v>0</x:v>
      </x:c>
      <x:c r="AA29" s="26" t="str"/>
      <x:c r="AB29" s="57" t="str">
        <x:v>1</x:v>
      </x:c>
      <x:c r="AC29" s="66" t="str">
        <x:v>Art. 7º, §6º, I — impressora multifuncional; scanner autônomo não é citado expressamente.</x:v>
      </x:c>
      <x:c r="AD29" s="26" t="n">
        <x:f>IF(AA29="Atende",2,IF(AA29="Parcial",1.0,0))</x:f>
        <x:v>0</x:v>
      </x:c>
      <x:c r="AE29" s="26" t="str"/>
      <x:c r="AF29" s="57" t="str">
        <x:v>2</x:v>
      </x:c>
      <x:c r="AG29" s="66" t="str">
        <x:v>Art. 7º, §6º, IV.</x:v>
      </x:c>
      <x:c r="AH29" s="26" t="n">
        <x:f>IF(AE29="Atende",2,IF(AE29="Parcial",1.0,0))</x:f>
        <x:v>0</x:v>
      </x:c>
      <x:c r="AI29" s="26" t="n">
        <x:f>SUM(F29,J29,N29,R29,V29,Z29,AD29,AH29)</x:f>
        <x:v>0</x:v>
      </x:c>
      <x:c r="AJ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Possui canal próprio na Plataforma Fala.BR (CGU);</x:v>
      </x:c>
      <x:c r="E30" s="66" t="str">
        <x:v>Art. 4º, V; art. 7º, §2º, III; §4º, II; §5º.</x:v>
      </x:c>
      <x:c r="F30" s="26" t="n">
        <x:f>IF(C30="Atende",5,IF(C30="Parcial",2.5,0))</x:f>
        <x:v>0</x:v>
      </x:c>
      <x:c r="G30" s="26" t="str"/>
      <x:c r="H30" s="57" t="str">
        <x:v>Toda manifestação é registrada com número de protocolo, é classificada por tipo e passa por análise preliminar, com critérios para arquivamento fundamentado e para o tratamento de manifestações anônimas</x:v>
      </x:c>
      <x:c r="I30" s="66" t="str">
        <x:v>Art. 11; art. 13, II.</x:v>
      </x:c>
      <x:c r="J30" s="26" t="n">
        <x:f>IF(G30="Atende",3,IF(G30="Parcial",1.5,0))</x:f>
        <x:v>0</x:v>
      </x:c>
      <x:c r="K30" s="26" t="str"/>
      <x:c r="L30" s="57" t="str">
        <x:v>Há fluxo formalizado e efetivamente utilizado, contemplando, no mínimo, recebimento, registro, encaminhamento à área competente, acompanhamento da resposta e devolutiva ao(à) manifestante, quando aplicável</x:v>
      </x:c>
      <x:c r="M30" s="66" t="str">
        <x:v>Art. 13, I a V e parágrafo único.</x:v>
      </x:c>
      <x:c r="N30" s="26" t="n">
        <x:f>IF(K30="Atende",3,IF(K30="Parcial",1.5,0))</x:f>
        <x:v>0</x:v>
      </x:c>
      <x:c r="O30" s="26" t="str"/>
      <x:c r="P30" s="57" t="str">
        <x:v>Antivírus institucional instalado nas estações de trabalho;Mecanismos de autenticação e controle de acesso aos dados;Acesso restrito a pastas/sistemas que contenham manifestações;</x:v>
      </x:c>
      <x:c r="Q30" s="66" t="str">
        <x:v>Art. 4º, §2º; art. 7º, §4º, II e III; §5º.</x:v>
      </x:c>
      <x:c r="R30" s="26" t="n">
        <x:f>IF(O30="Atende",4,IF(O30="Parcial",2.0,0))</x:f>
        <x:v>0</x:v>
      </x:c>
      <x:c r="S30" s="26" t="str"/>
      <x:c r="T30" s="57" t="str">
        <x:v>1</x:v>
      </x:c>
      <x:c r="U30" s="66" t="str">
        <x:v>Art. 7º, §4º, I.</x:v>
      </x:c>
      <x:c r="V30" s="26" t="n">
        <x:f>IF(S30="Atende",4,IF(S30="Parcial",2.0,0))</x:f>
        <x:v>0</x:v>
      </x:c>
      <x:c r="W30" s="26" t="str"/>
      <x:c r="X30" s="57" t="str">
        <x:v>1</x:v>
      </x:c>
      <x:c r="Y30" s="66" t="str">
        <x:v>Art. 7º, §6º, I.</x:v>
      </x:c>
      <x:c r="Z30" s="26" t="n">
        <x:f>IF(W30="Atende",2,IF(W30="Parcial",1.0,0))</x:f>
        <x:v>0</x:v>
      </x:c>
      <x:c r="AA30" s="26" t="str"/>
      <x:c r="AB30" s="57" t="str">
        <x:v>1</x:v>
      </x:c>
      <x:c r="AC30" s="66" t="str">
        <x:v>Art. 7º, §6º, I — impressora multifuncional; scanner autônomo não é citado expressamente.</x:v>
      </x:c>
      <x:c r="AD30" s="26" t="n">
        <x:f>IF(AA30="Atende",2,IF(AA30="Parcial",1.0,0))</x:f>
        <x:v>0</x:v>
      </x:c>
      <x:c r="AE30" s="26" t="str"/>
      <x:c r="AF30" s="57" t="str">
        <x:v>0</x:v>
      </x:c>
      <x:c r="AG30" s="66" t="str">
        <x:v>Art. 7º, §6º, IV.</x:v>
      </x:c>
      <x:c r="AH30" s="26" t="n">
        <x:f>IF(AE30="Atende",2,IF(AE30="Parcial",1.0,0))</x:f>
        <x:v>0</x:v>
      </x:c>
      <x:c r="AI30" s="26" t="n">
        <x:f>SUM(F30,J30,N30,R30,V30,Z30,AD30,AH30)</x:f>
        <x:v>0</x:v>
      </x:c>
      <x:c r="AJ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Utiliza apenas outro sistema eletrônico de ouvidoria (estadual ou próprio do órgão);</x:v>
      </x:c>
      <x:c r="E31" s="66" t="str">
        <x:v>Art. 4º, V; art. 7º, §2º, III; §4º, II; §5º.</x:v>
      </x:c>
      <x:c r="F31" s="26" t="n">
        <x:f>IF(C31="Atende",5,IF(C31="Parcial",2.5,0))</x:f>
        <x:v>0</x:v>
      </x:c>
      <x:c r="G31" s="26" t="str"/>
      <x:c r="H31" s="57" t="str">
        <x:v>Toda manifestação é registrada com número de protocolo, é classificada por tipo e passa por análise preliminar, com critérios para arquivamento fundamentado e para o tratamento de manifestações anônimas</x:v>
      </x:c>
      <x:c r="I31" s="66" t="str">
        <x:v>Art. 11; art. 13, II.</x:v>
      </x:c>
      <x:c r="J31" s="26" t="n">
        <x:f>IF(G31="Atende",3,IF(G31="Parcial",1.5,0))</x:f>
        <x:v>0</x:v>
      </x:c>
      <x:c r="K31" s="26" t="str"/>
      <x:c r="L31" s="57" t="str">
        <x:v>Há fluxo formalizado e efetivamente utilizado, contemplando, no mínimo, recebimento, registro, encaminhamento à área competente, acompanhamento da resposta e devolutiva ao(à) manifestante, quando aplicável</x:v>
      </x:c>
      <x:c r="M31" s="66" t="str">
        <x:v>Art. 13, I a V e parágrafo único.</x:v>
      </x:c>
      <x:c r="N31" s="26" t="n">
        <x:f>IF(K31="Atende",3,IF(K31="Parcial",1.5,0))</x:f>
        <x:v>0</x:v>
      </x:c>
      <x:c r="O31" s="26" t="str"/>
      <x:c r="P31" s="57" t="str">
        <x:v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x:v>
      </x:c>
      <x:c r="Q31" s="66" t="str">
        <x:v>Art. 4º, §2º; art. 7º, §4º, II e III; §5º.</x:v>
      </x:c>
      <x:c r="R31" s="26" t="n">
        <x:f>IF(O31="Atende",4,IF(O31="Parcial",2.0,0))</x:f>
        <x:v>0</x:v>
      </x:c>
      <x:c r="S31" s="26" t="str"/>
      <x:c r="T31" s="57" t="str">
        <x:v>3</x:v>
      </x:c>
      <x:c r="U31" s="66" t="str">
        <x:v>Art. 7º, §4º, I.</x:v>
      </x:c>
      <x:c r="V31" s="26" t="n">
        <x:f>IF(S31="Atende",4,IF(S31="Parcial",2.0,0))</x:f>
        <x:v>0</x:v>
      </x:c>
      <x:c r="W31" s="26" t="str"/>
      <x:c r="X31" s="57" t="str">
        <x:v>1</x:v>
      </x:c>
      <x:c r="Y31" s="66" t="str">
        <x:v>Art. 7º, §6º, I.</x:v>
      </x:c>
      <x:c r="Z31" s="26" t="n">
        <x:f>IF(W31="Atende",2,IF(W31="Parcial",1.0,0))</x:f>
        <x:v>0</x:v>
      </x:c>
      <x:c r="AA31" s="26" t="str"/>
      <x:c r="AB31" s="57" t="str">
        <x:v>1</x:v>
      </x:c>
      <x:c r="AC31" s="66" t="str">
        <x:v>Art. 7º, §6º, I — impressora multifuncional; scanner autônomo não é citado expressamente.</x:v>
      </x:c>
      <x:c r="AD31" s="26" t="n">
        <x:f>IF(AA31="Atende",2,IF(AA31="Parcial",1.0,0))</x:f>
        <x:v>0</x:v>
      </x:c>
      <x:c r="AE31" s="26" t="str"/>
      <x:c r="AF31" s="57" t="str">
        <x:v>1</x:v>
      </x:c>
      <x:c r="AG31" s="66" t="str">
        <x:v>Art. 7º, §6º, IV.</x:v>
      </x:c>
      <x:c r="AH31" s="26" t="n">
        <x:f>IF(AE31="Atende",2,IF(AE31="Parcial",1.0,0))</x:f>
        <x:v>0</x:v>
      </x:c>
      <x:c r="AI31" s="26" t="n">
        <x:f>SUM(F31,J31,N31,R31,V31,Z31,AD31,AH31)</x:f>
        <x:v>0</x:v>
      </x:c>
      <x:c r="AJ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Utiliza apenas outro sistema eletrônico de ouvidoria (estadual ou próprio do órgão);</x:v>
      </x:c>
      <x:c r="E32" s="66" t="str">
        <x:v>Art. 4º, V; art. 7º, §2º, III; §4º, II; §5º.</x:v>
      </x:c>
      <x:c r="F32" s="26" t="n">
        <x:f>IF(C32="Atende",5,IF(C32="Parcial",2.5,0))</x:f>
        <x:v>0</x:v>
      </x:c>
      <x:c r="G32" s="26" t="str"/>
      <x:c r="H32" s="57" t="str">
        <x:v>Toda manifestação é registrada com número de protocolo, é classificada por tipo e passa por análise preliminar, com critérios para arquivamento fundamentado e para o tratamento de manifestações anônimas</x:v>
      </x:c>
      <x:c r="I32" s="66" t="str">
        <x:v>Art. 11; art. 13, II.</x:v>
      </x:c>
      <x:c r="J32" s="26" t="n">
        <x:f>IF(G32="Atende",3,IF(G32="Parcial",1.5,0))</x:f>
        <x:v>0</x:v>
      </x:c>
      <x:c r="K32" s="26" t="str"/>
      <x:c r="L32" s="57" t="str">
        <x:v>Há fluxo formalizado e efetivamente utilizado, contemplando, no mínimo, recebimento, registro, encaminhamento à área competente, acompanhamento da resposta e devolutiva ao(à) manifestante, quando aplicável</x:v>
      </x:c>
      <x:c r="M32" s="66" t="str">
        <x:v>Art. 13, I a V e parágrafo único.</x:v>
      </x:c>
      <x:c r="N32" s="26" t="n">
        <x:f>IF(K32="Atende",3,IF(K32="Parcial",1.5,0))</x:f>
        <x:v>0</x:v>
      </x:c>
      <x:c r="O32" s="26" t="str"/>
      <x:c r="P32" s="57" t="str">
        <x:v>Antivírus institucional instalado nas estações de trabalho;Mecanismos de autenticação e controle de acesso aos dados;Política interna ou instruções sobre tratamento de dados pessoais;Acesso restrito a pastas/sistemas que contenham manifestações;Rotina de backup periódico dos dados da Ouvidoria;</x:v>
      </x:c>
      <x:c r="Q32" s="66" t="str">
        <x:v>Art. 4º, §2º; art. 7º, §4º, II e III; §5º.</x:v>
      </x:c>
      <x:c r="R32" s="26" t="n">
        <x:f>IF(O32="Atende",4,IF(O32="Parcial",2.0,0))</x:f>
        <x:v>0</x:v>
      </x:c>
      <x:c r="S32" s="26" t="str"/>
      <x:c r="T32" s="57" t="str">
        <x:v>12</x:v>
      </x:c>
      <x:c r="U32" s="66" t="str">
        <x:v>Art. 7º, §4º, I.</x:v>
      </x:c>
      <x:c r="V32" s="26" t="n">
        <x:f>IF(S32="Atende",4,IF(S32="Parcial",2.0,0))</x:f>
        <x:v>0</x:v>
      </x:c>
      <x:c r="W32" s="26" t="str"/>
      <x:c r="X32" s="57" t="str">
        <x:v>2</x:v>
      </x:c>
      <x:c r="Y32" s="66" t="str">
        <x:v>Art. 7º, §6º, I.</x:v>
      </x:c>
      <x:c r="Z32" s="26" t="n">
        <x:f>IF(W32="Atende",2,IF(W32="Parcial",1.0,0))</x:f>
        <x:v>0</x:v>
      </x:c>
      <x:c r="AA32" s="26" t="str"/>
      <x:c r="AB32" s="57" t="str">
        <x:v>0</x:v>
      </x:c>
      <x:c r="AC32" s="66" t="str">
        <x:v>Art. 7º, §6º, I — impressora multifuncional; scanner autônomo não é citado expressamente.</x:v>
      </x:c>
      <x:c r="AD32" s="26" t="n">
        <x:f>IF(AA32="Atende",2,IF(AA32="Parcial",1.0,0))</x:f>
        <x:v>0</x:v>
      </x:c>
      <x:c r="AE32" s="26" t="str"/>
      <x:c r="AF32" s="57" t="str">
        <x:v>1</x:v>
      </x:c>
      <x:c r="AG32" s="66" t="str">
        <x:v>Art. 7º, §6º, IV.</x:v>
      </x:c>
      <x:c r="AH32" s="26" t="n">
        <x:f>IF(AE32="Atende",2,IF(AE32="Parcial",1.0,0))</x:f>
        <x:v>0</x:v>
      </x:c>
      <x:c r="AI32" s="26" t="n">
        <x:f>SUM(F32,J32,N32,R32,V32,Z32,AD32,AH32)</x:f>
        <x:v>0</x:v>
      </x:c>
      <x:c r="AJ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66" t="str">
        <x:v>Art. 4º, V; art. 7º, §2º, III; §4º, II; §5º.</x:v>
      </x:c>
      <x:c r="F33" s="26" t="n">
        <x:f>IF(C33="Atende",5,IF(C33="Parcial",2.5,0))</x:f>
        <x:v>0</x:v>
      </x:c>
      <x:c r="G33" s="26" t="str"/>
      <x:c r="H33" s="57" t="str">
        <x:v>Sem resposta no diagnóstico</x:v>
      </x:c>
      <x:c r="I33" s="66" t="str">
        <x:v>Art. 11; art. 13, II.</x:v>
      </x:c>
      <x:c r="J33" s="26" t="n">
        <x:f>IF(G33="Atende",3,IF(G33="Parcial",1.5,0))</x:f>
        <x:v>0</x:v>
      </x:c>
      <x:c r="K33" s="26" t="str"/>
      <x:c r="L33" s="57" t="str">
        <x:v>Sem resposta no diagnóstico</x:v>
      </x:c>
      <x:c r="M33" s="66" t="str">
        <x:v>Art. 13, I a V e parágrafo único.</x:v>
      </x:c>
      <x:c r="N33" s="26" t="n">
        <x:f>IF(K33="Atende",3,IF(K33="Parcial",1.5,0))</x:f>
        <x:v>0</x:v>
      </x:c>
      <x:c r="O33" s="26" t="str"/>
      <x:c r="P33" s="57" t="str">
        <x:v>Sem resposta no diagnóstico</x:v>
      </x:c>
      <x:c r="Q33" s="66" t="str">
        <x:v>Art. 4º, §2º; art. 7º, §4º, II e III; §5º.</x:v>
      </x:c>
      <x:c r="R33" s="26" t="n">
        <x:f>IF(O33="Atende",4,IF(O33="Parcial",2.0,0))</x:f>
        <x:v>0</x:v>
      </x:c>
      <x:c r="S33" s="26" t="str"/>
      <x:c r="T33" s="57" t="str">
        <x:v>Sem resposta no diagnóstico</x:v>
      </x:c>
      <x:c r="U33" s="66" t="str">
        <x:v>Art. 7º, §4º, I.</x:v>
      </x:c>
      <x:c r="V33" s="26" t="n">
        <x:f>IF(S33="Atende",4,IF(S33="Parcial",2.0,0))</x:f>
        <x:v>0</x:v>
      </x:c>
      <x:c r="W33" s="26" t="str"/>
      <x:c r="X33" s="57" t="str">
        <x:v>Sem resposta no diagnóstico</x:v>
      </x:c>
      <x:c r="Y33" s="66" t="str">
        <x:v>Art. 7º, §6º, I.</x:v>
      </x:c>
      <x:c r="Z33" s="26" t="n">
        <x:f>IF(W33="Atende",2,IF(W33="Parcial",1.0,0))</x:f>
        <x:v>0</x:v>
      </x:c>
      <x:c r="AA33" s="26" t="str"/>
      <x:c r="AB33" s="57" t="str">
        <x:v>Sem resposta no diagnóstico</x:v>
      </x:c>
      <x:c r="AC33" s="66" t="str">
        <x:v>Art. 7º, §6º, I — impressora multifuncional; scanner autônomo não é citado expressamente.</x:v>
      </x:c>
      <x:c r="AD33" s="26" t="n">
        <x:f>IF(AA33="Atende",2,IF(AA33="Parcial",1.0,0))</x:f>
        <x:v>0</x:v>
      </x:c>
      <x:c r="AE33" s="26" t="str"/>
      <x:c r="AF33" s="57" t="str">
        <x:v>Sem resposta no diagnóstico</x:v>
      </x:c>
      <x:c r="AG33" s="66" t="str">
        <x:v>Art. 7º, §6º, IV.</x:v>
      </x:c>
      <x:c r="AH33" s="26" t="n">
        <x:f>IF(AE33="Atende",2,IF(AE33="Parcial",1.0,0))</x:f>
        <x:v>0</x:v>
      </x:c>
      <x:c r="AI33" s="26" t="n">
        <x:f>SUM(F33,J33,N33,R33,V33,Z33,AD33,AH33)</x:f>
        <x:v>0</x:v>
      </x:c>
      <x:c r="AJ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Não possui canal próprio na Fala.BR, mas utiliza o canal Fala.BR da Ouvidoria-Geral do Estado ou outra ouvidoria central;</x:v>
      </x:c>
      <x:c r="E34" s="66" t="str">
        <x:v>Art. 4º, V; art. 7º, §2º, III; §4º, II; §5º.</x:v>
      </x:c>
      <x:c r="F34" s="26" t="n">
        <x:f>IF(C34="Atende",5,IF(C34="Parcial",2.5,0))</x:f>
        <x:v>0</x:v>
      </x:c>
      <x:c r="G34" s="26" t="str"/>
      <x:c r="H34" s="57" t="str">
        <x:v>Toda manifestação é registrada com número de protocolo, é classificada por tipo e passa por análise preliminar, com critérios para arquivamento fundamentado e para o tratamento de manifestações anônimas</x:v>
      </x:c>
      <x:c r="I34" s="66" t="str">
        <x:v>Art. 11; art. 13, II.</x:v>
      </x:c>
      <x:c r="J34" s="26" t="n">
        <x:f>IF(G34="Atende",3,IF(G34="Parcial",1.5,0))</x:f>
        <x:v>0</x:v>
      </x:c>
      <x:c r="K34" s="26" t="str"/>
      <x:c r="L34" s="57" t="str">
        <x:v>Há fluxo formalizado e efetivamente utilizado, contemplando, no mínimo, recebimento, registro, encaminhamento à área competente, acompanhamento da resposta e devolutiva ao(à) manifestante, quando aplicável</x:v>
      </x:c>
      <x:c r="M34" s="66" t="str">
        <x:v>Art. 13, I a V e parágrafo único.</x:v>
      </x:c>
      <x:c r="N34" s="26" t="n">
        <x:f>IF(K34="Atende",3,IF(K34="Parcial",1.5,0))</x:f>
        <x:v>0</x:v>
      </x:c>
      <x:c r="O34" s="26" t="str"/>
      <x:c r="P34" s="57" t="str">
        <x:v>Política interna ou instruções sobre tratamento de dados pessoais;</x:v>
      </x:c>
      <x:c r="Q34" s="66" t="str">
        <x:v>Art. 4º, §2º; art. 7º, §4º, II e III; §5º.</x:v>
      </x:c>
      <x:c r="R34" s="26" t="n">
        <x:f>IF(O34="Atende",4,IF(O34="Parcial",2.0,0))</x:f>
        <x:v>0</x:v>
      </x:c>
      <x:c r="S34" s="26" t="str"/>
      <x:c r="T34" s="57" t="str">
        <x:v>2</x:v>
      </x:c>
      <x:c r="U34" s="66" t="str">
        <x:v>Art. 7º, §4º, I.</x:v>
      </x:c>
      <x:c r="V34" s="26" t="n">
        <x:f>IF(S34="Atende",4,IF(S34="Parcial",2.0,0))</x:f>
        <x:v>0</x:v>
      </x:c>
      <x:c r="W34" s="26" t="str"/>
      <x:c r="X34" s="57" t="str">
        <x:v>1</x:v>
      </x:c>
      <x:c r="Y34" s="66" t="str">
        <x:v>Art. 7º, §6º, I.</x:v>
      </x:c>
      <x:c r="Z34" s="26" t="n">
        <x:f>IF(W34="Atende",2,IF(W34="Parcial",1.0,0))</x:f>
        <x:v>0</x:v>
      </x:c>
      <x:c r="AA34" s="26" t="str"/>
      <x:c r="AB34" s="57" t="str">
        <x:v>0</x:v>
      </x:c>
      <x:c r="AC34" s="66" t="str">
        <x:v>Art. 7º, §6º, I — impressora multifuncional; scanner autônomo não é citado expressamente.</x:v>
      </x:c>
      <x:c r="AD34" s="26" t="n">
        <x:f>IF(AA34="Atende",2,IF(AA34="Parcial",1.0,0))</x:f>
        <x:v>0</x:v>
      </x:c>
      <x:c r="AE34" s="26" t="str"/>
      <x:c r="AF34" s="57" t="str">
        <x:v>1</x:v>
      </x:c>
      <x:c r="AG34" s="66" t="str">
        <x:v>Art. 7º, §6º, IV.</x:v>
      </x:c>
      <x:c r="AH34" s="26" t="n">
        <x:f>IF(AE34="Atende",2,IF(AE34="Parcial",1.0,0))</x:f>
        <x:v>0</x:v>
      </x:c>
      <x:c r="AI34" s="26" t="n">
        <x:f>SUM(F34,J34,N34,R34,V34,Z34,AD34,AH34)</x:f>
        <x:v>0</x:v>
      </x:c>
      <x:c r="AJ34" s="26" t="str">
        <x:v>Doc. SEI 37070578</x:v>
      </x:c>
    </x:row>
  </x:sheetData>
  <x:mergeCells>
    <x:mergeCell ref="A1:AJ1"/>
    <x:mergeCell ref="A2:AJ2"/>
    <x:mergeCell ref="A4:B4"/>
    <x:mergeCell ref="C4:F4"/>
    <x:mergeCell ref="G4:N4"/>
    <x:mergeCell ref="O4:R4"/>
    <x:mergeCell ref="S4:V4"/>
    <x:mergeCell ref="W4:AD4"/>
    <x:mergeCell ref="AE4:AH4"/>
    <x:mergeCell ref="AI4:AJ4"/>
    <x:mergeCell ref="A6:B6"/>
  </x:mergeCells>
  <x:conditionalFormatting sqref="C7:C34">
    <x:cfRule type="expression" dxfId="57" priority="1">
      <x:formula>C7="Atende"</x:formula>
    </x:cfRule>
    <x:cfRule type="expression" dxfId="58" priority="2">
      <x:formula>C7="Parcial"</x:formula>
    </x:cfRule>
    <x:cfRule type="expression" dxfId="59" priority="3">
      <x:formula>OR(C7="Não atende",C7="Sem evidência")</x:formula>
    </x:cfRule>
  </x:conditionalFormatting>
  <x:conditionalFormatting sqref="G7:G34">
    <x:cfRule type="expression" dxfId="60" priority="4">
      <x:formula>G7="Atende"</x:formula>
    </x:cfRule>
    <x:cfRule type="expression" dxfId="61" priority="5">
      <x:formula>G7="Parcial"</x:formula>
    </x:cfRule>
    <x:cfRule type="expression" dxfId="62" priority="6">
      <x:formula>OR(G7="Não atende",G7="Sem evidência")</x:formula>
    </x:cfRule>
  </x:conditionalFormatting>
  <x:conditionalFormatting sqref="K7:K34">
    <x:cfRule type="expression" dxfId="63" priority="7">
      <x:formula>K7="Atende"</x:formula>
    </x:cfRule>
    <x:cfRule type="expression" dxfId="64" priority="8">
      <x:formula>K7="Parcial"</x:formula>
    </x:cfRule>
    <x:cfRule type="expression" dxfId="65" priority="9">
      <x:formula>OR(K7="Não atende",K7="Sem evidência")</x:formula>
    </x:cfRule>
  </x:conditionalFormatting>
  <x:conditionalFormatting sqref="O7:O34">
    <x:cfRule type="expression" dxfId="66" priority="10">
      <x:formula>O7="Atende"</x:formula>
    </x:cfRule>
    <x:cfRule type="expression" dxfId="67" priority="11">
      <x:formula>O7="Parcial"</x:formula>
    </x:cfRule>
    <x:cfRule type="expression" dxfId="68" priority="12">
      <x:formula>OR(O7="Não atende",O7="Sem evidência")</x:formula>
    </x:cfRule>
  </x:conditionalFormatting>
  <x:conditionalFormatting sqref="S7:S34">
    <x:cfRule type="expression" dxfId="69" priority="13">
      <x:formula>S7="Atende"</x:formula>
    </x:cfRule>
    <x:cfRule type="expression" dxfId="70" priority="14">
      <x:formula>S7="Parcial"</x:formula>
    </x:cfRule>
    <x:cfRule type="expression" dxfId="71" priority="15">
      <x:formula>OR(S7="Não atende",S7="Sem evidência")</x:formula>
    </x:cfRule>
  </x:conditionalFormatting>
  <x:conditionalFormatting sqref="W7:W34">
    <x:cfRule type="expression" dxfId="72" priority="16">
      <x:formula>W7="Atende"</x:formula>
    </x:cfRule>
    <x:cfRule type="expression" dxfId="73" priority="17">
      <x:formula>W7="Parcial"</x:formula>
    </x:cfRule>
    <x:cfRule type="expression" dxfId="74" priority="18">
      <x:formula>OR(W7="Não atende",W7="Sem evidência")</x:formula>
    </x:cfRule>
  </x:conditionalFormatting>
  <x:conditionalFormatting sqref="AA7:AA34">
    <x:cfRule type="expression" dxfId="75" priority="19">
      <x:formula>AA7="Atende"</x:formula>
    </x:cfRule>
    <x:cfRule type="expression" dxfId="76" priority="20">
      <x:formula>AA7="Parcial"</x:formula>
    </x:cfRule>
    <x:cfRule type="expression" dxfId="77" priority="21">
      <x:formula>OR(AA7="Não atende",AA7="Sem evidência")</x:formula>
    </x:cfRule>
  </x:conditionalFormatting>
  <x:conditionalFormatting sqref="AE7:AE34">
    <x:cfRule type="expression" dxfId="78" priority="22">
      <x:formula>AE7="Atende"</x:formula>
    </x:cfRule>
    <x:cfRule type="expression" dxfId="79" priority="23">
      <x:formula>AE7="Parcial"</x:formula>
    </x:cfRule>
    <x:cfRule type="expression" dxfId="80" priority="24">
      <x:formula>OR(AE7="Não atende",AE7="Sem evidência")</x:formula>
    </x:cfRule>
  </x:conditionalFormatting>
  <x:dataValidations count="8">
    <x:dataValidation type="list" sqref="C7:C34">
      <x:formula1>"Atende,Parcial,Não atende,Sem evidência"</x:formula1>
    </x:dataValidation>
    <x:dataValidation type="list" sqref="G7:G34">
      <x:formula1>"Atende,Parcial,Não atende,Sem evidência"</x:formula1>
    </x:dataValidation>
    <x:dataValidation type="list" sqref="K7:K34">
      <x:formula1>"Atende,Parcial,Não atende,Sem evidência"</x:formula1>
    </x:dataValidation>
    <x:dataValidation type="list" sqref="O7:O34">
      <x:formula1>"Atende,Parcial,Não atende,Sem evidência"</x:formula1>
    </x:dataValidation>
    <x:dataValidation type="list" sqref="S7:S34">
      <x:formula1>"Atende,Parcial,Não atende,Sem evidência"</x:formula1>
    </x:dataValidation>
    <x:dataValidation type="list" sqref="W7:W34">
      <x:formula1>"Atende,Parcial,Não atende,Sem evidência"</x:formula1>
    </x:dataValidation>
    <x:dataValidation type="list" sqref="AA7:AA34">
      <x:formula1>"Atende,Parcial,Não atende,Sem evidência"</x:formula1>
    </x:dataValidation>
    <x:dataValidation type="list" sqref="AE7:AE34">
      <x:formula1>"Atende,Parcial,Não atende,Sem evidência"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27" hidden="0" customWidth="1"/>
    <x:col min="4" max="4" width="40" hidden="0" customWidth="1"/>
    <x:col min="5" max="5" width="25" hidden="0" customWidth="1"/>
    <x:col min="6" max="6" width="27" hidden="0" customWidth="1"/>
    <x:col min="7" max="7" width="40" hidden="0" customWidth="1"/>
    <x:col min="8" max="8" width="25" hidden="0" customWidth="1"/>
    <x:col min="9" max="9" width="27" hidden="0" customWidth="1"/>
    <x:col min="10" max="10" width="40" hidden="0" customWidth="1"/>
    <x:col min="11" max="11" width="25" hidden="0" customWidth="1"/>
    <x:col min="12" max="12" width="27" hidden="0" customWidth="1"/>
    <x:col min="13" max="13" width="40" hidden="0" customWidth="1"/>
    <x:col min="14" max="14" width="25" hidden="0" customWidth="1"/>
    <x:col min="15" max="15" width="27" hidden="0" customWidth="1"/>
    <x:col min="16" max="16" width="40" hidden="0" customWidth="1"/>
    <x:col min="17" max="17" width="25" hidden="0" customWidth="1"/>
    <x:col min="18" max="18" width="27" hidden="0" customWidth="1"/>
    <x:col min="19" max="19" width="40" hidden="0" customWidth="1"/>
    <x:col min="20" max="20" width="25" hidden="0" customWidth="1"/>
    <x:col min="21" max="21" width="27" hidden="0" customWidth="1"/>
    <x:col min="22" max="22" width="40" hidden="0" customWidth="1"/>
    <x:col min="23" max="23" width="25" hidden="0" customWidth="1"/>
    <x:col min="24" max="24" width="16" hidden="0" customWidth="1"/>
    <x:col min="25" max="25" width="38" hidden="0" customWidth="1"/>
  </x:cols>
  <x:sheetData>
    <x:row r="1" ht="28" customHeight="1">
      <x:c r="A1" s="4" t="str">
        <x:v>07 — Maturidade / bônus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 ht="46" customHeight="1">
      <x:c r="A2" s="11" t="str">
        <x:v>Bônus disponível: até 10 pontos. A coluna verde reproduz a resposta original do diagnóstico. O bônus apenas completa eventual diferença da nota-base até 100.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</x:row>
    <x:row r="4">
      <x:c r="A4" s="31" t="str">
        <x:v>Identificação</x:v>
      </x:c>
      <x:c r="B4" s="31"/>
      <x:c r="C4" s="31" t="str">
        <x:v>Bônus — Uso do canal Fala.BR</x:v>
      </x:c>
      <x:c r="D4" s="31"/>
      <x:c r="E4" s="31"/>
      <x:c r="F4" s="31" t="str">
        <x:v>Bônus — Designação por mandato</x:v>
      </x:c>
      <x:c r="G4" s="31"/>
      <x:c r="H4" s="31"/>
      <x:c r="I4" s="31" t="str">
        <x:v>Bônus — Dedicação da equipe</x:v>
      </x:c>
      <x:c r="J4" s="31"/>
      <x:c r="K4" s="31"/>
      <x:c r="L4" s="31" t="str">
        <x:v>Bônus — Requisitos de perfil para o cargo de Ouvidor</x:v>
      </x:c>
      <x:c r="M4" s="31"/>
      <x:c r="N4" s="31"/>
      <x:c r="O4" s="31" t="str">
        <x:v>Bônus — WhatsApp institucional</x:v>
      </x:c>
      <x:c r="P4" s="31"/>
      <x:c r="Q4" s="31"/>
      <x:c r="R4" s="31" t="str">
        <x:v>Bônus — Outros canais eletrônicos institucionais</x:v>
      </x:c>
      <x:c r="S4" s="31"/>
      <x:c r="T4" s="31"/>
      <x:c r="U4" s="31" t="str">
        <x:v>Bônus — Materiais adicionais de divulgação e educação em direitos</x:v>
      </x:c>
      <x:c r="V4" s="31"/>
      <x:c r="W4" s="31"/>
      <x:c r="X4" s="31" t="str">
        <x:v>Resultado do bônus</x:v>
      </x:c>
      <x:c r="Y4" s="31"/>
    </x:row>
    <x:row r="5">
      <x:c r="A5" s="20" t="str">
        <x:v>UF</x:v>
      </x:c>
      <x:c r="B5" s="20" t="str">
        <x:v>Unidade Federativa</x:v>
      </x:c>
      <x:c r="C5" s="20" t="str">
        <x:v>M2-46 — Uso do canal Fala.BR (+3)</x:v>
      </x:c>
      <x:c r="D5" s="20" t="str">
        <x:v>Resposta do diagnóstico</x:v>
      </x:c>
      <x:c r="E5" s="20" t="str">
        <x:v>Fundamentação na IN nº 75/2026</x:v>
      </x:c>
      <x:c r="F5" s="20" t="str">
        <x:v>M0-08 — Designação por mandato (+1)</x:v>
      </x:c>
      <x:c r="G5" s="20" t="str">
        <x:v>Resposta do diagnóstico</x:v>
      </x:c>
      <x:c r="H5" s="20" t="str">
        <x:v>Fundamentação na IN nº 75/2026</x:v>
      </x:c>
      <x:c r="I5" s="20" t="str">
        <x:v>M3-60 — Dedicação da equipe (+1)</x:v>
      </x:c>
      <x:c r="J5" s="20" t="str">
        <x:v>Resposta do diagnóstico</x:v>
      </x:c>
      <x:c r="K5" s="20" t="str">
        <x:v>Fundamentação na IN nº 75/2026</x:v>
      </x:c>
      <x:c r="L5" s="20" t="str">
        <x:v>M3-58 — Requisitos de perfil para o cargo de Ouvidor (+1)</x:v>
      </x:c>
      <x:c r="M5" s="20" t="str">
        <x:v>Resposta do diagnóstico</x:v>
      </x:c>
      <x:c r="N5" s="20" t="str">
        <x:v>Fundamentação na IN nº 75/2026</x:v>
      </x:c>
      <x:c r="O5" s="20" t="str">
        <x:v>M2-50 — WhatsApp institucional (+1)</x:v>
      </x:c>
      <x:c r="P5" s="20" t="str">
        <x:v>Resposta do diagnóstico</x:v>
      </x:c>
      <x:c r="Q5" s="20" t="str">
        <x:v>Fundamentação na IN nº 75/2026</x:v>
      </x:c>
      <x:c r="R5" s="20" t="str">
        <x:v>M2-49 — Outros canais eletrônicos institucionais (+1)</x:v>
      </x:c>
      <x:c r="S5" s="20" t="str">
        <x:v>Resposta do diagnóstico</x:v>
      </x:c>
      <x:c r="T5" s="20" t="str">
        <x:v>Fundamentação na IN nº 75/2026</x:v>
      </x:c>
      <x:c r="U5" s="20" t="str">
        <x:v>M2-36 — Materiais adicionais de divulgação e educação em direitos (+2)</x:v>
      </x:c>
      <x:c r="V5" s="20" t="str">
        <x:v>Resposta do diagnóstico</x:v>
      </x:c>
      <x:c r="W5" s="20" t="str">
        <x:v>Fundamentação na IN nº 75/2026</x:v>
      </x:c>
      <x:c r="X5" s="20" t="str">
        <x:v>Bônus disponível /10</x:v>
      </x:c>
      <x:c r="Y5" s="20" t="str">
        <x:v>Evidências / observações</x:v>
      </x:c>
    </x:row>
    <x:row r="6" ht="115" customHeight="1">
      <x:c r="A6" s="40" t="str">
        <x:v>Como aplicar / resposta / fundamento →</x:v>
      </x:c>
      <x:c r="B6" s="40"/>
      <x:c r="C6" s="49" t="str">
        <x:v>SIM: utiliza o Fala.BR. NÃO/SEM EVIDÊNCIA: 0. Valor: +3 ponto(s).</x:v>
      </x:c>
      <x:c r="D6" s="57" t="str">
        <x:v>Resposta original da UF no diagnóstico enviado.</x:v>
      </x:c>
      <x:c r="E6" s="66" t="str">
        <x:v>Art. 4º, V; art. 7º, §2º, III, e §5º.</x:v>
      </x:c>
      <x:c r="F6" s="49" t="str">
        <x:v>SIM: existe mandato fixo formalmente previsto. NÃO/SEM EVIDÊNCIA: 0. Valor: +1 ponto(s).</x:v>
      </x:c>
      <x:c r="G6" s="57" t="str">
        <x:v>Resposta original da UF no diagnóstico enviado.</x:v>
      </x:c>
      <x:c r="H6" s="66" t="str">
        <x:v>Art. 6º, §2º; art. 8º, §2º.</x:v>
      </x:c>
      <x:c r="I6" s="49" t="str">
        <x:v>SIM: há dedicação exclusiva da equipe. NÃO/SEM EVIDÊNCIA: 0. Valor: +1 ponto(s).</x:v>
      </x:c>
      <x:c r="J6" s="57" t="str">
        <x:v>Resposta original da UF no diagnóstico enviado.</x:v>
      </x:c>
      <x:c r="K6" s="66" t="str">
        <x:v>Art. 9º, caput.</x:v>
      </x:c>
      <x:c r="L6" s="49" t="str">
        <x:v>SIM: perfil atende aos requisitos preferenciais indicados na IN. NÃO/SEM EVIDÊNCIA: 0. Valor: +1 ponto(s).</x:v>
      </x:c>
      <x:c r="M6" s="57" t="str">
        <x:v>Resposta original da UF no diagnóstico enviado.</x:v>
      </x:c>
      <x:c r="N6" s="66" t="str">
        <x:v>Art. 8º, §1º.</x:v>
      </x:c>
      <x:c r="O6" s="49" t="str">
        <x:v>SIM: existe WhatsApp institucional utilizado pela Ouvidoria. NÃO/SEM EVIDÊNCIA: 0. Valor: +1 ponto(s).</x:v>
      </x:c>
      <x:c r="P6" s="57" t="str">
        <x:v>Resposta original da UF no diagnóstico enviado.</x:v>
      </x:c>
      <x:c r="Q6" s="66" t="str">
        <x:v>Art. 4º, III e V; art. 7º, §2º — canal adicional não previsto nominalmente.</x:v>
      </x:c>
      <x:c r="R6" s="49" t="str">
        <x:v>SIM: existem outros canais eletrônicos institucionais adicionais. NÃO/SEM EVIDÊNCIA: 0. Valor: +1 ponto(s).</x:v>
      </x:c>
      <x:c r="S6" s="57" t="str">
        <x:v>Resposta original da UF no diagnóstico enviado.</x:v>
      </x:c>
      <x:c r="T6" s="66" t="str">
        <x:v>Art. 4º, III e V; art. 7º, §2º.</x:v>
      </x:c>
      <x:c r="U6" s="49" t="str">
        <x:v>SIM: existem materiais adicionais de divulgação/educação em direitos. NÃO/SEM EVIDÊNCIA: 0. Valor: +2 ponto(s).</x:v>
      </x:c>
      <x:c r="V6" s="57" t="str">
        <x:v>Resposta original da UF no diagnóstico enviado.</x:v>
      </x:c>
      <x:c r="W6" s="66" t="str">
        <x:v>Art. 7º, §6º, III.</x:v>
      </x:c>
      <x:c r="X6" s="11" t="str">
        <x:v>Soma dos bônus comprovados.</x:v>
      </x:c>
      <x:c r="Y6" s="11" t="str">
        <x:v>Registre observações adicionais.</x:v>
      </x:c>
    </x:row>
    <x:row r="7">
      <x:c r="A7" s="26" t="str">
        <x:v>AC</x:v>
      </x:c>
      <x:c r="B7" s="26" t="str">
        <x:v>Acre</x:v>
      </x:c>
      <x:c r="C7" s="26" t="str"/>
      <x:c r="D7" s="57" t="str">
        <x:v>O Fala.BR é utilizado apenas para parte das manifestações</x:v>
      </x:c>
      <x:c r="E7" s="66" t="str">
        <x:v>Art. 4º, V; art. 7º, §2º, III, e §5º.</x:v>
      </x:c>
      <x:c r="F7" s="26" t="str"/>
      <x:c r="G7" s="57" t="str">
        <x:v>Sem mandato</x:v>
      </x:c>
      <x:c r="H7" s="66" t="str">
        <x:v>Art. 6º, §2º; art. 8º, §2º.</x:v>
      </x:c>
      <x:c r="I7" s="26" t="str"/>
      <x:c r="J7" s="57" t="str">
        <x:v>A equipe atua com dedicação exclusiva na Ouvidoria de Serviços Penais</x:v>
      </x:c>
      <x:c r="K7" s="66" t="str">
        <x:v>Art. 9º, caput.</x:v>
      </x:c>
      <x:c r="L7" s="26" t="str"/>
      <x:c r="M7" s="57" t="str">
        <x:v>Reputação ilibada;Conhecimento em gestão pública;Conhecimento em direitos humanos ou sistema penal;</x:v>
      </x:c>
      <x:c r="N7" s="66" t="str">
        <x:v>Art. 8º, §1º.</x:v>
      </x:c>
      <x:c r="O7" s="26" t="str"/>
      <x:c r="P7" s="57" t="str">
        <x:v>68 98112-4517</x:v>
      </x:c>
      <x:c r="Q7" s="66" t="str">
        <x:v>Art. 4º, III e V; art. 7º, §2º — canal adicional não previsto nominalmente.</x:v>
      </x:c>
      <x:c r="R7" s="26" t="str"/>
      <x:c r="S7" s="57" t="str">
        <x:v>WhatsApp institucional ou outro aplicativo de mensagem;ouvidoriaiapen@gmail.com;</x:v>
      </x:c>
      <x:c r="T7" s="66" t="str">
        <x:v>Art. 4º, III e V; art. 7º, §2º.</x:v>
      </x:c>
      <x:c r="U7" s="26" t="str"/>
      <x:c r="V7" s="57" t="str">
        <x:v>Cartões de contato da Ouvidoria;Conteúdos digitais no site ou portal institucional específicos da Ouvidoria de Serviços Penais;</x:v>
      </x:c>
      <x:c r="W7" s="66" t="str">
        <x:v>Art. 7º, §6º, III.</x:v>
      </x:c>
      <x:c r="X7" s="26" t="n">
        <x:f>SUM(IF(C7="Sim",3,0),IF(F7="Sim",1,0),IF(I7="Sim",1,0),IF(L7="Sim",1,0),IF(O7="Sim",1,0),IF(R7="Sim",1,0),IF(U7="Sim",2,0))</x:f>
        <x:v>0</x:v>
      </x:c>
      <x:c r="Y7" s="26" t="str">
        <x:v>Doc. SEI 37070578</x:v>
      </x:c>
    </x:row>
    <x:row r="8">
      <x:c r="A8" s="26" t="str">
        <x:v>AL</x:v>
      </x:c>
      <x:c r="B8" s="26" t="str">
        <x:v>Alagoas</x:v>
      </x:c>
      <x:c r="C8" s="26" t="str"/>
      <x:c r="D8" s="57" t="str">
        <x:v>Não utiliza o Fala.BR</x:v>
      </x:c>
      <x:c r="E8" s="66" t="str">
        <x:v>Art. 4º, V; art. 7º, §2º, III, e §5º.</x:v>
      </x:c>
      <x:c r="F8" s="26" t="str"/>
      <x:c r="G8" s="57" t="str">
        <x:v>não</x:v>
      </x:c>
      <x:c r="H8" s="66" t="str">
        <x:v>Art. 6º, §2º; art. 8º, §2º.</x:v>
      </x:c>
      <x:c r="I8" s="26" t="str"/>
      <x:c r="J8" s="57" t="str">
        <x:v>A equipe atua com dedicação exclusiva na Ouvidoria de Serviços Penais</x:v>
      </x:c>
      <x:c r="K8" s="66" t="str">
        <x:v>Art. 9º, caput.</x:v>
      </x:c>
      <x:c r="L8" s="26" t="str"/>
      <x:c r="M8" s="57" t="str">
        <x:v>Reputação ilibada;Conhecimento em gestão pública;Conhecimento em direitos humanos ou sistema penal;</x:v>
      </x:c>
      <x:c r="N8" s="66" t="str">
        <x:v>Art. 8º, §1º.</x:v>
      </x:c>
      <x:c r="O8" s="26" t="str"/>
      <x:c r="P8" s="57" t="str">
        <x:v>82-98802-5049</x:v>
      </x:c>
      <x:c r="Q8" s="66" t="str">
        <x:v>Art. 4º, III e V; art. 7º, §2º — canal adicional não previsto nominalmente.</x:v>
      </x:c>
      <x:c r="R8" s="26" t="str"/>
      <x:c r="S8" s="57" t="str">
        <x:v>WhatsApp institucional ou outro aplicativo de mensagem;</x:v>
      </x:c>
      <x:c r="T8" s="66" t="str">
        <x:v>Art. 4º, III e V; art. 7º, §2º.</x:v>
      </x:c>
      <x:c r="U8" s="26" t="str"/>
      <x:c r="V8" s="57" t="str">
        <x:v>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</x:v>
      </x:c>
      <x:c r="W8" s="66" t="str">
        <x:v>Art. 7º, §6º, III.</x:v>
      </x:c>
      <x:c r="X8" s="26" t="n">
        <x:f>SUM(IF(C8="Sim",3,0),IF(F8="Sim",1,0),IF(I8="Sim",1,0),IF(L8="Sim",1,0),IF(O8="Sim",1,0),IF(R8="Sim",1,0),IF(U8="Sim",2,0))</x:f>
        <x:v>0</x:v>
      </x:c>
      <x:c r="Y8" s="26" t="str">
        <x:v>Doc. SEI 37070578</x:v>
      </x:c>
    </x:row>
    <x:row r="9">
      <x:c r="A9" s="26" t="str">
        <x:v>AP</x:v>
      </x:c>
      <x:c r="B9" s="26" t="str">
        <x:v>Amapá</x:v>
      </x:c>
      <x:c r="C9" s="26" t="str"/>
      <x:c r="D9" s="57" t="str">
        <x:v>Não utiliza o Fala.BR</x:v>
      </x:c>
      <x:c r="E9" s="66" t="str">
        <x:v>Art. 4º, V; art. 7º, §2º, III, e §5º.</x:v>
      </x:c>
      <x:c r="F9" s="26" t="str"/>
      <x:c r="G9" s="57" t="str">
        <x:v>Não</x:v>
      </x:c>
      <x:c r="H9" s="66" t="str">
        <x:v>Art. 6º, §2º; art. 8º, §2º.</x:v>
      </x:c>
      <x:c r="I9" s="26" t="str"/>
      <x:c r="J9" s="57" t="str">
        <x:v>A equipe atua com dedicação exclusiva na Ouvidoria de Serviços Penais</x:v>
      </x:c>
      <x:c r="K9" s="66" t="str">
        <x:v>Art. 9º, caput.</x:v>
      </x:c>
      <x:c r="L9" s="26" t="str"/>
      <x:c r="M9" s="57" t="str">
        <x:v>Reputação ilibada;Conhecimento em gestão pública;Conhecimento em direitos humanos ou sistema penal;Experiência prévia em ouvidoria pública;</x:v>
      </x:c>
      <x:c r="N9" s="66" t="str">
        <x:v>Art. 8º, §1º.</x:v>
      </x:c>
      <x:c r="O9" s="26" t="str"/>
      <x:c r="P9" s="57" t="str">
        <x:v>96 98414-9015</x:v>
      </x:c>
      <x:c r="Q9" s="66" t="str">
        <x:v>Art. 4º, III e V; art. 7º, §2º — canal adicional não previsto nominalmente.</x:v>
      </x:c>
      <x:c r="R9" s="26" t="str"/>
      <x:c r="S9" s="57" t="str">
        <x:v>WhatsApp institucional ou outro aplicativo de mensagem;E-mail ;</x:v>
      </x:c>
      <x:c r="T9" s="66" t="str">
        <x:v>Art. 4º, III e V; art. 7º, §2º.</x:v>
      </x:c>
      <x:c r="U9" s="26" t="str"/>
      <x:c r="V9" s="57" t="str">
        <x:v>Conteúdos digitais no site ou portal institucional específicos da Ouvidoria de Serviços Penais;Outras peças ou campanhas de comunicação ou educação em direitos;</x:v>
      </x:c>
      <x:c r="W9" s="66" t="str">
        <x:v>Art. 7º, §6º, III.</x:v>
      </x:c>
      <x:c r="X9" s="26" t="n">
        <x:f>SUM(IF(C9="Sim",3,0),IF(F9="Sim",1,0),IF(I9="Sim",1,0),IF(L9="Sim",1,0),IF(O9="Sim",1,0),IF(R9="Sim",1,0),IF(U9="Sim",2,0))</x:f>
        <x:v>0</x:v>
      </x:c>
      <x:c r="Y9" s="26" t="str">
        <x:v>Doc. SEI 37070578</x:v>
      </x:c>
    </x:row>
    <x:row r="10">
      <x:c r="A10" s="26" t="str">
        <x:v>AM</x:v>
      </x:c>
      <x:c r="B10" s="26" t="str">
        <x:v>Amazonas</x:v>
      </x:c>
      <x:c r="C10" s="26" t="str"/>
      <x:c r="D10" s="57" t="str">
        <x:v>O Fala.BR é utilizado apenas para parte das manifestações</x:v>
      </x:c>
      <x:c r="E10" s="66" t="str">
        <x:v>Art. 4º, V; art. 7º, §2º, III, e §5º.</x:v>
      </x:c>
      <x:c r="F10" s="26" t="str"/>
      <x:c r="G10" s="57" t="str">
        <x:v>Negativo</x:v>
      </x:c>
      <x:c r="H10" s="66" t="str">
        <x:v>Art. 6º, §2º; art. 8º, §2º.</x:v>
      </x:c>
      <x:c r="I10" s="26" t="str"/>
      <x:c r="J10" s="57" t="str">
        <x:v>A equipe atua com dedicação exclusiva na Ouvidoria de Serviços Penais</x:v>
      </x:c>
      <x:c r="K10" s="66" t="str">
        <x:v>Art. 9º, caput.</x:v>
      </x:c>
      <x:c r="L10" s="26" t="str"/>
      <x:c r="M10" s="57" t="str">
        <x:v>Reputação ilibada;Conhecimento em gestão pública;Conhecimento em direitos humanos ou sistema penal;Experiência prévia em ouvidoria pública;</x:v>
      </x:c>
      <x:c r="N10" s="66" t="str">
        <x:v>Art. 8º, §1º.</x:v>
      </x:c>
      <x:c r="O10" s="26" t="str"/>
      <x:c r="P10" s="57" t="str">
        <x:v>92 9981033886 /92 99389-0160</x:v>
      </x:c>
      <x:c r="Q10" s="66" t="str">
        <x:v>Art. 4º, III e V; art. 7º, §2º — canal adicional não previsto nominalmente.</x:v>
      </x:c>
      <x:c r="R10" s="26" t="str"/>
      <x:c r="S10" s="57" t="str">
        <x:v>WhatsApp institucional ou outro aplicativo de mensagem;</x:v>
      </x:c>
      <x:c r="T10" s="66" t="str">
        <x:v>Art. 4º, III e V; art. 7º, §2º.</x:v>
      </x:c>
      <x:c r="U10" s="26" t="str"/>
      <x:c r="V10" s="57" t="str">
        <x:v>Conteúdos digitais no site ou portal institucional específicos da Ouvidoria de Serviços Penais;Materiais educativos voltados a pessoas privadas de liberdade, familiares ou servidores(as) penais;Folders, panfletos ou guias impressos explicando o papel da Ouvidoria e seus canais;</x:v>
      </x:c>
      <x:c r="W10" s="66" t="str">
        <x:v>Art. 7º, §6º, III.</x:v>
      </x:c>
      <x:c r="X10" s="26" t="n">
        <x:f>SUM(IF(C10="Sim",3,0),IF(F10="Sim",1,0),IF(I10="Sim",1,0),IF(L10="Sim",1,0),IF(O10="Sim",1,0),IF(R10="Sim",1,0),IF(U10="Sim",2,0))</x:f>
        <x:v>0</x:v>
      </x:c>
      <x:c r="Y10" s="26" t="str">
        <x:v>Doc. SEI 37070578</x:v>
      </x:c>
    </x:row>
    <x:row r="11">
      <x:c r="A11" s="26" t="str">
        <x:v>BA</x:v>
      </x:c>
      <x:c r="B11" s="26" t="str">
        <x:v>Bahia</x:v>
      </x:c>
      <x:c r="C11" s="26" t="str"/>
      <x:c r="D11" s="57" t="str">
        <x:v>Não utiliza o Fala.BR</x:v>
      </x:c>
      <x:c r="E11" s="66" t="str">
        <x:v>Art. 4º, V; art. 7º, §2º, III, e §5º.</x:v>
      </x:c>
      <x:c r="F11" s="26" t="str"/>
      <x:c r="G11" s="57" t="str">
        <x:v>Não</x:v>
      </x:c>
      <x:c r="H11" s="66" t="str">
        <x:v>Art. 6º, §2º; art. 8º, §2º.</x:v>
      </x:c>
      <x:c r="I11" s="26" t="str"/>
      <x:c r="J11" s="57" t="str">
        <x:v>Parte da equipe tem dedicação prioritária, mas acumula outras funções relevantes</x:v>
      </x:c>
      <x:c r="K11" s="66" t="str">
        <x:v>Art. 9º, caput.</x:v>
      </x:c>
      <x:c r="L11" s="26" t="str"/>
      <x:c r="M11" s="57" t="str">
        <x:v>Reputação ilibada;</x:v>
      </x:c>
      <x:c r="N11" s="66" t="str">
        <x:v>Art. 8º, §1º.</x:v>
      </x:c>
      <x:c r="O11" s="26" t="str"/>
      <x:c r="P11" s="57" t="str">
        <x:v>Sem resposta no diagnóstico</x:v>
      </x:c>
      <x:c r="Q11" s="66" t="str">
        <x:v>Art. 4º, III e V; art. 7º, §2º — canal adicional não previsto nominalmente.</x:v>
      </x:c>
      <x:c r="R11" s="26" t="str"/>
      <x:c r="S11" s="57" t="str">
        <x:v>e-mail, telefone, TAG (sistema das ouvidorias - site e 0800);</x:v>
      </x:c>
      <x:c r="T11" s="66" t="str">
        <x:v>Art. 4º, III e V; art. 7º, §2º.</x:v>
      </x:c>
      <x:c r="U11" s="26" t="str"/>
      <x:c r="V11" s="57" t="str">
        <x:v>Cartões de contato da Ouvidoria;</x:v>
      </x:c>
      <x:c r="W11" s="66" t="str">
        <x:v>Art. 7º, §6º, III.</x:v>
      </x:c>
      <x:c r="X11" s="26" t="n">
        <x:f>SUM(IF(C11="Sim",3,0),IF(F11="Sim",1,0),IF(I11="Sim",1,0),IF(L11="Sim",1,0),IF(O11="Sim",1,0),IF(R11="Sim",1,0),IF(U11="Sim",2,0))</x:f>
        <x:v>0</x:v>
      </x:c>
      <x:c r="Y11" s="26" t="str">
        <x:v>Doc. SEI 37070578</x:v>
      </x:c>
    </x:row>
    <x:row r="12">
      <x:c r="A12" s="26" t="str">
        <x:v>CE</x:v>
      </x:c>
      <x:c r="B12" s="26" t="str">
        <x:v>Ceará</x:v>
      </x:c>
      <x:c r="C12" s="26" t="str"/>
      <x:c r="D12" s="57" t="str">
        <x:v>Não utiliza o Fala.BR</x:v>
      </x:c>
      <x:c r="E12" s="66" t="str">
        <x:v>Art. 4º, V; art. 7º, §2º, III, e §5º.</x:v>
      </x:c>
      <x:c r="F12" s="26" t="str"/>
      <x:c r="G12" s="57" t="str">
        <x:v>Não. No Ceará designação se dá por livre nomeação e exoneração.</x:v>
      </x:c>
      <x:c r="H12" s="66" t="str">
        <x:v>Art. 6º, §2º; art. 8º, §2º.</x:v>
      </x:c>
      <x:c r="I12" s="26" t="str"/>
      <x:c r="J12" s="57" t="str">
        <x:v>A equipe atua com dedicação exclusiva na Ouvidoria de Serviços Penais</x:v>
      </x:c>
      <x:c r="K12" s="66" t="str">
        <x:v>Art. 9º, caput.</x:v>
      </x:c>
      <x:c r="L12" s="26" t="str"/>
      <x:c r="M12" s="57" t="str">
        <x:v>Reputação ilibada;Conhecimento em gestão pública;Conhecimento em direitos humanos ou sistema penal;Experiência prévia em ouvidoria pública;</x:v>
      </x:c>
      <x:c r="N12" s="66" t="str">
        <x:v>Art. 8º, §1º.</x:v>
      </x:c>
      <x:c r="O12" s="26" t="str"/>
      <x:c r="P12" s="57" t="str">
        <x:v>155</x:v>
      </x:c>
      <x:c r="Q12" s="66" t="str">
        <x:v>Art. 4º, III e V; art. 7º, §2º — canal adicional não previsto nominalmente.</x:v>
      </x:c>
      <x:c r="R12" s="26" t="str"/>
      <x:c r="S12" s="57" t="str">
        <x:v>cearatransparente.ce.gov.br ;</x:v>
      </x:c>
      <x:c r="T12" s="66" t="str">
        <x:v>Art. 4º, III e V; art. 7º, §2º.</x:v>
      </x:c>
      <x:c r="U12" s="26" t="str"/>
      <x:c r="V12" s="57" t="str">
        <x:v>Folders, panfletos ou guias impressos explicando o papel da Ouvidoria e seus canais;</x:v>
      </x:c>
      <x:c r="W12" s="66" t="str">
        <x:v>Art. 7º, §6º, III.</x:v>
      </x:c>
      <x:c r="X12" s="26" t="n">
        <x:f>SUM(IF(C12="Sim",3,0),IF(F12="Sim",1,0),IF(I12="Sim",1,0),IF(L12="Sim",1,0),IF(O12="Sim",1,0),IF(R12="Sim",1,0),IF(U12="Sim",2,0))</x:f>
        <x:v>0</x:v>
      </x:c>
      <x:c r="Y12" s="26" t="str">
        <x:v>Doc. SEI 37070578</x:v>
      </x:c>
    </x:row>
    <x:row r="13">
      <x:c r="A13" s="26" t="str">
        <x:v>DF</x:v>
      </x:c>
      <x:c r="B13" s="26" t="str">
        <x:v>Distrito Federal</x:v>
      </x:c>
      <x:c r="C13" s="26" t="str"/>
      <x:c r="D13" s="57" t="str">
        <x:v>Não utiliza o Fala.BR</x:v>
      </x:c>
      <x:c r="E13" s="66" t="str">
        <x:v>Art. 4º, V; art. 7º, §2º, III, e §5º.</x:v>
      </x:c>
      <x:c r="F13" s="26" t="str"/>
      <x:c r="G13" s="57" t="str">
        <x:v>Não.</x:v>
      </x:c>
      <x:c r="H13" s="66" t="str">
        <x:v>Art. 6º, §2º; art. 8º, §2º.</x:v>
      </x:c>
      <x:c r="I13" s="26" t="str"/>
      <x:c r="J13" s="57" t="str">
        <x:v>Parte da equipe tem dedicação prioritária, mas acumula outras funções relevantes</x:v>
      </x:c>
      <x:c r="K13" s="66" t="str">
        <x:v>Art. 9º, caput.</x:v>
      </x:c>
      <x:c r="L13" s="26" t="str"/>
      <x:c r="M13" s="57" t="str">
        <x:v>Reputação ilibada;Conhecimento em gestão pública;</x:v>
      </x:c>
      <x:c r="N13" s="66" t="str">
        <x:v>Art. 8º, §1º.</x:v>
      </x:c>
      <x:c r="O13" s="26" t="str"/>
      <x:c r="P13" s="57" t="str">
        <x:v>Sem resposta no diagnóstico</x:v>
      </x:c>
      <x:c r="Q13" s="66" t="str">
        <x:v>Art. 4º, III e V; art. 7º, §2º — canal adicional não previsto nominalmente.</x:v>
      </x:c>
      <x:c r="R13" s="26" t="str"/>
      <x:c r="S13" s="57" t="str">
        <x:v>Não se aplica. Vedação legal do GDF;</x:v>
      </x:c>
      <x:c r="T13" s="66" t="str">
        <x:v>Art. 4º, III e V; art. 7º, §2º.</x:v>
      </x:c>
      <x:c r="U13" s="26" t="str"/>
      <x:c r="V13" s="57" t="str">
        <x:v>Folders, panfletos ou guias impressos explicando o papel da Ouvidoria e seus canais;Conteúdos digitais no site ou portal institucional específicos da Ouvidoria de Serviços Penais;</x:v>
      </x:c>
      <x:c r="W13" s="66" t="str">
        <x:v>Art. 7º, §6º, III.</x:v>
      </x:c>
      <x:c r="X13" s="26" t="n">
        <x:f>SUM(IF(C13="Sim",3,0),IF(F13="Sim",1,0),IF(I13="Sim",1,0),IF(L13="Sim",1,0),IF(O13="Sim",1,0),IF(R13="Sim",1,0),IF(U13="Sim",2,0))</x:f>
        <x:v>0</x:v>
      </x:c>
      <x:c r="Y13" s="26" t="str">
        <x:v>Doc. SEI 37070578</x:v>
      </x:c>
    </x:row>
    <x:row r="14">
      <x:c r="A14" s="26" t="str">
        <x:v>ES</x:v>
      </x:c>
      <x:c r="B14" s="26" t="str">
        <x:v>Espírito Santo — Polícia Penal</x:v>
      </x:c>
      <x:c r="C14" s="26" t="str"/>
      <x:c r="D14" s="57" t="str">
        <x:v>Não utiliza o Fala.BR</x:v>
      </x:c>
      <x:c r="E14" s="66" t="str">
        <x:v>Art. 4º, V; art. 7º, §2º, III, e §5º.</x:v>
      </x:c>
      <x:c r="F14" s="26" t="str"/>
      <x:c r="G14" s="57" t="str">
        <x:v>05/01/2026 a 03/02/2026</x:v>
      </x:c>
      <x:c r="H14" s="66" t="str">
        <x:v>Art. 6º, §2º; art. 8º, §2º.</x:v>
      </x:c>
      <x:c r="I14" s="26" t="str"/>
      <x:c r="J14" s="57" t="str">
        <x:v>A equipe atua com dedicação exclusiva na Ouvidoria de Serviços Penais</x:v>
      </x:c>
      <x:c r="K14" s="66" t="str">
        <x:v>Art. 9º, caput.</x:v>
      </x:c>
      <x:c r="L14" s="26" t="str"/>
      <x:c r="M14" s="57" t="str">
        <x:v>Reputação ilibada;Conhecimento em direitos humanos ou sistema penal;Conhecimento em gestão pública;</x:v>
      </x:c>
      <x:c r="N14" s="66" t="str">
        <x:v>Art. 8º, §1º.</x:v>
      </x:c>
      <x:c r="O14" s="26" t="str"/>
      <x:c r="P14" s="57" t="str">
        <x:v>(27) 99316-7687</x:v>
      </x:c>
      <x:c r="Q14" s="66" t="str">
        <x:v>Art. 4º, III e V; art. 7º, §2º — canal adicional não previsto nominalmente.</x:v>
      </x:c>
      <x:c r="R14" s="26" t="str"/>
      <x:c r="S14" s="57" t="str">
        <x:v>WhatsApp institucional ou outro aplicativo de mensagem;</x:v>
      </x:c>
      <x:c r="T14" s="66" t="str">
        <x:v>Art. 4º, III e V; art. 7º, §2º.</x:v>
      </x:c>
      <x:c r="U14" s="26" t="str"/>
      <x:c r="V14" s="57" t="str">
        <x:v>Folders, panfletos ou guias impressos explicando o papel da Ouvidoria e seus canais;Conteúdos digitais no site ou portal institucional específicos da Ouvidoria de Serviços Penais;Outras peças ou campanhas de comunicação ou educação em direitos;</x:v>
      </x:c>
      <x:c r="W14" s="66" t="str">
        <x:v>Art. 7º, §6º, III.</x:v>
      </x:c>
      <x:c r="X14" s="26" t="n">
        <x:f>SUM(IF(C14="Sim",3,0),IF(F14="Sim",1,0),IF(I14="Sim",1,0),IF(L14="Sim",1,0),IF(O14="Sim",1,0),IF(R14="Sim",1,0),IF(U14="Sim",2,0))</x:f>
        <x:v>0</x:v>
      </x:c>
      <x:c r="Y14" s="26" t="str">
        <x:v>Doc. SEI 37070578</x:v>
      </x:c>
    </x:row>
    <x:row r="15">
      <x:c r="A15" s="26" t="str">
        <x:v>ES</x:v>
      </x:c>
      <x:c r="B15" s="26" t="str">
        <x:v>Espírito Santo — SEJUS/ES</x:v>
      </x:c>
      <x:c r="C15" s="26" t="str"/>
      <x:c r="D15" s="57" t="str">
        <x:v>Não utiliza o Fala.BR</x:v>
      </x:c>
      <x:c r="E15" s="66" t="str">
        <x:v>Art. 4º, V; art. 7º, §2º, III, e §5º.</x:v>
      </x:c>
      <x:c r="F15" s="26" t="str"/>
      <x:c r="G15" s="57" t="str">
        <x:v>Não.</x:v>
      </x:c>
      <x:c r="H15" s="66" t="str">
        <x:v>Art. 6º, §2º; art. 8º, §2º.</x:v>
      </x:c>
      <x:c r="I15" s="26" t="str"/>
      <x:c r="J15" s="57" t="str">
        <x:v>A equipe atua de forma predominantemente residual (ouvidoria é atividade secundária)</x:v>
      </x:c>
      <x:c r="K15" s="66" t="str">
        <x:v>Art. 9º, caput.</x:v>
      </x:c>
      <x:c r="L15" s="26" t="str"/>
      <x:c r="M15" s="57" t="str">
        <x:v>Reputação ilibada;Conhecimento em gestão pública;Conhecimento em direitos humanos ou sistema penal;Experiência prévia em ouvidoria pública;</x:v>
      </x:c>
      <x:c r="N15" s="66" t="str">
        <x:v>Art. 8º, §1º.</x:v>
      </x:c>
      <x:c r="O15" s="26" t="str"/>
      <x:c r="P15" s="57" t="str">
        <x:v>Não tem.</x:v>
      </x:c>
      <x:c r="Q15" s="66" t="str">
        <x:v>Art. 4º, III e V; art. 7º, §2º — canal adicional não previsto nominalmente.</x:v>
      </x:c>
      <x:c r="R15" s="26" t="str"/>
      <x:c r="S15" s="57" t="str">
        <x:v>Os canais da Ouvidoria Geral são: Presencial, site, e-mail e telefone.;</x:v>
      </x:c>
      <x:c r="T15" s="66" t="str">
        <x:v>Art. 4º, III e V; art. 7º, §2º.</x:v>
      </x:c>
      <x:c r="U15" s="26" t="str"/>
      <x:c r="V15" s="57" t="str">
        <x:v>Outras peças ou campanhas de comunicação ou educação em direitos;</x:v>
      </x:c>
      <x:c r="W15" s="66" t="str">
        <x:v>Art. 7º, §6º, III.</x:v>
      </x:c>
      <x:c r="X15" s="26" t="n">
        <x:f>SUM(IF(C15="Sim",3,0),IF(F15="Sim",1,0),IF(I15="Sim",1,0),IF(L15="Sim",1,0),IF(O15="Sim",1,0),IF(R15="Sim",1,0),IF(U15="Sim",2,0))</x:f>
        <x:v>0</x:v>
      </x:c>
      <x:c r="Y15" s="26" t="str">
        <x:v>Doc. SEI 37070578</x:v>
      </x:c>
    </x:row>
    <x:row r="16">
      <x:c r="A16" s="26" t="str">
        <x:v>GO</x:v>
      </x:c>
      <x:c r="B16" s="26" t="str">
        <x:v>Goiás</x:v>
      </x:c>
      <x:c r="C16" s="26" t="str"/>
      <x:c r="D16" s="57" t="str">
        <x:v>Não utiliza o Fala.BR</x:v>
      </x:c>
      <x:c r="E16" s="66" t="str">
        <x:v>Art. 4º, V; art. 7º, §2º, III, e §5º.</x:v>
      </x:c>
      <x:c r="F16" s="26" t="str"/>
      <x:c r="G16" s="57" t="str">
        <x:v>Não</x:v>
      </x:c>
      <x:c r="H16" s="66" t="str">
        <x:v>Art. 6º, §2º; art. 8º, §2º.</x:v>
      </x:c>
      <x:c r="I16" s="26" t="str"/>
      <x:c r="J16" s="57" t="str">
        <x:v>A equipe atua com dedicação exclusiva na Ouvidoria de Serviços Penais</x:v>
      </x:c>
      <x:c r="K16" s="66" t="str">
        <x:v>Art. 9º, caput.</x:v>
      </x:c>
      <x:c r="L16" s="26" t="str"/>
      <x:c r="M16" s="57" t="str">
        <x:v>Reputação ilibada;Conhecimento em gestão pública;Conhecimento em direitos humanos ou sistema penal;</x:v>
      </x:c>
      <x:c r="N16" s="66" t="str">
        <x:v>Art. 8º, §1º.</x:v>
      </x:c>
      <x:c r="O16" s="26" t="str"/>
      <x:c r="P16" s="57" t="str">
        <x:v>Sem resposta no diagnóstico</x:v>
      </x:c>
      <x:c r="Q16" s="66" t="str">
        <x:v>Art. 4º, III e V; art. 7º, §2º — canal adicional não previsto nominalmente.</x:v>
      </x:c>
      <x:c r="R16" s="26" t="str"/>
      <x:c r="S16" s="57" t="str">
        <x:v>Serviço 0800 ou linha telefônica especial;</x:v>
      </x:c>
      <x:c r="T16" s="66" t="str">
        <x:v>Art. 4º, III e V; art. 7º, §2º.</x:v>
      </x:c>
      <x:c r="U16" s="26" t="str"/>
      <x:c r="V16" s="57" t="str">
        <x:v>Conteúdos digitais no site ou portal institucional específicos da Ouvidoria de Serviços Penais;</x:v>
      </x:c>
      <x:c r="W16" s="66" t="str">
        <x:v>Art. 7º, §6º, III.</x:v>
      </x:c>
      <x:c r="X16" s="26" t="n">
        <x:f>SUM(IF(C16="Sim",3,0),IF(F16="Sim",1,0),IF(I16="Sim",1,0),IF(L16="Sim",1,0),IF(O16="Sim",1,0),IF(R16="Sim",1,0),IF(U16="Sim",2,0))</x:f>
        <x:v>0</x:v>
      </x:c>
      <x:c r="Y16" s="26" t="str">
        <x:v>Doc. SEI 37070578</x:v>
      </x:c>
    </x:row>
    <x:row r="17">
      <x:c r="A17" s="26" t="str">
        <x:v>MA</x:v>
      </x:c>
      <x:c r="B17" s="26" t="str">
        <x:v>Maranhão</x:v>
      </x:c>
      <x:c r="C17" s="26" t="str"/>
      <x:c r="D17" s="57" t="str">
        <x:v>Não utiliza o Fala.BR</x:v>
      </x:c>
      <x:c r="E17" s="66" t="str">
        <x:v>Art. 4º, V; art. 7º, §2º, III, e §5º.</x:v>
      </x:c>
      <x:c r="F17" s="26" t="str"/>
      <x:c r="G17" s="57" t="str">
        <x:v>NÃO</x:v>
      </x:c>
      <x:c r="H17" s="66" t="str">
        <x:v>Art. 6º, §2º; art. 8º, §2º.</x:v>
      </x:c>
      <x:c r="I17" s="26" t="str"/>
      <x:c r="J17" s="57" t="str">
        <x:v>A equipe atua com dedicação exclusiva na Ouvidoria de Serviços Penais</x:v>
      </x:c>
      <x:c r="K17" s="66" t="str">
        <x:v>Art. 9º, caput.</x:v>
      </x:c>
      <x:c r="L17" s="26" t="str"/>
      <x:c r="M17" s="57" t="str">
        <x:v>Reputação ilibada;Conhecimento em gestão pública;Experiência prévia em ouvidoria pública;</x:v>
      </x:c>
      <x:c r="N17" s="66" t="str">
        <x:v>Art. 8º, §1º.</x:v>
      </x:c>
      <x:c r="O17" s="26" t="str"/>
      <x:c r="P17" s="57" t="str">
        <x:v>(98) 99181-7012</x:v>
      </x:c>
      <x:c r="Q17" s="66" t="str">
        <x:v>Art. 4º, III e V; art. 7º, §2º — canal adicional não previsto nominalmente.</x:v>
      </x:c>
      <x:c r="R17" s="26" t="str"/>
      <x:c r="S17" s="57" t="str">
        <x:v>WhatsApp institucional ou outro aplicativo de mensagem;Serviço 0800 ou linha telefônica especial;</x:v>
      </x:c>
      <x:c r="T17" s="66" t="str">
        <x:v>Art. 4º, III e V; art. 7º, §2º.</x:v>
      </x:c>
      <x:c r="U17" s="26" t="str"/>
      <x:c r="V17" s="57" t="str">
        <x:v>Cartões de contato da Ouvidoria;Conteúdos digitais no site ou portal institucional específicos da Ouvidoria de Serviços Penais;</x:v>
      </x:c>
      <x:c r="W17" s="66" t="str">
        <x:v>Art. 7º, §6º, III.</x:v>
      </x:c>
      <x:c r="X17" s="26" t="n">
        <x:f>SUM(IF(C17="Sim",3,0),IF(F17="Sim",1,0),IF(I17="Sim",1,0),IF(L17="Sim",1,0),IF(O17="Sim",1,0),IF(R17="Sim",1,0),IF(U17="Sim",2,0))</x:f>
        <x:v>0</x:v>
      </x:c>
      <x:c r="Y17" s="26" t="str">
        <x:v>Doc. SEI 37070578</x:v>
      </x:c>
    </x:row>
    <x:row r="18">
      <x:c r="A18" s="26" t="str">
        <x:v>MT</x:v>
      </x:c>
      <x:c r="B18" s="26" t="str">
        <x:v>Mato Grosso</x:v>
      </x:c>
      <x:c r="C18" s="26" t="str"/>
      <x:c r="D18" s="57" t="str">
        <x:v>O Fala.BR é utilizado como sistema principal de registro e gestão das manifestações</x:v>
      </x:c>
      <x:c r="E18" s="66" t="str">
        <x:v>Art. 4º, V; art. 7º, §2º, III, e §5º.</x:v>
      </x:c>
      <x:c r="F18" s="26" t="str"/>
      <x:c r="G18" s="57" t="str">
        <x:v>permanente</x:v>
      </x:c>
      <x:c r="H18" s="66" t="str">
        <x:v>Art. 6º, §2º; art. 8º, §2º.</x:v>
      </x:c>
      <x:c r="I18" s="26" t="str"/>
      <x:c r="J18" s="57" t="str">
        <x:v>A equipe atua com dedicação exclusiva na Ouvidoria de Serviços Penais</x:v>
      </x:c>
      <x:c r="K18" s="66" t="str">
        <x:v>Art. 9º, caput.</x:v>
      </x:c>
      <x:c r="L18" s="26" t="str"/>
      <x:c r="M18" s="57" t="str">
        <x:v>Reputação ilibada;Conhecimento em gestão pública;Conhecimento em direitos humanos ou sistema penal;</x:v>
      </x:c>
      <x:c r="N18" s="66" t="str">
        <x:v>Art. 8º, §1º.</x:v>
      </x:c>
      <x:c r="O18" s="26" t="str"/>
      <x:c r="P18" s="57" t="str">
        <x:v>+556581300380</x:v>
      </x:c>
      <x:c r="Q18" s="66" t="str">
        <x:v>Art. 4º, III e V; art. 7º, §2º — canal adicional não previsto nominalmente.</x:v>
      </x:c>
      <x:c r="R18" s="26" t="str"/>
      <x:c r="S18" s="57" t="str">
        <x:v>WhatsApp institucional ou outro aplicativo de mensagem;fala Cidadão;</x:v>
      </x:c>
      <x:c r="T18" s="66" t="str">
        <x:v>Art. 4º, III e V; art. 7º, §2º.</x:v>
      </x:c>
      <x:c r="U18" s="26" t="str"/>
      <x:c r="V18" s="57" t="str">
        <x:v>Cartões de contato da Ouvidoria;Folders,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Penais;Outras peças ou campanhas de comunicação ou educação em direitos;</x:v>
      </x:c>
      <x:c r="W18" s="66" t="str">
        <x:v>Art. 7º, §6º, III.</x:v>
      </x:c>
      <x:c r="X18" s="26" t="n">
        <x:f>SUM(IF(C18="Sim",3,0),IF(F18="Sim",1,0),IF(I18="Sim",1,0),IF(L18="Sim",1,0),IF(O18="Sim",1,0),IF(R18="Sim",1,0),IF(U18="Sim",2,0))</x:f>
        <x:v>0</x:v>
      </x:c>
      <x:c r="Y18" s="26" t="str">
        <x:v>Doc. SEI 37070578</x:v>
      </x:c>
    </x:row>
    <x:row r="19">
      <x:c r="A19" s="26" t="str">
        <x:v>MS</x:v>
      </x:c>
      <x:c r="B19" s="26" t="str">
        <x:v>Mato Grosso do Sul</x:v>
      </x:c>
      <x:c r="C19" s="26" t="str"/>
      <x:c r="D19" s="57" t="str">
        <x:v>O Fala.BR é utilizado como sistema principal de registro e gestão das manifestações</x:v>
      </x:c>
      <x:c r="E19" s="66" t="str">
        <x:v>Art. 4º, V; art. 7º, §2º, III, e §5º.</x:v>
      </x:c>
      <x:c r="F19" s="26" t="str"/>
      <x:c r="G19" s="57" t="str">
        <x:v>NÃO</x:v>
      </x:c>
      <x:c r="H19" s="66" t="str">
        <x:v>Art. 6º, §2º; art. 8º, §2º.</x:v>
      </x:c>
      <x:c r="I19" s="26" t="str"/>
      <x:c r="J19" s="57" t="str">
        <x:v>A equipe atua com dedicação exclusiva na Ouvidoria de Serviços Penais</x:v>
      </x:c>
      <x:c r="K19" s="66" t="str">
        <x:v>Art. 9º, caput.</x:v>
      </x:c>
      <x:c r="L19" s="26" t="str"/>
      <x:c r="M19" s="57" t="str">
        <x:v>Reputação ilibada;Conhecimento em gestão pública;Conhecimento em direitos humanos ou sistema penal;</x:v>
      </x:c>
      <x:c r="N19" s="66" t="str">
        <x:v>Art. 8º, §1º.</x:v>
      </x:c>
      <x:c r="O19" s="26" t="str"/>
      <x:c r="P19" s="57" t="str">
        <x:v>(67)99971-4323</x:v>
      </x:c>
      <x:c r="Q19" s="66" t="str">
        <x:v>Art. 4º, III e V; art. 7º, §2º — canal adicional não previsto nominalmente.</x:v>
      </x:c>
      <x:c r="R19" s="26" t="str"/>
      <x:c r="S19" s="57" t="str">
        <x:v>WhatsApp institucional ou outro aplicativo de mensagem;</x:v>
      </x:c>
      <x:c r="T19" s="66" t="str">
        <x:v>Art. 4º, III e V; art. 7º, §2º.</x:v>
      </x:c>
      <x:c r="U19" s="26" t="str"/>
      <x:c r="V19" s="57" t="str">
        <x:v>Conteúdos digitais no site ou portal institucional específicos da Ouvidoria de Serviços Penais;</x:v>
      </x:c>
      <x:c r="W19" s="66" t="str">
        <x:v>Art. 7º, §6º, III.</x:v>
      </x:c>
      <x:c r="X19" s="26" t="n">
        <x:f>SUM(IF(C19="Sim",3,0),IF(F19="Sim",1,0),IF(I19="Sim",1,0),IF(L19="Sim",1,0),IF(O19="Sim",1,0),IF(R19="Sim",1,0),IF(U19="Sim",2,0))</x:f>
        <x:v>0</x:v>
      </x:c>
      <x:c r="Y19" s="26" t="str">
        <x:v>Doc. SEI 37070578</x:v>
      </x:c>
    </x:row>
    <x:row r="20">
      <x:c r="A20" s="26" t="str">
        <x:v>MG</x:v>
      </x:c>
      <x:c r="B20" s="26" t="str">
        <x:v>Minas Gerais</x:v>
      </x:c>
      <x:c r="C20" s="26" t="str"/>
      <x:c r="D20" s="57" t="str">
        <x:v>Não utiliza o Fala.BR</x:v>
      </x:c>
      <x:c r="E20" s="66" t="str">
        <x:v>Art. 4º, V; art. 7º, §2º, III, e §5º.</x:v>
      </x:c>
      <x:c r="F20" s="26" t="str"/>
      <x:c r="G20" s="57" t="str">
        <x:v>Não</x:v>
      </x:c>
      <x:c r="H20" s="66" t="str">
        <x:v>Art. 6º, §2º; art. 8º, §2º.</x:v>
      </x:c>
      <x:c r="I20" s="26" t="str"/>
      <x:c r="J20" s="57" t="str">
        <x:v>A equipe atua com dedicação exclusiva na Ouvidoria de Serviços Penais</x:v>
      </x:c>
      <x:c r="K20" s="66" t="str">
        <x:v>Art. 9º, caput.</x:v>
      </x:c>
      <x:c r="L20" s="26" t="str"/>
      <x:c r="M20" s="57" t="str">
        <x:v>Sem resposta no diagnóstico</x:v>
      </x:c>
      <x:c r="N20" s="66" t="str">
        <x:v>Art. 8º, §1º.</x:v>
      </x:c>
      <x:c r="O20" s="26" t="str"/>
      <x:c r="P20" s="57" t="str">
        <x:v>(31) 3915-2022</x:v>
      </x:c>
      <x:c r="Q20" s="66" t="str">
        <x:v>Art. 4º, III e V; art. 7º, §2º — canal adicional não previsto nominalmente.</x:v>
      </x:c>
      <x:c r="R20" s="26" t="str"/>
      <x:c r="S20" s="57" t="str">
        <x:v>WhatsApp institucional ou outro aplicativo de mensagem;Serviço 0800 ou linha telefônica especial;</x:v>
      </x:c>
      <x:c r="T20" s="66" t="str">
        <x:v>Art. 4º, III e V; art. 7º, §2º.</x:v>
      </x:c>
      <x:c r="U20" s="26" t="str"/>
      <x:c r="V20" s="57" t="str">
        <x:v>Folders, panfletos ou guias impressos explicando o papel da Ouvidoria e seus canais;Outras peças ou campanhas de comunicação ou educação em direitos;</x:v>
      </x:c>
      <x:c r="W20" s="66" t="str">
        <x:v>Art. 7º, §6º, III.</x:v>
      </x:c>
      <x:c r="X20" s="26" t="n">
        <x:f>SUM(IF(C20="Sim",3,0),IF(F20="Sim",1,0),IF(I20="Sim",1,0),IF(L20="Sim",1,0),IF(O20="Sim",1,0),IF(R20="Sim",1,0),IF(U20="Sim",2,0))</x:f>
        <x:v>0</x:v>
      </x:c>
      <x:c r="Y20" s="26" t="str">
        <x:v>Doc. SEI 37070578</x:v>
      </x:c>
    </x:row>
    <x:row r="21">
      <x:c r="A21" s="26" t="str">
        <x:v>PA</x:v>
      </x:c>
      <x:c r="B21" s="26" t="str">
        <x:v>Pará</x:v>
      </x:c>
      <x:c r="C21" s="26" t="str"/>
      <x:c r="D21" s="57" t="str">
        <x:v>Não utiliza o Fala.BR</x:v>
      </x:c>
      <x:c r="E21" s="66" t="str">
        <x:v>Art. 4º, V; art. 7º, §2º, III, e §5º.</x:v>
      </x:c>
      <x:c r="F21" s="26" t="str"/>
      <x:c r="G21" s="57" t="str">
        <x:v>Não</x:v>
      </x:c>
      <x:c r="H21" s="66" t="str">
        <x:v>Art. 6º, §2º; art. 8º, §2º.</x:v>
      </x:c>
      <x:c r="I21" s="26" t="str"/>
      <x:c r="J21" s="57" t="str">
        <x:v>Não há equipe</x:v>
      </x:c>
      <x:c r="K21" s="66" t="str">
        <x:v>Art. 9º, caput.</x:v>
      </x:c>
      <x:c r="L21" s="26" t="str"/>
      <x:c r="M21" s="57" t="str">
        <x:v>Reputação ilibada;Conhecimento em gestão pública;Conhecimento em direitos humanos ou sistema penal;Experiência prévia em ouvidoria pública;</x:v>
      </x:c>
      <x:c r="N21" s="66" t="str">
        <x:v>Art. 8º, §1º.</x:v>
      </x:c>
      <x:c r="O21" s="26" t="str"/>
      <x:c r="P21" s="57" t="str">
        <x:v>Não temos</x:v>
      </x:c>
      <x:c r="Q21" s="66" t="str">
        <x:v>Art. 4º, III e V; art. 7º, §2º — canal adicional não previsto nominalmente.</x:v>
      </x:c>
      <x:c r="R21" s="26" t="str"/>
      <x:c r="S21" s="57" t="str">
        <x:v>Não temos;</x:v>
      </x:c>
      <x:c r="T21" s="66" t="str">
        <x:v>Art. 4º, III e V; art. 7º, §2º.</x:v>
      </x:c>
      <x:c r="U21" s="26" t="str"/>
      <x:c r="V21" s="57" t="str">
        <x:v>Folders, panfletos ou guias impressos explicando o papel da Ouvidoria e seus canais;</x:v>
      </x:c>
      <x:c r="W21" s="66" t="str">
        <x:v>Art. 7º, §6º, III.</x:v>
      </x:c>
      <x:c r="X21" s="26" t="n">
        <x:f>SUM(IF(C21="Sim",3,0),IF(F21="Sim",1,0),IF(I21="Sim",1,0),IF(L21="Sim",1,0),IF(O21="Sim",1,0),IF(R21="Sim",1,0),IF(U21="Sim",2,0))</x:f>
        <x:v>0</x:v>
      </x:c>
      <x:c r="Y21" s="26" t="str">
        <x:v>Doc. SEI 37070578</x:v>
      </x:c>
    </x:row>
    <x:row r="22">
      <x:c r="A22" s="26" t="str">
        <x:v>PB</x:v>
      </x:c>
      <x:c r="B22" s="26" t="str">
        <x:v>Paraíba</x:v>
      </x:c>
      <x:c r="C22" s="26" t="str"/>
      <x:c r="D22" s="57" t="str">
        <x:v>Não utiliza o Fala.BR</x:v>
      </x:c>
      <x:c r="E22" s="66" t="str">
        <x:v>Art. 4º, V; art. 7º, §2º, III, e §5º.</x:v>
      </x:c>
      <x:c r="F22" s="26" t="str"/>
      <x:c r="G22" s="57" t="str">
        <x:v>Não</x:v>
      </x:c>
      <x:c r="H22" s="66" t="str">
        <x:v>Art. 6º, §2º; art. 8º, §2º.</x:v>
      </x:c>
      <x:c r="I22" s="26" t="str"/>
      <x:c r="J22" s="57" t="str">
        <x:v>Parte da equipe tem dedicação prioritária, mas acumula outras funções relevantes</x:v>
      </x:c>
      <x:c r="K22" s="66" t="str">
        <x:v>Art. 9º, caput.</x:v>
      </x:c>
      <x:c r="L22" s="26" t="str"/>
      <x:c r="M22" s="57" t="str">
        <x:v>Conhecimento em direitos humanos ou sistema penal;Experiência prévia em ouvidoria pública;</x:v>
      </x:c>
      <x:c r="N22" s="66" t="str">
        <x:v>Art. 8º, §1º.</x:v>
      </x:c>
      <x:c r="O22" s="26" t="str"/>
      <x:c r="P22" s="57" t="str">
        <x:v>83 99121-7665</x:v>
      </x:c>
      <x:c r="Q22" s="66" t="str">
        <x:v>Art. 4º, III e V; art. 7º, §2º — canal adicional não previsto nominalmente.</x:v>
      </x:c>
      <x:c r="R22" s="26" t="str"/>
      <x:c r="S22" s="57" t="str">
        <x:v>WhatsApp institucional ou outro aplicativo de mensagem;Serviço 0800 ou linha telefônica especial;</x:v>
      </x:c>
      <x:c r="T22" s="66" t="str">
        <x:v>Art. 4º, III e V; art. 7º, §2º.</x:v>
      </x:c>
      <x:c r="U22" s="26" t="str"/>
      <x:c r="V22" s="57" t="str">
        <x:v>Conteúdos digitais no site ou portal institucional específicos da Ouvidoria de Serviços Penais;</x:v>
      </x:c>
      <x:c r="W22" s="66" t="str">
        <x:v>Art. 7º, §6º, III.</x:v>
      </x:c>
      <x:c r="X22" s="26" t="n">
        <x:f>SUM(IF(C22="Sim",3,0),IF(F22="Sim",1,0),IF(I22="Sim",1,0),IF(L22="Sim",1,0),IF(O22="Sim",1,0),IF(R22="Sim",1,0),IF(U22="Sim",2,0))</x:f>
        <x:v>0</x:v>
      </x:c>
      <x:c r="Y22" s="26" t="str">
        <x:v>Doc. SEI 37070578</x:v>
      </x:c>
    </x:row>
    <x:row r="23">
      <x:c r="A23" s="26" t="str">
        <x:v>PR</x:v>
      </x:c>
      <x:c r="B23" s="26" t="str">
        <x:v>Paraná</x:v>
      </x:c>
      <x:c r="C23" s="26" t="str"/>
      <x:c r="D23" s="57" t="str">
        <x:v>Não utiliza o Fala.BR</x:v>
      </x:c>
      <x:c r="E23" s="66" t="str">
        <x:v>Art. 4º, V; art. 7º, §2º, III, e §5º.</x:v>
      </x:c>
      <x:c r="F23" s="26" t="str"/>
      <x:c r="G23" s="57" t="str">
        <x:v>Sem mandato definido.</x:v>
      </x:c>
      <x:c r="H23" s="66" t="str">
        <x:v>Art. 6º, §2º; art. 8º, §2º.</x:v>
      </x:c>
      <x:c r="I23" s="26" t="str"/>
      <x:c r="J23" s="57" t="str">
        <x:v>A equipe atua com dedicação exclusiva na Ouvidoria de Serviços Penais</x:v>
      </x:c>
      <x:c r="K23" s="66" t="str">
        <x:v>Art. 9º, caput.</x:v>
      </x:c>
      <x:c r="L23" s="26" t="str"/>
      <x:c r="M23" s="57" t="str">
        <x:v>Reputação ilibada;Conhecimento em gestão pública;Conhecimento em direitos humanos ou sistema penal;</x:v>
      </x:c>
      <x:c r="N23" s="66" t="str">
        <x:v>Art. 8º, §1º.</x:v>
      </x:c>
      <x:c r="O23" s="26" t="str"/>
      <x:c r="P23" s="57" t="str">
        <x:v>41 3294-2958</x:v>
      </x:c>
      <x:c r="Q23" s="66" t="str">
        <x:v>Art. 4º, III e V; art. 7º, §2º — canal adicional não previsto nominalmente.</x:v>
      </x:c>
      <x:c r="R23" s="26" t="str"/>
      <x:c r="S23" s="57" t="str">
        <x:v>WhatsApp institucional ou outro aplicativo de mensagem;</x:v>
      </x:c>
      <x:c r="T23" s="66" t="str">
        <x:v>Art. 4º, III e V; art. 7º, §2º.</x:v>
      </x:c>
      <x:c r="U23" s="26" t="str"/>
      <x:c r="V23" s="57" t="str">
        <x:v>Folders, panfletos ou guias impressos explicando o papel da Ouvidoria e seus canais;Conteúdos digitais no site ou portal institucional específicos da Ouvidoria de Serviços Penais;Cartões de contato da Ouvidoria;</x:v>
      </x:c>
      <x:c r="W23" s="66" t="str">
        <x:v>Art. 7º, §6º, III.</x:v>
      </x:c>
      <x:c r="X23" s="26" t="n">
        <x:f>SUM(IF(C23="Sim",3,0),IF(F23="Sim",1,0),IF(I23="Sim",1,0),IF(L23="Sim",1,0),IF(O23="Sim",1,0),IF(R23="Sim",1,0),IF(U23="Sim",2,0))</x:f>
        <x:v>0</x:v>
      </x:c>
      <x:c r="Y23" s="26" t="str">
        <x:v>Doc. SEI 37070578</x:v>
      </x:c>
    </x:row>
    <x:row r="24">
      <x:c r="A24" s="26" t="str">
        <x:v>PE</x:v>
      </x:c>
      <x:c r="B24" s="26" t="str">
        <x:v>Pernambuco</x:v>
      </x:c>
      <x:c r="C24" s="26" t="str"/>
      <x:c r="D24" s="57" t="str">
        <x:v>Não utiliza o Fala.BR</x:v>
      </x:c>
      <x:c r="E24" s="66" t="str">
        <x:v>Art. 4º, V; art. 7º, §2º, III, e §5º.</x:v>
      </x:c>
      <x:c r="F24" s="26" t="str"/>
      <x:c r="G24" s="57" t="str">
        <x:v>Não</x:v>
      </x:c>
      <x:c r="H24" s="66" t="str">
        <x:v>Art. 6º, §2º; art. 8º, §2º.</x:v>
      </x:c>
      <x:c r="I24" s="26" t="str"/>
      <x:c r="J24" s="57" t="str">
        <x:v>A equipe atua com dedicação exclusiva na Ouvidoria de Serviços Penais</x:v>
      </x:c>
      <x:c r="K24" s="66" t="str">
        <x:v>Art. 9º, caput.</x:v>
      </x:c>
      <x:c r="L24" s="26" t="str"/>
      <x:c r="M24" s="57" t="str">
        <x:v>Reputação ilibada;Experiência prévia em ouvidoria pública;</x:v>
      </x:c>
      <x:c r="N24" s="66" t="str">
        <x:v>Art. 8º, §1º.</x:v>
      </x:c>
      <x:c r="O24" s="26" t="str"/>
      <x:c r="P24" s="57" t="str">
        <x:v>81 - 9 8491 6545</x:v>
      </x:c>
      <x:c r="Q24" s="66" t="str">
        <x:v>Art. 4º, III e V; art. 7º, §2º — canal adicional não previsto nominalmente.</x:v>
      </x:c>
      <x:c r="R24" s="26" t="str"/>
      <x:c r="S24" s="57" t="str">
        <x:v>WhatsApp institucional ou outro aplicativo de mensagem;</x:v>
      </x:c>
      <x:c r="T24" s="66" t="str">
        <x:v>Art. 4º, III e V; art. 7º, §2º.</x:v>
      </x:c>
      <x:c r="U24" s="26" t="str"/>
      <x:c r="V24" s="57" t="str">
        <x:v>Outras peças ou campanhas de comunicação ou educação em direitos;</x:v>
      </x:c>
      <x:c r="W24" s="66" t="str">
        <x:v>Art. 7º, §6º, III.</x:v>
      </x:c>
      <x:c r="X24" s="26" t="n">
        <x:f>SUM(IF(C24="Sim",3,0),IF(F24="Sim",1,0),IF(I24="Sim",1,0),IF(L24="Sim",1,0),IF(O24="Sim",1,0),IF(R24="Sim",1,0),IF(U24="Sim",2,0))</x:f>
        <x:v>0</x:v>
      </x:c>
      <x:c r="Y24" s="26" t="str">
        <x:v>Doc. SEI 37070578</x:v>
      </x:c>
    </x:row>
    <x:row r="25">
      <x:c r="A25" s="26" t="str">
        <x:v>PI</x:v>
      </x:c>
      <x:c r="B25" s="26" t="str">
        <x:v>Piauí</x:v>
      </x:c>
      <x:c r="C25" s="26" t="str"/>
      <x:c r="D25" s="57" t="str">
        <x:v>O Fala.BR é utilizado como sistema principal de registro e gestão das manifestações</x:v>
      </x:c>
      <x:c r="E25" s="66" t="str">
        <x:v>Art. 4º, V; art. 7º, §2º, III, e §5º.</x:v>
      </x:c>
      <x:c r="F25" s="26" t="str"/>
      <x:c r="G25" s="57" t="str">
        <x:v>Designação por nomeação, sem prazo de duração estabelecido.</x:v>
      </x:c>
      <x:c r="H25" s="66" t="str">
        <x:v>Art. 6º, §2º; art. 8º, §2º.</x:v>
      </x:c>
      <x:c r="I25" s="26" t="str"/>
      <x:c r="J25" s="57" t="str">
        <x:v>Parte da equipe tem dedicação prioritária, mas acumula outras funções relevantes</x:v>
      </x:c>
      <x:c r="K25" s="66" t="str">
        <x:v>Art. 9º, caput.</x:v>
      </x:c>
      <x:c r="L25" s="26" t="str"/>
      <x:c r="M25" s="57" t="str">
        <x:v>Conhecimento em direitos humanos ou sistema penal;Experiência prévia em ouvidoria pública;Conhecimento em gestão pública;Reputação ilibada;</x:v>
      </x:c>
      <x:c r="N25" s="66" t="str">
        <x:v>Art. 8º, §1º.</x:v>
      </x:c>
      <x:c r="O25" s="26" t="str"/>
      <x:c r="P25" s="57" t="str">
        <x:v>Sem resposta no diagnóstico</x:v>
      </x:c>
      <x:c r="Q25" s="66" t="str">
        <x:v>Art. 4º, III e V; art. 7º, §2º — canal adicional não previsto nominalmente.</x:v>
      </x:c>
      <x:c r="R25" s="26" t="str"/>
      <x:c r="S25" s="57" t="str">
        <x:v>email institucional;</x:v>
      </x:c>
      <x:c r="T25" s="66" t="str">
        <x:v>Art. 4º, III e V; art. 7º, §2º.</x:v>
      </x:c>
      <x:c r="U25" s="26" t="str"/>
      <x:c r="V25" s="57" t="str">
        <x:v>Conteúdos digitais no site ou portal institucional específicos da Ouvidoria de Serviços Penais;</x:v>
      </x:c>
      <x:c r="W25" s="66" t="str">
        <x:v>Art. 7º, §6º, III.</x:v>
      </x:c>
      <x:c r="X25" s="26" t="n">
        <x:f>SUM(IF(C25="Sim",3,0),IF(F25="Sim",1,0),IF(I25="Sim",1,0),IF(L25="Sim",1,0),IF(O25="Sim",1,0),IF(R25="Sim",1,0),IF(U25="Sim",2,0))</x:f>
        <x:v>0</x:v>
      </x:c>
      <x:c r="Y25" s="26" t="str">
        <x:v>Doc. SEI 37070578</x:v>
      </x:c>
    </x:row>
    <x:row r="26">
      <x:c r="A26" s="26" t="str">
        <x:v>RJ</x:v>
      </x:c>
      <x:c r="B26" s="26" t="str">
        <x:v>Rio de Janeiro</x:v>
      </x:c>
      <x:c r="C26" s="26" t="str"/>
      <x:c r="D26" s="57" t="str">
        <x:v>Não utiliza o Fala.BR</x:v>
      </x:c>
      <x:c r="E26" s="66" t="str">
        <x:v>Art. 4º, V; art. 7º, §2º, III, e §5º.</x:v>
      </x:c>
      <x:c r="F26" s="26" t="str"/>
      <x:c r="G26" s="57" t="str">
        <x:v>não</x:v>
      </x:c>
      <x:c r="H26" s="66" t="str">
        <x:v>Art. 6º, §2º; art. 8º, §2º.</x:v>
      </x:c>
      <x:c r="I26" s="26" t="str"/>
      <x:c r="J26" s="57" t="str">
        <x:v>A equipe atua com dedicação exclusiva na Ouvidoria de Serviços Penais</x:v>
      </x:c>
      <x:c r="K26" s="66" t="str">
        <x:v>Art. 9º, caput.</x:v>
      </x:c>
      <x:c r="L26" s="26" t="str"/>
      <x:c r="M26" s="57" t="str">
        <x:v>Reputação ilibada;</x:v>
      </x:c>
      <x:c r="N26" s="66" t="str">
        <x:v>Art. 8º, §1º.</x:v>
      </x:c>
      <x:c r="O26" s="26" t="str"/>
      <x:c r="P26" s="57" t="str">
        <x:v>(21) 97067-0584 Atendimento virtual sem interação humana</x:v>
      </x:c>
      <x:c r="Q26" s="66" t="str">
        <x:v>Art. 4º, III e V; art. 7º, §2º — canal adicional não previsto nominalmente.</x:v>
      </x:c>
      <x:c r="R26" s="26" t="str"/>
      <x:c r="S26" s="57" t="str">
        <x:v>WhatsApp institucional ou outro aplicativo de mensagem;Serviço 0800 ou linha telefônica especial;OUVERJ;</x:v>
      </x:c>
      <x:c r="T26" s="66" t="str">
        <x:v>Art. 4º, III e V; art. 7º, §2º.</x:v>
      </x:c>
      <x:c r="U26" s="26" t="str"/>
      <x:c r="V26" s="57" t="str">
        <x:v>Folders, panfletos ou guias impressos explicando o papel da Ouvidoria e seus canais;Conteúdos digitais no site ou portal institucional específicos da Ouvidoria de Serviços Penais;Outras peças ou campanhas de comunicação ou educação em direitos;</x:v>
      </x:c>
      <x:c r="W26" s="66" t="str">
        <x:v>Art. 7º, §6º, III.</x:v>
      </x:c>
      <x:c r="X26" s="26" t="n">
        <x:f>SUM(IF(C26="Sim",3,0),IF(F26="Sim",1,0),IF(I26="Sim",1,0),IF(L26="Sim",1,0),IF(O26="Sim",1,0),IF(R26="Sim",1,0),IF(U26="Sim",2,0))</x:f>
        <x:v>0</x:v>
      </x:c>
      <x:c r="Y26" s="26" t="str">
        <x:v>Doc. SEI 37070578</x:v>
      </x:c>
    </x:row>
    <x:row r="27">
      <x:c r="A27" s="26" t="str">
        <x:v>RN</x:v>
      </x:c>
      <x:c r="B27" s="26" t="str">
        <x:v>Rio Grande do Norte</x:v>
      </x:c>
      <x:c r="C27" s="26" t="str"/>
      <x:c r="D27" s="57" t="str">
        <x:v>O Fala.BR é utilizado como sistema principal de registro e gestão das manifestações</x:v>
      </x:c>
      <x:c r="E27" s="66" t="str">
        <x:v>Art. 4º, V; art. 7º, §2º, III, e §5º.</x:v>
      </x:c>
      <x:c r="F27" s="26" t="str"/>
      <x:c r="G27" s="57" t="str">
        <x:v>Mandato de 02 anos</x:v>
      </x:c>
      <x:c r="H27" s="66" t="str">
        <x:v>Art. 6º, §2º; art. 8º, §2º.</x:v>
      </x:c>
      <x:c r="I27" s="26" t="str"/>
      <x:c r="J27" s="57" t="str">
        <x:v>A equipe atua com dedicação exclusiva na Ouvidoria de Serviços Penais</x:v>
      </x:c>
      <x:c r="K27" s="66" t="str">
        <x:v>Art. 9º, caput.</x:v>
      </x:c>
      <x:c r="L27" s="26" t="str"/>
      <x:c r="M27" s="57" t="str">
        <x:v>Reputação ilibada;Conhecimento em direitos humanos ou sistema penal;Conhecimento em gestão pública;</x:v>
      </x:c>
      <x:c r="N27" s="66" t="str">
        <x:v>Art. 8º, §1º.</x:v>
      </x:c>
      <x:c r="O27" s="26" t="str"/>
      <x:c r="P27" s="57" t="str">
        <x:v>84981305243</x:v>
      </x:c>
      <x:c r="Q27" s="66" t="str">
        <x:v>Art. 4º, III e V; art. 7º, §2º — canal adicional não previsto nominalmente.</x:v>
      </x:c>
      <x:c r="R27" s="26" t="str"/>
      <x:c r="S27" s="57" t="str">
        <x:v>WhatsApp institucional ou outro aplicativo de mensagem;e-mail FalaBR SEIRN;</x:v>
      </x:c>
      <x:c r="T27" s="66" t="str">
        <x:v>Art. 4º, III e V; art. 7º, §2º.</x:v>
      </x:c>
      <x:c r="U27" s="26" t="str"/>
      <x:c r="V27" s="57" t="str">
        <x:v>Folders, panfletos ou guias impressos explicando o papel da Ouvidoria e seus canais;Outras peças ou campanhas de comunicação ou educação em direitos;Conteúdos digitais no site ou portal institucional específicos da Ouvidoria de Serviços Penais;</x:v>
      </x:c>
      <x:c r="W27" s="66" t="str">
        <x:v>Art. 7º, §6º, III.</x:v>
      </x:c>
      <x:c r="X27" s="26" t="n">
        <x:f>SUM(IF(C27="Sim",3,0),IF(F27="Sim",1,0),IF(I27="Sim",1,0),IF(L27="Sim",1,0),IF(O27="Sim",1,0),IF(R27="Sim",1,0),IF(U27="Sim",2,0))</x:f>
        <x:v>0</x:v>
      </x:c>
      <x:c r="Y27" s="26" t="str">
        <x:v>Doc. SEI 37070578</x:v>
      </x:c>
    </x:row>
    <x:row r="28">
      <x:c r="A28" s="26" t="str">
        <x:v>RS</x:v>
      </x:c>
      <x:c r="B28" s="26" t="str">
        <x:v>Rio Grande do Sul</x:v>
      </x:c>
      <x:c r="C28" s="26" t="str"/>
      <x:c r="D28" s="57" t="str">
        <x:v>Não utiliza o Fala.BR</x:v>
      </x:c>
      <x:c r="E28" s="66" t="str">
        <x:v>Art. 4º, V; art. 7º, §2º, III, e §5º.</x:v>
      </x:c>
      <x:c r="F28" s="26" t="str"/>
      <x:c r="G28" s="57" t="str">
        <x:v>NÃO.</x:v>
      </x:c>
      <x:c r="H28" s="66" t="str">
        <x:v>Art. 6º, §2º; art. 8º, §2º.</x:v>
      </x:c>
      <x:c r="I28" s="26" t="str"/>
      <x:c r="J28" s="57" t="str">
        <x:v>A equipe atua com dedicação exclusiva na Ouvidoria de Serviços Penais</x:v>
      </x:c>
      <x:c r="K28" s="66" t="str">
        <x:v>Art. 9º, caput.</x:v>
      </x:c>
      <x:c r="L28" s="26" t="str"/>
      <x:c r="M28" s="57" t="str">
        <x:v>Reputação ilibada;Conhecimento em gestão pública;Conhecimento em direitos humanos ou sistema penal;Experiência prévia em ouvidoria pública;</x:v>
      </x:c>
      <x:c r="N28" s="66" t="str">
        <x:v>Art. 8º, §1º.</x:v>
      </x:c>
      <x:c r="O28" s="26" t="str"/>
      <x:c r="P28" s="57" t="str">
        <x:v>Não temos</x:v>
      </x:c>
      <x:c r="Q28" s="66" t="str">
        <x:v>Art. 4º, III e V; art. 7º, §2º — canal adicional não previsto nominalmente.</x:v>
      </x:c>
      <x:c r="R28" s="26" t="str"/>
      <x:c r="S28" s="57" t="str">
        <x:v>Serviço 0800 ou linha telefônica especial;</x:v>
      </x:c>
      <x:c r="T28" s="66" t="str">
        <x:v>Art. 4º, III e V; art. 7º, §2º.</x:v>
      </x:c>
      <x:c r="U28" s="26" t="str"/>
      <x:c r="V28" s="57" t="str">
        <x:v>Cartões de contato da Ouvidoria;</x:v>
      </x:c>
      <x:c r="W28" s="66" t="str">
        <x:v>Art. 7º, §6º, III.</x:v>
      </x:c>
      <x:c r="X28" s="26" t="n">
        <x:f>SUM(IF(C28="Sim",3,0),IF(F28="Sim",1,0),IF(I28="Sim",1,0),IF(L28="Sim",1,0),IF(O28="Sim",1,0),IF(R28="Sim",1,0),IF(U28="Sim",2,0))</x:f>
        <x:v>0</x:v>
      </x:c>
      <x:c r="Y28" s="26" t="str">
        <x:v>Doc. SEI 37070578</x:v>
      </x:c>
    </x:row>
    <x:row r="29">
      <x:c r="A29" s="26" t="str">
        <x:v>RO</x:v>
      </x:c>
      <x:c r="B29" s="26" t="str">
        <x:v>Rondônia</x:v>
      </x:c>
      <x:c r="C29" s="26" t="str"/>
      <x:c r="D29" s="57" t="str">
        <x:v>O Fala.BR é utilizado apenas para parte das manifestações</x:v>
      </x:c>
      <x:c r="E29" s="66" t="str">
        <x:v>Art. 4º, V; art. 7º, §2º, III, e §5º.</x:v>
      </x:c>
      <x:c r="F29" s="26" t="str"/>
      <x:c r="G29" s="57" t="str">
        <x:v>NÃO</x:v>
      </x:c>
      <x:c r="H29" s="66" t="str">
        <x:v>Art. 6º, §2º; art. 8º, §2º.</x:v>
      </x:c>
      <x:c r="I29" s="26" t="str"/>
      <x:c r="J29" s="57" t="str">
        <x:v>A equipe atua com dedicação exclusiva na Ouvidoria de Serviços Penais</x:v>
      </x:c>
      <x:c r="K29" s="66" t="str">
        <x:v>Art. 9º, caput.</x:v>
      </x:c>
      <x:c r="L29" s="26" t="str"/>
      <x:c r="M29" s="57" t="str">
        <x:v>E POR NOMEAÇÃO;</x:v>
      </x:c>
      <x:c r="N29" s="66" t="str">
        <x:v>Art. 8º, §1º.</x:v>
      </x:c>
      <x:c r="O29" s="26" t="str"/>
      <x:c r="P29" s="57" t="str">
        <x:v>NÃO HÁ</x:v>
      </x:c>
      <x:c r="Q29" s="66" t="str">
        <x:v>Art. 4º, III e V; art. 7º, §2º — canal adicional não previsto nominalmente.</x:v>
      </x:c>
      <x:c r="R29" s="26" t="str"/>
      <x:c r="S29" s="57" t="str">
        <x:v>Serviço 0800 ou linha telefônica especial;</x:v>
      </x:c>
      <x:c r="T29" s="66" t="str">
        <x:v>Art. 4º, III e V; art. 7º, §2º.</x:v>
      </x:c>
      <x:c r="U29" s="26" t="str"/>
      <x:c r="V29" s="57" t="str">
        <x:v>Materiais educativos voltados a pessoas privadas de liberdade, familiares ou servidores(as) penais;</x:v>
      </x:c>
      <x:c r="W29" s="66" t="str">
        <x:v>Art. 7º, §6º, III.</x:v>
      </x:c>
      <x:c r="X29" s="26" t="n">
        <x:f>SUM(IF(C29="Sim",3,0),IF(F29="Sim",1,0),IF(I29="Sim",1,0),IF(L29="Sim",1,0),IF(O29="Sim",1,0),IF(R29="Sim",1,0),IF(U29="Sim",2,0))</x:f>
        <x:v>0</x:v>
      </x:c>
      <x:c r="Y29" s="26" t="str">
        <x:v>Doc. SEI 37070578</x:v>
      </x:c>
    </x:row>
    <x:row r="30">
      <x:c r="A30" s="26" t="str">
        <x:v>RR</x:v>
      </x:c>
      <x:c r="B30" s="26" t="str">
        <x:v>Roraima</x:v>
      </x:c>
      <x:c r="C30" s="26" t="str"/>
      <x:c r="D30" s="57" t="str">
        <x:v>O Fala.BR é utilizado como sistema principal de registro e gestão das manifestações</x:v>
      </x:c>
      <x:c r="E30" s="66" t="str">
        <x:v>Art. 4º, V; art. 7º, §2º, III, e §5º.</x:v>
      </x:c>
      <x:c r="F30" s="26" t="str"/>
      <x:c r="G30" s="57" t="str">
        <x:v>NÃO</x:v>
      </x:c>
      <x:c r="H30" s="66" t="str">
        <x:v>Art. 6º, §2º; art. 8º, §2º.</x:v>
      </x:c>
      <x:c r="I30" s="26" t="str"/>
      <x:c r="J30" s="57" t="str">
        <x:v>A equipe atua com dedicação exclusiva na Ouvidoria de Serviços Penais</x:v>
      </x:c>
      <x:c r="K30" s="66" t="str">
        <x:v>Art. 9º, caput.</x:v>
      </x:c>
      <x:c r="L30" s="26" t="str"/>
      <x:c r="M30" s="57" t="str">
        <x:v>Reputação ilibada;Conhecimento em gestão pública;Conhecimento em direitos humanos ou sistema penal;Experiência prévia em ouvidoria pública;</x:v>
      </x:c>
      <x:c r="N30" s="66" t="str">
        <x:v>Art. 8º, §1º.</x:v>
      </x:c>
      <x:c r="O30" s="26" t="str"/>
      <x:c r="P30" s="57" t="str">
        <x:v>EM</x:v>
      </x:c>
      <x:c r="Q30" s="66" t="str">
        <x:v>Art. 4º, III e V; art. 7º, §2º — canal adicional não previsto nominalmente.</x:v>
      </x:c>
      <x:c r="R30" s="26" t="str"/>
      <x:c r="S30" s="57" t="str">
        <x:v>NÃO TEM;</x:v>
      </x:c>
      <x:c r="T30" s="66" t="str">
        <x:v>Art. 4º, III e V; art. 7º, §2º.</x:v>
      </x:c>
      <x:c r="U30" s="26" t="str"/>
      <x:c r="V30" s="57" t="str">
        <x:v>Conteúdos digitais no site ou portal institucional específicos da Ouvidoria de Serviços Penais;Folders, panfletos ou guias impressos explicando o papel da Ouvidoria e seus canais;Cartões de contato da Ouvidoria;</x:v>
      </x:c>
      <x:c r="W30" s="66" t="str">
        <x:v>Art. 7º, §6º, III.</x:v>
      </x:c>
      <x:c r="X30" s="26" t="n">
        <x:f>SUM(IF(C30="Sim",3,0),IF(F30="Sim",1,0),IF(I30="Sim",1,0),IF(L30="Sim",1,0),IF(O30="Sim",1,0),IF(R30="Sim",1,0),IF(U30="Sim",2,0))</x:f>
        <x:v>0</x:v>
      </x:c>
      <x:c r="Y30" s="26" t="str">
        <x:v>Doc. SEI 37070578</x:v>
      </x:c>
    </x:row>
    <x:row r="31">
      <x:c r="A31" s="26" t="str">
        <x:v>SC</x:v>
      </x:c>
      <x:c r="B31" s="26" t="str">
        <x:v>Santa Catarina</x:v>
      </x:c>
      <x:c r="C31" s="26" t="str"/>
      <x:c r="D31" s="57" t="str">
        <x:v>Não utiliza o Fala.BR</x:v>
      </x:c>
      <x:c r="E31" s="66" t="str">
        <x:v>Art. 4º, V; art. 7º, §2º, III, e §5º.</x:v>
      </x:c>
      <x:c r="F31" s="26" t="str"/>
      <x:c r="G31" s="57" t="str">
        <x:v>Não</x:v>
      </x:c>
      <x:c r="H31" s="66" t="str">
        <x:v>Art. 6º, §2º; art. 8º, §2º.</x:v>
      </x:c>
      <x:c r="I31" s="26" t="str"/>
      <x:c r="J31" s="57" t="str">
        <x:v>A equipe atua com dedicação exclusiva na Ouvidoria de Serviços Penais</x:v>
      </x:c>
      <x:c r="K31" s="66" t="str">
        <x:v>Art. 9º, caput.</x:v>
      </x:c>
      <x:c r="L31" s="26" t="str"/>
      <x:c r="M31" s="57" t="str">
        <x:v>Reputação ilibada;Experiência prévia em ouvidoria pública;</x:v>
      </x:c>
      <x:c r="N31" s="66" t="str">
        <x:v>Art. 8º, §1º.</x:v>
      </x:c>
      <x:c r="O31" s="26" t="str"/>
      <x:c r="P31" s="57" t="str">
        <x:v>Sem resposta no diagnóstico</x:v>
      </x:c>
      <x:c r="Q31" s="66" t="str">
        <x:v>Art. 4º, III e V; art. 7º, §2º — canal adicional não previsto nominalmente.</x:v>
      </x:c>
      <x:c r="R31" s="26" t="str"/>
      <x:c r="S31" s="57" t="str">
        <x:v>Canais de Ouvidoria do Estado Santa Catarina;</x:v>
      </x:c>
      <x:c r="T31" s="66" t="str">
        <x:v>Art. 4º, III e V; art. 7º, §2º.</x:v>
      </x:c>
      <x:c r="U31" s="26" t="str"/>
      <x:c r="V31" s="57" t="str">
        <x:v>Folders, panfletos ou guias impressos explicando o papel da Ouvidoria e seus canais;</x:v>
      </x:c>
      <x:c r="W31" s="66" t="str">
        <x:v>Art. 7º, §6º, III.</x:v>
      </x:c>
      <x:c r="X31" s="26" t="n">
        <x:f>SUM(IF(C31="Sim",3,0),IF(F31="Sim",1,0),IF(I31="Sim",1,0),IF(L31="Sim",1,0),IF(O31="Sim",1,0),IF(R31="Sim",1,0),IF(U31="Sim",2,0))</x:f>
        <x:v>0</x:v>
      </x:c>
      <x:c r="Y31" s="26" t="str">
        <x:v>Doc. SEI 37070578</x:v>
      </x:c>
    </x:row>
    <x:row r="32">
      <x:c r="A32" s="26" t="str">
        <x:v>SP</x:v>
      </x:c>
      <x:c r="B32" s="26" t="str">
        <x:v>São Paulo</x:v>
      </x:c>
      <x:c r="C32" s="26" t="str"/>
      <x:c r="D32" s="57" t="str">
        <x:v>Não utiliza o Fala.BR</x:v>
      </x:c>
      <x:c r="E32" s="66" t="str">
        <x:v>Art. 4º, V; art. 7º, §2º, III, e §5º.</x:v>
      </x:c>
      <x:c r="F32" s="26" t="str"/>
      <x:c r="G32" s="57" t="str">
        <x:v>Duração de 02 anos</x:v>
      </x:c>
      <x:c r="H32" s="66" t="str">
        <x:v>Art. 6º, §2º; art. 8º, §2º.</x:v>
      </x:c>
      <x:c r="I32" s="26" t="str"/>
      <x:c r="J32" s="57" t="str">
        <x:v>A equipe atua com dedicação exclusiva na Ouvidoria de Serviços Penais</x:v>
      </x:c>
      <x:c r="K32" s="66" t="str">
        <x:v>Art. 9º, caput.</x:v>
      </x:c>
      <x:c r="L32" s="26" t="str"/>
      <x:c r="M32" s="57" t="str">
        <x:v>Reputação ilibada;Conhecimento em direitos humanos ou sistema penal;</x:v>
      </x:c>
      <x:c r="N32" s="66" t="str">
        <x:v>Art. 8º, §1º.</x:v>
      </x:c>
      <x:c r="O32" s="26" t="str"/>
      <x:c r="P32" s="57" t="str">
        <x:v>011 3206-4759</x:v>
      </x:c>
      <x:c r="Q32" s="66" t="str">
        <x:v>Art. 4º, III e V; art. 7º, §2º — canal adicional não previsto nominalmente.</x:v>
      </x:c>
      <x:c r="R32" s="26" t="str"/>
      <x:c r="S32" s="57" t="str">
        <x:v>WhatsApp institucional ou outro aplicativo de mensagem;</x:v>
      </x:c>
      <x:c r="T32" s="66" t="str">
        <x:v>Art. 4º, III e V; art. 7º, §2º.</x:v>
      </x:c>
      <x:c r="U32" s="26" t="str"/>
      <x:c r="V32" s="57" t="str">
        <x:v>Folders, panfletos ou guias impressos explicando o papel da Ouvidoria e seus canais;Conteúdos digitais no site ou portal institucional específicos da Ouvidoria de Serviços Penais;Outras peças ou campanhas de comunicação ou educação em direitos;</x:v>
      </x:c>
      <x:c r="W32" s="66" t="str">
        <x:v>Art. 7º, §6º, III.</x:v>
      </x:c>
      <x:c r="X32" s="26" t="n">
        <x:f>SUM(IF(C32="Sim",3,0),IF(F32="Sim",1,0),IF(I32="Sim",1,0),IF(L32="Sim",1,0),IF(O32="Sim",1,0),IF(R32="Sim",1,0),IF(U32="Sim",2,0))</x:f>
        <x:v>0</x:v>
      </x:c>
      <x:c r="Y32" s="26" t="str">
        <x:v>Doc. SEI 37070578</x:v>
      </x:c>
    </x:row>
    <x:row r="33">
      <x:c r="A33" s="26" t="str">
        <x:v>SE</x:v>
      </x:c>
      <x:c r="B33" s="26" t="str">
        <x:v>Sergipe</x:v>
      </x:c>
      <x:c r="C33" s="26" t="str"/>
      <x:c r="D33" s="57" t="str">
        <x:v>Sem resposta no diagnóstico</x:v>
      </x:c>
      <x:c r="E33" s="66" t="str">
        <x:v>Art. 4º, V; art. 7º, §2º, III, e §5º.</x:v>
      </x:c>
      <x:c r="F33" s="26" t="str"/>
      <x:c r="G33" s="57" t="str">
        <x:v>Sem resposta no diagnóstico</x:v>
      </x:c>
      <x:c r="H33" s="66" t="str">
        <x:v>Art. 6º, §2º; art. 8º, §2º.</x:v>
      </x:c>
      <x:c r="I33" s="26" t="str"/>
      <x:c r="J33" s="57" t="str">
        <x:v>Sem resposta no diagnóstico</x:v>
      </x:c>
      <x:c r="K33" s="66" t="str">
        <x:v>Art. 9º, caput.</x:v>
      </x:c>
      <x:c r="L33" s="26" t="str"/>
      <x:c r="M33" s="57" t="str">
        <x:v>Sem resposta no diagnóstico</x:v>
      </x:c>
      <x:c r="N33" s="66" t="str">
        <x:v>Art. 8º, §1º.</x:v>
      </x:c>
      <x:c r="O33" s="26" t="str"/>
      <x:c r="P33" s="57" t="str">
        <x:v>Sem resposta no diagnóstico</x:v>
      </x:c>
      <x:c r="Q33" s="66" t="str">
        <x:v>Art. 4º, III e V; art. 7º, §2º — canal adicional não previsto nominalmente.</x:v>
      </x:c>
      <x:c r="R33" s="26" t="str"/>
      <x:c r="S33" s="57" t="str">
        <x:v>Sem resposta no diagnóstico</x:v>
      </x:c>
      <x:c r="T33" s="66" t="str">
        <x:v>Art. 4º, III e V; art. 7º, §2º.</x:v>
      </x:c>
      <x:c r="U33" s="26" t="str"/>
      <x:c r="V33" s="57" t="str">
        <x:v>Sem resposta no diagnóstico</x:v>
      </x:c>
      <x:c r="W33" s="66" t="str">
        <x:v>Art. 7º, §6º, III.</x:v>
      </x:c>
      <x:c r="X33" s="26" t="n">
        <x:f>SUM(IF(C33="Sim",3,0),IF(F33="Sim",1,0),IF(I33="Sim",1,0),IF(L33="Sim",1,0),IF(O33="Sim",1,0),IF(R33="Sim",1,0),IF(U33="Sim",2,0))</x:f>
        <x:v>0</x:v>
      </x:c>
      <x:c r="Y33" s="26" t="str">
        <x:v>Doc. SEI 37070578</x:v>
      </x:c>
    </x:row>
    <x:row r="34">
      <x:c r="A34" s="26" t="str">
        <x:v>TO</x:v>
      </x:c>
      <x:c r="B34" s="26" t="str">
        <x:v>Tocantins</x:v>
      </x:c>
      <x:c r="C34" s="26" t="str"/>
      <x:c r="D34" s="57" t="str">
        <x:v>O Fala.BR é utilizado como sistema principal de registro e gestão das manifestações</x:v>
      </x:c>
      <x:c r="E34" s="66" t="str">
        <x:v>Art. 4º, V; art. 7º, §2º, III, e §5º.</x:v>
      </x:c>
      <x:c r="F34" s="26" t="str"/>
      <x:c r="G34" s="57" t="str">
        <x:v>NÃO</x:v>
      </x:c>
      <x:c r="H34" s="66" t="str">
        <x:v>Art. 6º, §2º; art. 8º, §2º.</x:v>
      </x:c>
      <x:c r="I34" s="26" t="str"/>
      <x:c r="J34" s="57" t="str">
        <x:v>A equipe atua com dedicação exclusiva na Ouvidoria de Serviços Penais</x:v>
      </x:c>
      <x:c r="K34" s="66" t="str">
        <x:v>Art. 9º, caput.</x:v>
      </x:c>
      <x:c r="L34" s="26" t="str"/>
      <x:c r="M34" s="57" t="str">
        <x:v>Reputação ilibada;</x:v>
      </x:c>
      <x:c r="N34" s="66" t="str">
        <x:v>Art. 8º, §1º.</x:v>
      </x:c>
      <x:c r="O34" s="26" t="str"/>
      <x:c r="P34" s="57" t="str">
        <x:v>Sem resposta no diagnóstico</x:v>
      </x:c>
      <x:c r="Q34" s="66" t="str">
        <x:v>Art. 4º, III e V; art. 7º, §2º — canal adicional não previsto nominalmente.</x:v>
      </x:c>
      <x:c r="R34" s="26" t="str"/>
      <x:c r="S34" s="57" t="str">
        <x:v>WhatsApp institucional ou outro aplicativo de mensagem;</x:v>
      </x:c>
      <x:c r="T34" s="66" t="str">
        <x:v>Art. 4º, III e V; art. 7º, §2º.</x:v>
      </x:c>
      <x:c r="U34" s="26" t="str"/>
      <x:c r="V34" s="57" t="str">
        <x:v>Outras peças ou campanhas de comunicação ou educação em direitos;</x:v>
      </x:c>
      <x:c r="W34" s="66" t="str">
        <x:v>Art. 7º, §6º, III.</x:v>
      </x:c>
      <x:c r="X34" s="26" t="n">
        <x:f>SUM(IF(C34="Sim",3,0),IF(F34="Sim",1,0),IF(I34="Sim",1,0),IF(L34="Sim",1,0),IF(O34="Sim",1,0),IF(R34="Sim",1,0),IF(U34="Sim",2,0))</x:f>
        <x:v>0</x:v>
      </x:c>
      <x:c r="Y34" s="26" t="str">
        <x:v>Doc. SEI 37070578</x:v>
      </x:c>
    </x:row>
  </x:sheetData>
  <x:mergeCells>
    <x:mergeCell ref="A1:Y1"/>
    <x:mergeCell ref="A2:Y2"/>
    <x:mergeCell ref="A4:B4"/>
    <x:mergeCell ref="C4:E4"/>
    <x:mergeCell ref="F4:H4"/>
    <x:mergeCell ref="I4:K4"/>
    <x:mergeCell ref="L4:N4"/>
    <x:mergeCell ref="O4:Q4"/>
    <x:mergeCell ref="R4:T4"/>
    <x:mergeCell ref="U4:W4"/>
    <x:mergeCell ref="X4:Y4"/>
    <x:mergeCell ref="A6:B6"/>
  </x:mergeCells>
  <x:conditionalFormatting sqref="C7:C34">
    <x:cfRule type="expression" dxfId="81" priority="1">
      <x:formula>C7="Sim"</x:formula>
    </x:cfRule>
    <x:cfRule type="expression" dxfId="82" priority="2">
      <x:formula>C7="Não"</x:formula>
    </x:cfRule>
    <x:cfRule type="expression" dxfId="83" priority="3">
      <x:formula>C7="Sem evidência"</x:formula>
    </x:cfRule>
  </x:conditionalFormatting>
  <x:conditionalFormatting sqref="F7:F34">
    <x:cfRule type="expression" dxfId="84" priority="4">
      <x:formula>F7="Sim"</x:formula>
    </x:cfRule>
    <x:cfRule type="expression" dxfId="85" priority="5">
      <x:formula>F7="Não"</x:formula>
    </x:cfRule>
    <x:cfRule type="expression" dxfId="86" priority="6">
      <x:formula>F7="Sem evidência"</x:formula>
    </x:cfRule>
  </x:conditionalFormatting>
  <x:conditionalFormatting sqref="I7:I34">
    <x:cfRule type="expression" dxfId="87" priority="7">
      <x:formula>I7="Sim"</x:formula>
    </x:cfRule>
    <x:cfRule type="expression" dxfId="88" priority="8">
      <x:formula>I7="Não"</x:formula>
    </x:cfRule>
    <x:cfRule type="expression" dxfId="89" priority="9">
      <x:formula>I7="Sem evidência"</x:formula>
    </x:cfRule>
  </x:conditionalFormatting>
  <x:conditionalFormatting sqref="L7:L34">
    <x:cfRule type="expression" dxfId="90" priority="10">
      <x:formula>L7="Sim"</x:formula>
    </x:cfRule>
    <x:cfRule type="expression" dxfId="91" priority="11">
      <x:formula>L7="Não"</x:formula>
    </x:cfRule>
    <x:cfRule type="expression" dxfId="92" priority="12">
      <x:formula>L7="Sem evidência"</x:formula>
    </x:cfRule>
  </x:conditionalFormatting>
  <x:conditionalFormatting sqref="O7:O34">
    <x:cfRule type="expression" dxfId="93" priority="13">
      <x:formula>O7="Sim"</x:formula>
    </x:cfRule>
    <x:cfRule type="expression" dxfId="94" priority="14">
      <x:formula>O7="Não"</x:formula>
    </x:cfRule>
    <x:cfRule type="expression" dxfId="95" priority="15">
      <x:formula>O7="Sem evidência"</x:formula>
    </x:cfRule>
  </x:conditionalFormatting>
  <x:conditionalFormatting sqref="R7:R34">
    <x:cfRule type="expression" dxfId="96" priority="16">
      <x:formula>R7="Sim"</x:formula>
    </x:cfRule>
    <x:cfRule type="expression" dxfId="97" priority="17">
      <x:formula>R7="Não"</x:formula>
    </x:cfRule>
    <x:cfRule type="expression" dxfId="98" priority="18">
      <x:formula>R7="Sem evidência"</x:formula>
    </x:cfRule>
  </x:conditionalFormatting>
  <x:conditionalFormatting sqref="U7:U34">
    <x:cfRule type="expression" dxfId="99" priority="19">
      <x:formula>U7="Sim"</x:formula>
    </x:cfRule>
    <x:cfRule type="expression" dxfId="100" priority="20">
      <x:formula>U7="Não"</x:formula>
    </x:cfRule>
    <x:cfRule type="expression" dxfId="101" priority="21">
      <x:formula>U7="Sem evidência"</x:formula>
    </x:cfRule>
  </x:conditionalFormatting>
  <x:dataValidations count="7">
    <x:dataValidation type="list" sqref="C7:C34">
      <x:formula1>"Sim,Não,Sem evidência"</x:formula1>
    </x:dataValidation>
    <x:dataValidation type="list" sqref="F7:F34">
      <x:formula1>"Sim,Não,Sem evidência"</x:formula1>
    </x:dataValidation>
    <x:dataValidation type="list" sqref="I7:I34">
      <x:formula1>"Sim,Não,Sem evidência"</x:formula1>
    </x:dataValidation>
    <x:dataValidation type="list" sqref="L7:L34">
      <x:formula1>"Sim,Não,Sem evidência"</x:formula1>
    </x:dataValidation>
    <x:dataValidation type="list" sqref="O7:O34">
      <x:formula1>"Sim,Não,Sem evidência"</x:formula1>
    </x:dataValidation>
    <x:dataValidation type="list" sqref="R7:R34">
      <x:formula1>"Sim,Não,Sem evidência"</x:formula1>
    </x:dataValidation>
    <x:dataValidation type="list" sqref="U7:U34">
      <x:formula1>"Sim,Não,Sem evidência"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18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20" hidden="0" customWidth="1"/>
    <x:col min="9" max="9" width="14" hidden="0" customWidth="1"/>
    <x:col min="10" max="10" width="18" hidden="0" customWidth="1"/>
    <x:col min="11" max="11" width="14" hidden="0" customWidth="1"/>
    <x:col min="12" max="12" width="14" hidden="0" customWidth="1"/>
    <x:col min="13" max="13" width="18" hidden="0" customWidth="1"/>
    <x:col min="14" max="14" width="17" hidden="0" customWidth="1"/>
    <x:col min="15" max="15" width="46" hidden="0" customWidth="1"/>
    <x:col min="16" max="16" width="35" hidden="0" customWidth="1"/>
  </x:cols>
  <x:sheetData>
    <x:row r="1" ht="28" customHeight="1">
      <x:c r="A1" s="4" t="str">
        <x:v>Resumo e classificação por Unidade Federativa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46" customHeight="1">
      <x:c r="A2" s="11" t="str">
        <x:v>Pontuação-base máxima: 100. Bônus: até 10. ES possui duas linhas; RO e SC usam as respostas mais recentes do diagnóstico.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</x:row>
    <x:row r="4">
      <x:c r="A4" s="20" t="str">
        <x:v>UF</x:v>
      </x:c>
      <x:c r="B4" s="20" t="str">
        <x:v>Unidade Federativa</x:v>
      </x:c>
      <x:c r="C4" s="20" t="str">
        <x:v>Institucionalização /15</x:v>
      </x:c>
      <x:c r="D4" s="20" t="str">
        <x:v>Autonomia /15</x:v>
      </x:c>
      <x:c r="E4" s="20" t="str">
        <x:v>Imparcialidade /15</x:v>
      </x:c>
      <x:c r="F4" s="20" t="str">
        <x:v>Acessibilidade /15</x:v>
      </x:c>
      <x:c r="G4" s="20" t="str">
        <x:v>Transparência /15</x:v>
      </x:c>
      <x:c r="H4" s="20" t="str">
        <x:v>Integração tecnológica /25</x:v>
      </x:c>
      <x:c r="I4" s="20" t="str">
        <x:v>Nota-base /100</x:v>
      </x:c>
      <x:c r="J4" s="20" t="str">
        <x:v>Bônus disponível /10</x:v>
      </x:c>
      <x:c r="K4" s="20" t="str">
        <x:v>Bônus aplicado</x:v>
      </x:c>
      <x:c r="L4" s="20" t="str">
        <x:v>Nota final /100</x:v>
      </x:c>
      <x:c r="M4" s="20" t="str">
        <x:v>Situação institucional</x:v>
      </x:c>
      <x:c r="N4" s="20" t="str">
        <x:v>Trava dimensão zerada</x:v>
      </x:c>
      <x:c r="O4" s="20" t="str">
        <x:v>Classificação</x:v>
      </x:c>
      <x:c r="P4" s="20" t="str">
        <x:v>Observação</x:v>
      </x:c>
    </x:row>
    <x:row r="5">
      <x:c r="A5" s="26" t="str">
        <x:v>AC</x:v>
      </x:c>
      <x:c r="B5" s="26" t="str">
        <x:v>Acre</x:v>
      </x:c>
      <x:c r="C5" s="26" t="n">
        <x:f>'01_Institucionalização'!G7</x:f>
        <x:v>0</x:v>
      </x:c>
      <x:c r="D5" s="26" t="n">
        <x:f>'02_Autonomia'!W7</x:f>
        <x:v>0</x:v>
      </x:c>
      <x:c r="E5" s="26" t="n">
        <x:f>'03_Imparcialidade'!S7</x:f>
        <x:v>0</x:v>
      </x:c>
      <x:c r="F5" s="26" t="n">
        <x:f>'04_Acessibilidade'!AE7</x:f>
        <x:v>0</x:v>
      </x:c>
      <x:c r="G5" s="26" t="n">
        <x:f>'05_Transparência'!O7</x:f>
        <x:v>0</x:v>
      </x:c>
      <x:c r="H5" s="26" t="n">
        <x:f>'06_Integração Tec'!AI7</x:f>
        <x:v>0</x:v>
      </x:c>
      <x:c r="I5" s="26" t="str">
        <x:f>IF(M5&lt;&gt;"Instituída","",SUM(C5:H5))</x:f>
      </x:c>
      <x:c r="J5" s="26" t="str">
        <x:f>IF(M5&lt;&gt;"Instituída","",'07_Maturidade'!X7)</x:f>
      </x:c>
      <x:c r="K5" s="26" t="str">
        <x:f>IF(M5&lt;&gt;"Instituída","",MIN(J5,MAX(0,100-I5)))</x:f>
      </x:c>
      <x:c r="L5" s="26" t="str">
        <x:f>IF(M5&lt;&gt;"Instituída","",MIN(100,I5+K5))</x:f>
      </x:c>
      <x:c r="M5" s="26" t="str">
        <x:f>'01_Institucionalização'!H7</x:f>
        <x:v>Sem evidência</x:v>
      </x:c>
      <x:c r="N5" s="26" t="str">
        <x:f>IF(M5&lt;&gt;"Instituída","",IF(OR(D5=0,E5=0,F5=0,G5=0,H5=0),"Sim","Não"))</x:f>
      </x:c>
      <x:c r="O5" s="26" t="str">
        <x:f>IF(M5="Não instituída","Não instituída",IF(M5&lt;&gt;"Instituída","Sem evidência",IF(N5="Sim","Instituída — aderência insuficiente (dimensão essencial zerada)",IF(L5&lt;50,"Instituída — baixa aderência",IF(L5&lt;70,"Instituída — aderência parcial",IF(L5&lt;90,"Instituída — aderência satisfatória","Instituída — elevada aderência"))))))</x:f>
        <x:v>Sem evidência</x:v>
      </x:c>
      <x:c r="P5" s="26" t="str">
        <x:f>IF(M5&lt;&gt;"Instituída","",IF(K5=0,"Bônus não aplicado",IF(K5&lt;J5,"Bônus limitado ao necessário para atingir 100","Bônus integralmente aplicado")))</x:f>
      </x:c>
    </x:row>
    <x:row r="6">
      <x:c r="A6" s="26" t="str">
        <x:v>AL</x:v>
      </x:c>
      <x:c r="B6" s="26" t="str">
        <x:v>Alagoas</x:v>
      </x:c>
      <x:c r="C6" s="26" t="n">
        <x:f>'01_Institucionalização'!G8</x:f>
        <x:v>0</x:v>
      </x:c>
      <x:c r="D6" s="26" t="n">
        <x:f>'02_Autonomia'!W8</x:f>
        <x:v>0</x:v>
      </x:c>
      <x:c r="E6" s="26" t="n">
        <x:f>'03_Imparcialidade'!S8</x:f>
        <x:v>0</x:v>
      </x:c>
      <x:c r="F6" s="26" t="n">
        <x:f>'04_Acessibilidade'!AE8</x:f>
        <x:v>0</x:v>
      </x:c>
      <x:c r="G6" s="26" t="n">
        <x:f>'05_Transparência'!O8</x:f>
        <x:v>0</x:v>
      </x:c>
      <x:c r="H6" s="26" t="n">
        <x:f>'06_Integração Tec'!AI8</x:f>
        <x:v>0</x:v>
      </x:c>
      <x:c r="I6" s="26" t="str">
        <x:f>IF(M6&lt;&gt;"Instituída","",SUM(C6:H6))</x:f>
      </x:c>
      <x:c r="J6" s="26" t="str">
        <x:f>IF(M6&lt;&gt;"Instituída","",'07_Maturidade'!X8)</x:f>
      </x:c>
      <x:c r="K6" s="26" t="str">
        <x:f>IF(M6&lt;&gt;"Instituída","",MIN(J6,MAX(0,100-I6)))</x:f>
      </x:c>
      <x:c r="L6" s="26" t="str">
        <x:f>IF(M6&lt;&gt;"Instituída","",MIN(100,I6+K6))</x:f>
      </x:c>
      <x:c r="M6" s="26" t="str">
        <x:f>'01_Institucionalização'!H8</x:f>
        <x:v>Sem evidência</x:v>
      </x:c>
      <x:c r="N6" s="26" t="str">
        <x:f>IF(M6&lt;&gt;"Instituída","",IF(OR(D6=0,E6=0,F6=0,G6=0,H6=0),"Sim","Não"))</x:f>
      </x:c>
      <x:c r="O6" s="26" t="str">
        <x:f>IF(M6="Não instituída","Não instituída",IF(M6&lt;&gt;"Instituída","Sem evidência",IF(N6="Sim","Instituída — aderência insuficiente (dimensão essencial zerada)",IF(L6&lt;50,"Instituída — baixa aderência",IF(L6&lt;70,"Instituída — aderência parcial",IF(L6&lt;90,"Instituída — aderência satisfatória","Instituída — elevada aderência"))))))</x:f>
        <x:v>Sem evidência</x:v>
      </x:c>
      <x:c r="P6" s="26" t="str">
        <x:f>IF(M6&lt;&gt;"Instituída","",IF(K6=0,"Bônus não aplicado",IF(K6&lt;J6,"Bônus limitado ao necessário para atingir 100","Bônus integralmente aplicado")))</x:f>
      </x:c>
    </x:row>
    <x:row r="7">
      <x:c r="A7" s="26" t="str">
        <x:v>AP</x:v>
      </x:c>
      <x:c r="B7" s="26" t="str">
        <x:v>Amapá</x:v>
      </x:c>
      <x:c r="C7" s="26" t="n">
        <x:f>'01_Institucionalização'!G9</x:f>
        <x:v>0</x:v>
      </x:c>
      <x:c r="D7" s="26" t="n">
        <x:f>'02_Autonomia'!W9</x:f>
        <x:v>0</x:v>
      </x:c>
      <x:c r="E7" s="26" t="n">
        <x:f>'03_Imparcialidade'!S9</x:f>
        <x:v>0</x:v>
      </x:c>
      <x:c r="F7" s="26" t="n">
        <x:f>'04_Acessibilidade'!AE9</x:f>
        <x:v>0</x:v>
      </x:c>
      <x:c r="G7" s="26" t="n">
        <x:f>'05_Transparência'!O9</x:f>
        <x:v>0</x:v>
      </x:c>
      <x:c r="H7" s="26" t="n">
        <x:f>'06_Integração Tec'!AI9</x:f>
        <x:v>0</x:v>
      </x:c>
      <x:c r="I7" s="26" t="str">
        <x:f>IF(M7&lt;&gt;"Instituída","",SUM(C7:H7))</x:f>
      </x:c>
      <x:c r="J7" s="26" t="str">
        <x:f>IF(M7&lt;&gt;"Instituída","",'07_Maturidade'!X9)</x:f>
      </x:c>
      <x:c r="K7" s="26" t="str">
        <x:f>IF(M7&lt;&gt;"Instituída","",MIN(J7,MAX(0,100-I7)))</x:f>
      </x:c>
      <x:c r="L7" s="26" t="str">
        <x:f>IF(M7&lt;&gt;"Instituída","",MIN(100,I7+K7))</x:f>
      </x:c>
      <x:c r="M7" s="26" t="str">
        <x:f>'01_Institucionalização'!H9</x:f>
        <x:v>Sem evidência</x:v>
      </x:c>
      <x:c r="N7" s="26" t="str">
        <x:f>IF(M7&lt;&gt;"Instituída","",IF(OR(D7=0,E7=0,F7=0,G7=0,H7=0),"Sim","Não"))</x:f>
      </x:c>
      <x:c r="O7" s="26" t="str">
        <x:f>IF(M7="Não instituída","Não instituída",IF(M7&lt;&gt;"Instituída","Sem evidência",IF(N7="Sim","Instituída — aderência insuficiente (dimensão essencial zerada)",IF(L7&lt;50,"Instituída — baixa aderência",IF(L7&lt;70,"Instituída — aderência parcial",IF(L7&lt;90,"Instituída — aderência satisfatória","Instituída — elevada aderência"))))))</x:f>
        <x:v>Sem evidência</x:v>
      </x:c>
      <x:c r="P7" s="26" t="str">
        <x:f>IF(M7&lt;&gt;"Instituída","",IF(K7=0,"Bônus não aplicado",IF(K7&lt;J7,"Bônus limitado ao necessário para atingir 100","Bônus integralmente aplicado")))</x:f>
      </x:c>
    </x:row>
    <x:row r="8">
      <x:c r="A8" s="26" t="str">
        <x:v>AM</x:v>
      </x:c>
      <x:c r="B8" s="26" t="str">
        <x:v>Amazonas</x:v>
      </x:c>
      <x:c r="C8" s="26" t="n">
        <x:f>'01_Institucionalização'!G10</x:f>
        <x:v>0</x:v>
      </x:c>
      <x:c r="D8" s="26" t="n">
        <x:f>'02_Autonomia'!W10</x:f>
        <x:v>0</x:v>
      </x:c>
      <x:c r="E8" s="26" t="n">
        <x:f>'03_Imparcialidade'!S10</x:f>
        <x:v>0</x:v>
      </x:c>
      <x:c r="F8" s="26" t="n">
        <x:f>'04_Acessibilidade'!AE10</x:f>
        <x:v>0</x:v>
      </x:c>
      <x:c r="G8" s="26" t="n">
        <x:f>'05_Transparência'!O10</x:f>
        <x:v>0</x:v>
      </x:c>
      <x:c r="H8" s="26" t="n">
        <x:f>'06_Integração Tec'!AI10</x:f>
        <x:v>0</x:v>
      </x:c>
      <x:c r="I8" s="26" t="str">
        <x:f>IF(M8&lt;&gt;"Instituída","",SUM(C8:H8))</x:f>
      </x:c>
      <x:c r="J8" s="26" t="str">
        <x:f>IF(M8&lt;&gt;"Instituída","",'07_Maturidade'!X10)</x:f>
      </x:c>
      <x:c r="K8" s="26" t="str">
        <x:f>IF(M8&lt;&gt;"Instituída","",MIN(J8,MAX(0,100-I8)))</x:f>
      </x:c>
      <x:c r="L8" s="26" t="str">
        <x:f>IF(M8&lt;&gt;"Instituída","",MIN(100,I8+K8))</x:f>
      </x:c>
      <x:c r="M8" s="26" t="str">
        <x:f>'01_Institucionalização'!H10</x:f>
        <x:v>Sem evidência</x:v>
      </x:c>
      <x:c r="N8" s="26" t="str">
        <x:f>IF(M8&lt;&gt;"Instituída","",IF(OR(D8=0,E8=0,F8=0,G8=0,H8=0),"Sim","Não"))</x:f>
      </x:c>
      <x:c r="O8" s="26" t="str">
        <x:f>IF(M8="Não instituída","Não instituída",IF(M8&lt;&gt;"Instituída","Sem evidência",IF(N8="Sim","Instituída — aderência insuficiente (dimensão essencial zerada)",IF(L8&lt;50,"Instituída — baixa aderência",IF(L8&lt;70,"Instituída — aderência parcial",IF(L8&lt;90,"Instituída — aderência satisfatória","Instituída — elevada aderência"))))))</x:f>
        <x:v>Sem evidência</x:v>
      </x:c>
      <x:c r="P8" s="26" t="str">
        <x:f>IF(M8&lt;&gt;"Instituída","",IF(K8=0,"Bônus não aplicado",IF(K8&lt;J8,"Bônus limitado ao necessário para atingir 100","Bônus integralmente aplicado")))</x:f>
      </x:c>
    </x:row>
    <x:row r="9">
      <x:c r="A9" s="26" t="str">
        <x:v>BA</x:v>
      </x:c>
      <x:c r="B9" s="26" t="str">
        <x:v>Bahia</x:v>
      </x:c>
      <x:c r="C9" s="26" t="n">
        <x:f>'01_Institucionalização'!G11</x:f>
        <x:v>0</x:v>
      </x:c>
      <x:c r="D9" s="26" t="n">
        <x:f>'02_Autonomia'!W11</x:f>
        <x:v>0</x:v>
      </x:c>
      <x:c r="E9" s="26" t="n">
        <x:f>'03_Imparcialidade'!S11</x:f>
        <x:v>0</x:v>
      </x:c>
      <x:c r="F9" s="26" t="n">
        <x:f>'04_Acessibilidade'!AE11</x:f>
        <x:v>0</x:v>
      </x:c>
      <x:c r="G9" s="26" t="n">
        <x:f>'05_Transparência'!O11</x:f>
        <x:v>0</x:v>
      </x:c>
      <x:c r="H9" s="26" t="n">
        <x:f>'06_Integração Tec'!AI11</x:f>
        <x:v>0</x:v>
      </x:c>
      <x:c r="I9" s="26" t="str">
        <x:f>IF(M9&lt;&gt;"Instituída","",SUM(C9:H9))</x:f>
      </x:c>
      <x:c r="J9" s="26" t="str">
        <x:f>IF(M9&lt;&gt;"Instituída","",'07_Maturidade'!X11)</x:f>
      </x:c>
      <x:c r="K9" s="26" t="str">
        <x:f>IF(M9&lt;&gt;"Instituída","",MIN(J9,MAX(0,100-I9)))</x:f>
      </x:c>
      <x:c r="L9" s="26" t="str">
        <x:f>IF(M9&lt;&gt;"Instituída","",MIN(100,I9+K9))</x:f>
      </x:c>
      <x:c r="M9" s="26" t="str">
        <x:f>'01_Institucionalização'!H11</x:f>
        <x:v>Sem evidência</x:v>
      </x:c>
      <x:c r="N9" s="26" t="str">
        <x:f>IF(M9&lt;&gt;"Instituída","",IF(OR(D9=0,E9=0,F9=0,G9=0,H9=0),"Sim","Não"))</x:f>
      </x:c>
      <x:c r="O9" s="26" t="str">
        <x:f>IF(M9="Não instituída","Não instituída",IF(M9&lt;&gt;"Instituída","Sem evidência",IF(N9="Sim","Instituída — aderência insuficiente (dimensão essencial zerada)",IF(L9&lt;50,"Instituída — baixa aderência",IF(L9&lt;70,"Instituída — aderência parcial",IF(L9&lt;90,"Instituída — aderência satisfatória","Instituída — elevada aderência"))))))</x:f>
        <x:v>Sem evidência</x:v>
      </x:c>
      <x:c r="P9" s="26" t="str">
        <x:f>IF(M9&lt;&gt;"Instituída","",IF(K9=0,"Bônus não aplicado",IF(K9&lt;J9,"Bônus limitado ao necessário para atingir 100","Bônus integralmente aplicado")))</x:f>
      </x:c>
    </x:row>
    <x:row r="10">
      <x:c r="A10" s="26" t="str">
        <x:v>CE</x:v>
      </x:c>
      <x:c r="B10" s="26" t="str">
        <x:v>Ceará</x:v>
      </x:c>
      <x:c r="C10" s="26" t="n">
        <x:f>'01_Institucionalização'!G12</x:f>
        <x:v>0</x:v>
      </x:c>
      <x:c r="D10" s="26" t="n">
        <x:f>'02_Autonomia'!W12</x:f>
        <x:v>0</x:v>
      </x:c>
      <x:c r="E10" s="26" t="n">
        <x:f>'03_Imparcialidade'!S12</x:f>
        <x:v>0</x:v>
      </x:c>
      <x:c r="F10" s="26" t="n">
        <x:f>'04_Acessibilidade'!AE12</x:f>
        <x:v>0</x:v>
      </x:c>
      <x:c r="G10" s="26" t="n">
        <x:f>'05_Transparência'!O12</x:f>
        <x:v>0</x:v>
      </x:c>
      <x:c r="H10" s="26" t="n">
        <x:f>'06_Integração Tec'!AI12</x:f>
        <x:v>0</x:v>
      </x:c>
      <x:c r="I10" s="26" t="str">
        <x:f>IF(M10&lt;&gt;"Instituída","",SUM(C10:H10))</x:f>
      </x:c>
      <x:c r="J10" s="26" t="str">
        <x:f>IF(M10&lt;&gt;"Instituída","",'07_Maturidade'!X12)</x:f>
      </x:c>
      <x:c r="K10" s="26" t="str">
        <x:f>IF(M10&lt;&gt;"Instituída","",MIN(J10,MAX(0,100-I10)))</x:f>
      </x:c>
      <x:c r="L10" s="26" t="str">
        <x:f>IF(M10&lt;&gt;"Instituída","",MIN(100,I10+K10))</x:f>
      </x:c>
      <x:c r="M10" s="26" t="str">
        <x:f>'01_Institucionalização'!H12</x:f>
        <x:v>Sem evidência</x:v>
      </x:c>
      <x:c r="N10" s="26" t="str">
        <x:f>IF(M10&lt;&gt;"Instituída","",IF(OR(D10=0,E10=0,F10=0,G10=0,H10=0),"Sim","Não"))</x:f>
      </x:c>
      <x:c r="O10" s="26" t="str">
        <x:f>IF(M10="Não instituída","Não instituída",IF(M10&lt;&gt;"Instituída","Sem evidência",IF(N10="Sim","Instituída — aderência insuficiente (dimensão essencial zerada)",IF(L10&lt;50,"Instituída — baixa aderência",IF(L10&lt;70,"Instituída — aderência parcial",IF(L10&lt;90,"Instituída — aderência satisfatória","Instituída — elevada aderência"))))))</x:f>
        <x:v>Sem evidência</x:v>
      </x:c>
      <x:c r="P10" s="26" t="str">
        <x:f>IF(M10&lt;&gt;"Instituída","",IF(K10=0,"Bônus não aplicado",IF(K10&lt;J10,"Bônus limitado ao necessário para atingir 100","Bônus integralmente aplicado")))</x:f>
      </x:c>
    </x:row>
    <x:row r="11">
      <x:c r="A11" s="26" t="str">
        <x:v>DF</x:v>
      </x:c>
      <x:c r="B11" s="26" t="str">
        <x:v>Distrito Federal</x:v>
      </x:c>
      <x:c r="C11" s="26" t="n">
        <x:f>'01_Institucionalização'!G13</x:f>
        <x:v>0</x:v>
      </x:c>
      <x:c r="D11" s="26" t="n">
        <x:f>'02_Autonomia'!W13</x:f>
        <x:v>0</x:v>
      </x:c>
      <x:c r="E11" s="26" t="n">
        <x:f>'03_Imparcialidade'!S13</x:f>
        <x:v>0</x:v>
      </x:c>
      <x:c r="F11" s="26" t="n">
        <x:f>'04_Acessibilidade'!AE13</x:f>
        <x:v>0</x:v>
      </x:c>
      <x:c r="G11" s="26" t="n">
        <x:f>'05_Transparência'!O13</x:f>
        <x:v>0</x:v>
      </x:c>
      <x:c r="H11" s="26" t="n">
        <x:f>'06_Integração Tec'!AI13</x:f>
        <x:v>0</x:v>
      </x:c>
      <x:c r="I11" s="26" t="str">
        <x:f>IF(M11&lt;&gt;"Instituída","",SUM(C11:H11))</x:f>
      </x:c>
      <x:c r="J11" s="26" t="str">
        <x:f>IF(M11&lt;&gt;"Instituída","",'07_Maturidade'!X13)</x:f>
      </x:c>
      <x:c r="K11" s="26" t="str">
        <x:f>IF(M11&lt;&gt;"Instituída","",MIN(J11,MAX(0,100-I11)))</x:f>
      </x:c>
      <x:c r="L11" s="26" t="str">
        <x:f>IF(M11&lt;&gt;"Instituída","",MIN(100,I11+K11))</x:f>
      </x:c>
      <x:c r="M11" s="26" t="str">
        <x:f>'01_Institucionalização'!H13</x:f>
        <x:v>Sem evidência</x:v>
      </x:c>
      <x:c r="N11" s="26" t="str">
        <x:f>IF(M11&lt;&gt;"Instituída","",IF(OR(D11=0,E11=0,F11=0,G11=0,H11=0),"Sim","Não"))</x:f>
      </x:c>
      <x:c r="O11" s="26" t="str">
        <x:f>IF(M11="Não instituída","Não instituída",IF(M11&lt;&gt;"Instituída","Sem evidência",IF(N11="Sim","Instituída — aderência insuficiente (dimensão essencial zerada)",IF(L11&lt;50,"Instituída — baixa aderência",IF(L11&lt;70,"Instituída — aderência parcial",IF(L11&lt;90,"Instituída — aderência satisfatória","Instituída — elevada aderência"))))))</x:f>
        <x:v>Sem evidência</x:v>
      </x:c>
      <x:c r="P11" s="26" t="str">
        <x:f>IF(M11&lt;&gt;"Instituída","",IF(K11=0,"Bônus não aplicado",IF(K11&lt;J11,"Bônus limitado ao necessário para atingir 100","Bônus integralmente aplicado")))</x:f>
      </x:c>
    </x:row>
    <x:row r="12">
      <x:c r="A12" s="26" t="str">
        <x:v>ES</x:v>
      </x:c>
      <x:c r="B12" s="26" t="str">
        <x:v>Espírito Santo — Polícia Penal</x:v>
      </x:c>
      <x:c r="C12" s="26" t="n">
        <x:f>'01_Institucionalização'!G14</x:f>
        <x:v>0</x:v>
      </x:c>
      <x:c r="D12" s="26" t="n">
        <x:f>'02_Autonomia'!W14</x:f>
        <x:v>0</x:v>
      </x:c>
      <x:c r="E12" s="26" t="n">
        <x:f>'03_Imparcialidade'!S14</x:f>
        <x:v>0</x:v>
      </x:c>
      <x:c r="F12" s="26" t="n">
        <x:f>'04_Acessibilidade'!AE14</x:f>
        <x:v>0</x:v>
      </x:c>
      <x:c r="G12" s="26" t="n">
        <x:f>'05_Transparência'!O14</x:f>
        <x:v>0</x:v>
      </x:c>
      <x:c r="H12" s="26" t="n">
        <x:f>'06_Integração Tec'!AI14</x:f>
        <x:v>0</x:v>
      </x:c>
      <x:c r="I12" s="26" t="str">
        <x:f>IF(M12&lt;&gt;"Instituída","",SUM(C12:H12))</x:f>
      </x:c>
      <x:c r="J12" s="26" t="str">
        <x:f>IF(M12&lt;&gt;"Instituída","",'07_Maturidade'!X14)</x:f>
      </x:c>
      <x:c r="K12" s="26" t="str">
        <x:f>IF(M12&lt;&gt;"Instituída","",MIN(J12,MAX(0,100-I12)))</x:f>
      </x:c>
      <x:c r="L12" s="26" t="str">
        <x:f>IF(M12&lt;&gt;"Instituída","",MIN(100,I12+K12))</x:f>
      </x:c>
      <x:c r="M12" s="26" t="str">
        <x:f>'01_Institucionalização'!H14</x:f>
        <x:v>Sem evidência</x:v>
      </x:c>
      <x:c r="N12" s="26" t="str">
        <x:f>IF(M12&lt;&gt;"Instituída","",IF(OR(D12=0,E12=0,F12=0,G12=0,H12=0),"Sim","Não"))</x:f>
      </x:c>
      <x:c r="O12" s="26" t="str">
        <x:f>IF(M12="Não instituída","Não instituída",IF(M12&lt;&gt;"Instituída","Sem evidência",IF(N12="Sim","Instituída — aderência insuficiente (dimensão essencial zerada)",IF(L12&lt;50,"Instituída — baixa aderência",IF(L12&lt;70,"Instituída — aderência parcial",IF(L12&lt;90,"Instituída — aderência satisfatória","Instituída — elevada aderência"))))))</x:f>
        <x:v>Sem evidência</x:v>
      </x:c>
      <x:c r="P12" s="26" t="str">
        <x:f>IF(M12&lt;&gt;"Instituída","",IF(K12=0,"Bônus não aplicado",IF(K12&lt;J12,"Bônus limitado ao necessário para atingir 100","Bônus integralmente aplicado")))</x:f>
      </x:c>
    </x:row>
    <x:row r="13">
      <x:c r="A13" s="26" t="str">
        <x:v>ES</x:v>
      </x:c>
      <x:c r="B13" s="26" t="str">
        <x:v>Espírito Santo — SEJUS/ES</x:v>
      </x:c>
      <x:c r="C13" s="26" t="n">
        <x:f>'01_Institucionalização'!G15</x:f>
        <x:v>0</x:v>
      </x:c>
      <x:c r="D13" s="26" t="n">
        <x:f>'02_Autonomia'!W15</x:f>
        <x:v>0</x:v>
      </x:c>
      <x:c r="E13" s="26" t="n">
        <x:f>'03_Imparcialidade'!S15</x:f>
        <x:v>0</x:v>
      </x:c>
      <x:c r="F13" s="26" t="n">
        <x:f>'04_Acessibilidade'!AE15</x:f>
        <x:v>0</x:v>
      </x:c>
      <x:c r="G13" s="26" t="n">
        <x:f>'05_Transparência'!O15</x:f>
        <x:v>0</x:v>
      </x:c>
      <x:c r="H13" s="26" t="n">
        <x:f>'06_Integração Tec'!AI15</x:f>
        <x:v>0</x:v>
      </x:c>
      <x:c r="I13" s="26" t="str">
        <x:f>IF(M13&lt;&gt;"Instituída","",SUM(C13:H13))</x:f>
      </x:c>
      <x:c r="J13" s="26" t="str">
        <x:f>IF(M13&lt;&gt;"Instituída","",'07_Maturidade'!X15)</x:f>
      </x:c>
      <x:c r="K13" s="26" t="str">
        <x:f>IF(M13&lt;&gt;"Instituída","",MIN(J13,MAX(0,100-I13)))</x:f>
      </x:c>
      <x:c r="L13" s="26" t="str">
        <x:f>IF(M13&lt;&gt;"Instituída","",MIN(100,I13+K13))</x:f>
      </x:c>
      <x:c r="M13" s="26" t="str">
        <x:f>'01_Institucionalização'!H15</x:f>
        <x:v>Sem evidência</x:v>
      </x:c>
      <x:c r="N13" s="26" t="str">
        <x:f>IF(M13&lt;&gt;"Instituída","",IF(OR(D13=0,E13=0,F13=0,G13=0,H13=0),"Sim","Não"))</x:f>
      </x:c>
      <x:c r="O13" s="26" t="str">
        <x:f>IF(M13="Não instituída","Não instituída",IF(M13&lt;&gt;"Instituída","Sem evidência",IF(N13="Sim","Instituída — aderência insuficiente (dimensão essencial zerada)",IF(L13&lt;50,"Instituída — baixa aderência",IF(L13&lt;70,"Instituída — aderência parcial",IF(L13&lt;90,"Instituída — aderência satisfatória","Instituída — elevada aderência"))))))</x:f>
        <x:v>Sem evidência</x:v>
      </x:c>
      <x:c r="P13" s="26" t="str">
        <x:f>IF(M13&lt;&gt;"Instituída","",IF(K13=0,"Bônus não aplicado",IF(K13&lt;J13,"Bônus limitado ao necessário para atingir 100","Bônus integralmente aplicado")))</x:f>
      </x:c>
    </x:row>
    <x:row r="14">
      <x:c r="A14" s="26" t="str">
        <x:v>GO</x:v>
      </x:c>
      <x:c r="B14" s="26" t="str">
        <x:v>Goiás</x:v>
      </x:c>
      <x:c r="C14" s="26" t="n">
        <x:f>'01_Institucionalização'!G16</x:f>
        <x:v>0</x:v>
      </x:c>
      <x:c r="D14" s="26" t="n">
        <x:f>'02_Autonomia'!W16</x:f>
        <x:v>0</x:v>
      </x:c>
      <x:c r="E14" s="26" t="n">
        <x:f>'03_Imparcialidade'!S16</x:f>
        <x:v>0</x:v>
      </x:c>
      <x:c r="F14" s="26" t="n">
        <x:f>'04_Acessibilidade'!AE16</x:f>
        <x:v>0</x:v>
      </x:c>
      <x:c r="G14" s="26" t="n">
        <x:f>'05_Transparência'!O16</x:f>
        <x:v>0</x:v>
      </x:c>
      <x:c r="H14" s="26" t="n">
        <x:f>'06_Integração Tec'!AI16</x:f>
        <x:v>0</x:v>
      </x:c>
      <x:c r="I14" s="26" t="str">
        <x:f>IF(M14&lt;&gt;"Instituída","",SUM(C14:H14))</x:f>
      </x:c>
      <x:c r="J14" s="26" t="str">
        <x:f>IF(M14&lt;&gt;"Instituída","",'07_Maturidade'!X16)</x:f>
      </x:c>
      <x:c r="K14" s="26" t="str">
        <x:f>IF(M14&lt;&gt;"Instituída","",MIN(J14,MAX(0,100-I14)))</x:f>
      </x:c>
      <x:c r="L14" s="26" t="str">
        <x:f>IF(M14&lt;&gt;"Instituída","",MIN(100,I14+K14))</x:f>
      </x:c>
      <x:c r="M14" s="26" t="str">
        <x:f>'01_Institucionalização'!H16</x:f>
        <x:v>Sem evidência</x:v>
      </x:c>
      <x:c r="N14" s="26" t="str">
        <x:f>IF(M14&lt;&gt;"Instituída","",IF(OR(D14=0,E14=0,F14=0,G14=0,H14=0),"Sim","Não"))</x:f>
      </x:c>
      <x:c r="O14" s="26" t="str">
        <x:f>IF(M14="Não instituída","Não instituída",IF(M14&lt;&gt;"Instituída","Sem evidência",IF(N14="Sim","Instituída — aderência insuficiente (dimensão essencial zerada)",IF(L14&lt;50,"Instituída — baixa aderência",IF(L14&lt;70,"Instituída — aderência parcial",IF(L14&lt;90,"Instituída — aderência satisfatória","Instituída — elevada aderência"))))))</x:f>
        <x:v>Sem evidência</x:v>
      </x:c>
      <x:c r="P14" s="26" t="str">
        <x:f>IF(M14&lt;&gt;"Instituída","",IF(K14=0,"Bônus não aplicado",IF(K14&lt;J14,"Bônus limitado ao necessário para atingir 100","Bônus integralmente aplicado")))</x:f>
      </x:c>
    </x:row>
    <x:row r="15">
      <x:c r="A15" s="26" t="str">
        <x:v>MA</x:v>
      </x:c>
      <x:c r="B15" s="26" t="str">
        <x:v>Maranhão</x:v>
      </x:c>
      <x:c r="C15" s="26" t="n">
        <x:f>'01_Institucionalização'!G17</x:f>
        <x:v>0</x:v>
      </x:c>
      <x:c r="D15" s="26" t="n">
        <x:f>'02_Autonomia'!W17</x:f>
        <x:v>0</x:v>
      </x:c>
      <x:c r="E15" s="26" t="n">
        <x:f>'03_Imparcialidade'!S17</x:f>
        <x:v>0</x:v>
      </x:c>
      <x:c r="F15" s="26" t="n">
        <x:f>'04_Acessibilidade'!AE17</x:f>
        <x:v>0</x:v>
      </x:c>
      <x:c r="G15" s="26" t="n">
        <x:f>'05_Transparência'!O17</x:f>
        <x:v>0</x:v>
      </x:c>
      <x:c r="H15" s="26" t="n">
        <x:f>'06_Integração Tec'!AI17</x:f>
        <x:v>0</x:v>
      </x:c>
      <x:c r="I15" s="26" t="str">
        <x:f>IF(M15&lt;&gt;"Instituída","",SUM(C15:H15))</x:f>
      </x:c>
      <x:c r="J15" s="26" t="str">
        <x:f>IF(M15&lt;&gt;"Instituída","",'07_Maturidade'!X17)</x:f>
      </x:c>
      <x:c r="K15" s="26" t="str">
        <x:f>IF(M15&lt;&gt;"Instituída","",MIN(J15,MAX(0,100-I15)))</x:f>
      </x:c>
      <x:c r="L15" s="26" t="str">
        <x:f>IF(M15&lt;&gt;"Instituída","",MIN(100,I15+K15))</x:f>
      </x:c>
      <x:c r="M15" s="26" t="str">
        <x:f>'01_Institucionalização'!H17</x:f>
        <x:v>Sem evidência</x:v>
      </x:c>
      <x:c r="N15" s="26" t="str">
        <x:f>IF(M15&lt;&gt;"Instituída","",IF(OR(D15=0,E15=0,F15=0,G15=0,H15=0),"Sim","Não"))</x:f>
      </x:c>
      <x:c r="O15" s="26" t="str">
        <x:f>IF(M15="Não instituída","Não instituída",IF(M15&lt;&gt;"Instituída","Sem evidência",IF(N15="Sim","Instituída — aderência insuficiente (dimensão essencial zerada)",IF(L15&lt;50,"Instituída — baixa aderência",IF(L15&lt;70,"Instituída — aderência parcial",IF(L15&lt;90,"Instituída — aderência satisfatória","Instituída — elevada aderência"))))))</x:f>
        <x:v>Sem evidência</x:v>
      </x:c>
      <x:c r="P15" s="26" t="str">
        <x:f>IF(M15&lt;&gt;"Instituída","",IF(K15=0,"Bônus não aplicado",IF(K15&lt;J15,"Bônus limitado ao necessário para atingir 100","Bônus integralmente aplicado")))</x:f>
      </x:c>
    </x:row>
    <x:row r="16">
      <x:c r="A16" s="26" t="str">
        <x:v>MT</x:v>
      </x:c>
      <x:c r="B16" s="26" t="str">
        <x:v>Mato Grosso</x:v>
      </x:c>
      <x:c r="C16" s="26" t="n">
        <x:f>'01_Institucionalização'!G18</x:f>
        <x:v>0</x:v>
      </x:c>
      <x:c r="D16" s="26" t="n">
        <x:f>'02_Autonomia'!W18</x:f>
        <x:v>0</x:v>
      </x:c>
      <x:c r="E16" s="26" t="n">
        <x:f>'03_Imparcialidade'!S18</x:f>
        <x:v>0</x:v>
      </x:c>
      <x:c r="F16" s="26" t="n">
        <x:f>'04_Acessibilidade'!AE18</x:f>
        <x:v>0</x:v>
      </x:c>
      <x:c r="G16" s="26" t="n">
        <x:f>'05_Transparência'!O18</x:f>
        <x:v>0</x:v>
      </x:c>
      <x:c r="H16" s="26" t="n">
        <x:f>'06_Integração Tec'!AI18</x:f>
        <x:v>0</x:v>
      </x:c>
      <x:c r="I16" s="26" t="str">
        <x:f>IF(M16&lt;&gt;"Instituída","",SUM(C16:H16))</x:f>
      </x:c>
      <x:c r="J16" s="26" t="str">
        <x:f>IF(M16&lt;&gt;"Instituída","",'07_Maturidade'!X18)</x:f>
      </x:c>
      <x:c r="K16" s="26" t="str">
        <x:f>IF(M16&lt;&gt;"Instituída","",MIN(J16,MAX(0,100-I16)))</x:f>
      </x:c>
      <x:c r="L16" s="26" t="str">
        <x:f>IF(M16&lt;&gt;"Instituída","",MIN(100,I16+K16))</x:f>
      </x:c>
      <x:c r="M16" s="26" t="str">
        <x:f>'01_Institucionalização'!H18</x:f>
        <x:v>Sem evidência</x:v>
      </x:c>
      <x:c r="N16" s="26" t="str">
        <x:f>IF(M16&lt;&gt;"Instituída","",IF(OR(D16=0,E16=0,F16=0,G16=0,H16=0),"Sim","Não"))</x:f>
      </x:c>
      <x:c r="O16" s="26" t="str">
        <x:f>IF(M16="Não instituída","Não instituída",IF(M16&lt;&gt;"Instituída","Sem evidência",IF(N16="Sim","Instituída — aderência insuficiente (dimensão essencial zerada)",IF(L16&lt;50,"Instituída — baixa aderência",IF(L16&lt;70,"Instituída — aderência parcial",IF(L16&lt;90,"Instituída — aderência satisfatória","Instituída — elevada aderência"))))))</x:f>
        <x:v>Sem evidência</x:v>
      </x:c>
      <x:c r="P16" s="26" t="str">
        <x:f>IF(M16&lt;&gt;"Instituída","",IF(K16=0,"Bônus não aplicado",IF(K16&lt;J16,"Bônus limitado ao necessário para atingir 100","Bônus integralmente aplicado")))</x:f>
      </x:c>
    </x:row>
    <x:row r="17">
      <x:c r="A17" s="26" t="str">
        <x:v>MS</x:v>
      </x:c>
      <x:c r="B17" s="26" t="str">
        <x:v>Mato Grosso do Sul</x:v>
      </x:c>
      <x:c r="C17" s="26" t="n">
        <x:f>'01_Institucionalização'!G19</x:f>
        <x:v>0</x:v>
      </x:c>
      <x:c r="D17" s="26" t="n">
        <x:f>'02_Autonomia'!W19</x:f>
        <x:v>0</x:v>
      </x:c>
      <x:c r="E17" s="26" t="n">
        <x:f>'03_Imparcialidade'!S19</x:f>
        <x:v>0</x:v>
      </x:c>
      <x:c r="F17" s="26" t="n">
        <x:f>'04_Acessibilidade'!AE19</x:f>
        <x:v>0</x:v>
      </x:c>
      <x:c r="G17" s="26" t="n">
        <x:f>'05_Transparência'!O19</x:f>
        <x:v>0</x:v>
      </x:c>
      <x:c r="H17" s="26" t="n">
        <x:f>'06_Integração Tec'!AI19</x:f>
        <x:v>0</x:v>
      </x:c>
      <x:c r="I17" s="26" t="str">
        <x:f>IF(M17&lt;&gt;"Instituída","",SUM(C17:H17))</x:f>
      </x:c>
      <x:c r="J17" s="26" t="str">
        <x:f>IF(M17&lt;&gt;"Instituída","",'07_Maturidade'!X19)</x:f>
      </x:c>
      <x:c r="K17" s="26" t="str">
        <x:f>IF(M17&lt;&gt;"Instituída","",MIN(J17,MAX(0,100-I17)))</x:f>
      </x:c>
      <x:c r="L17" s="26" t="str">
        <x:f>IF(M17&lt;&gt;"Instituída","",MIN(100,I17+K17))</x:f>
      </x:c>
      <x:c r="M17" s="26" t="str">
        <x:f>'01_Institucionalização'!H19</x:f>
        <x:v>Sem evidência</x:v>
      </x:c>
      <x:c r="N17" s="26" t="str">
        <x:f>IF(M17&lt;&gt;"Instituída","",IF(OR(D17=0,E17=0,F17=0,G17=0,H17=0),"Sim","Não"))</x:f>
      </x:c>
      <x:c r="O17" s="26" t="str">
        <x:f>IF(M17="Não instituída","Não instituída",IF(M17&lt;&gt;"Instituída","Sem evidência",IF(N17="Sim","Instituída — aderência insuficiente (dimensão essencial zerada)",IF(L17&lt;50,"Instituída — baixa aderência",IF(L17&lt;70,"Instituída — aderência parcial",IF(L17&lt;90,"Instituída — aderência satisfatória","Instituída — elevada aderência"))))))</x:f>
        <x:v>Sem evidência</x:v>
      </x:c>
      <x:c r="P17" s="26" t="str">
        <x:f>IF(M17&lt;&gt;"Instituída","",IF(K17=0,"Bônus não aplicado",IF(K17&lt;J17,"Bônus limitado ao necessário para atingir 100","Bônus integralmente aplicado")))</x:f>
      </x:c>
    </x:row>
    <x:row r="18">
      <x:c r="A18" s="26" t="str">
        <x:v>MG</x:v>
      </x:c>
      <x:c r="B18" s="26" t="str">
        <x:v>Minas Gerais</x:v>
      </x:c>
      <x:c r="C18" s="26" t="n">
        <x:f>'01_Institucionalização'!G20</x:f>
        <x:v>0</x:v>
      </x:c>
      <x:c r="D18" s="26" t="n">
        <x:f>'02_Autonomia'!W20</x:f>
        <x:v>0</x:v>
      </x:c>
      <x:c r="E18" s="26" t="n">
        <x:f>'03_Imparcialidade'!S20</x:f>
        <x:v>0</x:v>
      </x:c>
      <x:c r="F18" s="26" t="n">
        <x:f>'04_Acessibilidade'!AE20</x:f>
        <x:v>0</x:v>
      </x:c>
      <x:c r="G18" s="26" t="n">
        <x:f>'05_Transparência'!O20</x:f>
        <x:v>0</x:v>
      </x:c>
      <x:c r="H18" s="26" t="n">
        <x:f>'06_Integração Tec'!AI20</x:f>
        <x:v>0</x:v>
      </x:c>
      <x:c r="I18" s="26" t="str">
        <x:f>IF(M18&lt;&gt;"Instituída","",SUM(C18:H18))</x:f>
      </x:c>
      <x:c r="J18" s="26" t="str">
        <x:f>IF(M18&lt;&gt;"Instituída","",'07_Maturidade'!X20)</x:f>
      </x:c>
      <x:c r="K18" s="26" t="str">
        <x:f>IF(M18&lt;&gt;"Instituída","",MIN(J18,MAX(0,100-I18)))</x:f>
      </x:c>
      <x:c r="L18" s="26" t="str">
        <x:f>IF(M18&lt;&gt;"Instituída","",MIN(100,I18+K18))</x:f>
      </x:c>
      <x:c r="M18" s="26" t="str">
        <x:f>'01_Institucionalização'!H20</x:f>
        <x:v>Sem evidência</x:v>
      </x:c>
      <x:c r="N18" s="26" t="str">
        <x:f>IF(M18&lt;&gt;"Instituída","",IF(OR(D18=0,E18=0,F18=0,G18=0,H18=0),"Sim","Não"))</x:f>
      </x:c>
      <x:c r="O18" s="26" t="str">
        <x:f>IF(M18="Não instituída","Não instituída",IF(M18&lt;&gt;"Instituída","Sem evidência",IF(N18="Sim","Instituída — aderência insuficiente (dimensão essencial zerada)",IF(L18&lt;50,"Instituída — baixa aderência",IF(L18&lt;70,"Instituída — aderência parcial",IF(L18&lt;90,"Instituída — aderência satisfatória","Instituída — elevada aderência"))))))</x:f>
        <x:v>Sem evidência</x:v>
      </x:c>
      <x:c r="P18" s="26" t="str">
        <x:f>IF(M18&lt;&gt;"Instituída","",IF(K18=0,"Bônus não aplicado",IF(K18&lt;J18,"Bônus limitado ao necessário para atingir 100","Bônus integralmente aplicado")))</x:f>
      </x:c>
    </x:row>
    <x:row r="19">
      <x:c r="A19" s="26" t="str">
        <x:v>PA</x:v>
      </x:c>
      <x:c r="B19" s="26" t="str">
        <x:v>Pará</x:v>
      </x:c>
      <x:c r="C19" s="26" t="n">
        <x:f>'01_Institucionalização'!G21</x:f>
        <x:v>0</x:v>
      </x:c>
      <x:c r="D19" s="26" t="n">
        <x:f>'02_Autonomia'!W21</x:f>
        <x:v>0</x:v>
      </x:c>
      <x:c r="E19" s="26" t="n">
        <x:f>'03_Imparcialidade'!S21</x:f>
        <x:v>0</x:v>
      </x:c>
      <x:c r="F19" s="26" t="n">
        <x:f>'04_Acessibilidade'!AE21</x:f>
        <x:v>0</x:v>
      </x:c>
      <x:c r="G19" s="26" t="n">
        <x:f>'05_Transparência'!O21</x:f>
        <x:v>0</x:v>
      </x:c>
      <x:c r="H19" s="26" t="n">
        <x:f>'06_Integração Tec'!AI21</x:f>
        <x:v>0</x:v>
      </x:c>
      <x:c r="I19" s="26" t="str">
        <x:f>IF(M19&lt;&gt;"Instituída","",SUM(C19:H19))</x:f>
      </x:c>
      <x:c r="J19" s="26" t="str">
        <x:f>IF(M19&lt;&gt;"Instituída","",'07_Maturidade'!X21)</x:f>
      </x:c>
      <x:c r="K19" s="26" t="str">
        <x:f>IF(M19&lt;&gt;"Instituída","",MIN(J19,MAX(0,100-I19)))</x:f>
      </x:c>
      <x:c r="L19" s="26" t="str">
        <x:f>IF(M19&lt;&gt;"Instituída","",MIN(100,I19+K19))</x:f>
      </x:c>
      <x:c r="M19" s="26" t="str">
        <x:f>'01_Institucionalização'!H21</x:f>
        <x:v>Sem evidência</x:v>
      </x:c>
      <x:c r="N19" s="26" t="str">
        <x:f>IF(M19&lt;&gt;"Instituída","",IF(OR(D19=0,E19=0,F19=0,G19=0,H19=0),"Sim","Não"))</x:f>
      </x:c>
      <x:c r="O19" s="26" t="str">
        <x:f>IF(M19="Não instituída","Não instituída",IF(M19&lt;&gt;"Instituída","Sem evidência",IF(N19="Sim","Instituída — aderência insuficiente (dimensão essencial zerada)",IF(L19&lt;50,"Instituída — baixa aderência",IF(L19&lt;70,"Instituída — aderência parcial",IF(L19&lt;90,"Instituída — aderência satisfatória","Instituída — elevada aderência"))))))</x:f>
        <x:v>Sem evidência</x:v>
      </x:c>
      <x:c r="P19" s="26" t="str">
        <x:f>IF(M19&lt;&gt;"Instituída","",IF(K19=0,"Bônus não aplicado",IF(K19&lt;J19,"Bônus limitado ao necessário para atingir 100","Bônus integralmente aplicado")))</x:f>
      </x:c>
    </x:row>
    <x:row r="20">
      <x:c r="A20" s="26" t="str">
        <x:v>PB</x:v>
      </x:c>
      <x:c r="B20" s="26" t="str">
        <x:v>Paraíba</x:v>
      </x:c>
      <x:c r="C20" s="26" t="n">
        <x:f>'01_Institucionalização'!G22</x:f>
        <x:v>0</x:v>
      </x:c>
      <x:c r="D20" s="26" t="n">
        <x:f>'02_Autonomia'!W22</x:f>
        <x:v>0</x:v>
      </x:c>
      <x:c r="E20" s="26" t="n">
        <x:f>'03_Imparcialidade'!S22</x:f>
        <x:v>0</x:v>
      </x:c>
      <x:c r="F20" s="26" t="n">
        <x:f>'04_Acessibilidade'!AE22</x:f>
        <x:v>0</x:v>
      </x:c>
      <x:c r="G20" s="26" t="n">
        <x:f>'05_Transparência'!O22</x:f>
        <x:v>0</x:v>
      </x:c>
      <x:c r="H20" s="26" t="n">
        <x:f>'06_Integração Tec'!AI22</x:f>
        <x:v>0</x:v>
      </x:c>
      <x:c r="I20" s="26" t="str">
        <x:f>IF(M20&lt;&gt;"Instituída","",SUM(C20:H20))</x:f>
      </x:c>
      <x:c r="J20" s="26" t="str">
        <x:f>IF(M20&lt;&gt;"Instituída","",'07_Maturidade'!X22)</x:f>
      </x:c>
      <x:c r="K20" s="26" t="str">
        <x:f>IF(M20&lt;&gt;"Instituída","",MIN(J20,MAX(0,100-I20)))</x:f>
      </x:c>
      <x:c r="L20" s="26" t="str">
        <x:f>IF(M20&lt;&gt;"Instituída","",MIN(100,I20+K20))</x:f>
      </x:c>
      <x:c r="M20" s="26" t="str">
        <x:f>'01_Institucionalização'!H22</x:f>
        <x:v>Sem evidência</x:v>
      </x:c>
      <x:c r="N20" s="26" t="str">
        <x:f>IF(M20&lt;&gt;"Instituída","",IF(OR(D20=0,E20=0,F20=0,G20=0,H20=0),"Sim","Não"))</x:f>
      </x:c>
      <x:c r="O20" s="26" t="str">
        <x:f>IF(M20="Não instituída","Não instituída",IF(M20&lt;&gt;"Instituída","Sem evidência",IF(N20="Sim","Instituída — aderência insuficiente (dimensão essencial zerada)",IF(L20&lt;50,"Instituída — baixa aderência",IF(L20&lt;70,"Instituída — aderência parcial",IF(L20&lt;90,"Instituída — aderência satisfatória","Instituída — elevada aderência"))))))</x:f>
        <x:v>Sem evidência</x:v>
      </x:c>
      <x:c r="P20" s="26" t="str">
        <x:f>IF(M20&lt;&gt;"Instituída","",IF(K20=0,"Bônus não aplicado",IF(K20&lt;J20,"Bônus limitado ao necessário para atingir 100","Bônus integralmente aplicado")))</x:f>
      </x:c>
    </x:row>
    <x:row r="21">
      <x:c r="A21" s="26" t="str">
        <x:v>PR</x:v>
      </x:c>
      <x:c r="B21" s="26" t="str">
        <x:v>Paraná</x:v>
      </x:c>
      <x:c r="C21" s="26" t="n">
        <x:f>'01_Institucionalização'!G23</x:f>
        <x:v>0</x:v>
      </x:c>
      <x:c r="D21" s="26" t="n">
        <x:f>'02_Autonomia'!W23</x:f>
        <x:v>0</x:v>
      </x:c>
      <x:c r="E21" s="26" t="n">
        <x:f>'03_Imparcialidade'!S23</x:f>
        <x:v>0</x:v>
      </x:c>
      <x:c r="F21" s="26" t="n">
        <x:f>'04_Acessibilidade'!AE23</x:f>
        <x:v>0</x:v>
      </x:c>
      <x:c r="G21" s="26" t="n">
        <x:f>'05_Transparência'!O23</x:f>
        <x:v>0</x:v>
      </x:c>
      <x:c r="H21" s="26" t="n">
        <x:f>'06_Integração Tec'!AI23</x:f>
        <x:v>0</x:v>
      </x:c>
      <x:c r="I21" s="26" t="str">
        <x:f>IF(M21&lt;&gt;"Instituída","",SUM(C21:H21))</x:f>
      </x:c>
      <x:c r="J21" s="26" t="str">
        <x:f>IF(M21&lt;&gt;"Instituída","",'07_Maturidade'!X23)</x:f>
      </x:c>
      <x:c r="K21" s="26" t="str">
        <x:f>IF(M21&lt;&gt;"Instituída","",MIN(J21,MAX(0,100-I21)))</x:f>
      </x:c>
      <x:c r="L21" s="26" t="str">
        <x:f>IF(M21&lt;&gt;"Instituída","",MIN(100,I21+K21))</x:f>
      </x:c>
      <x:c r="M21" s="26" t="str">
        <x:f>'01_Institucionalização'!H23</x:f>
        <x:v>Sem evidência</x:v>
      </x:c>
      <x:c r="N21" s="26" t="str">
        <x:f>IF(M21&lt;&gt;"Instituída","",IF(OR(D21=0,E21=0,F21=0,G21=0,H21=0),"Sim","Não"))</x:f>
      </x:c>
      <x:c r="O21" s="26" t="str">
        <x:f>IF(M21="Não instituída","Não instituída",IF(M21&lt;&gt;"Instituída","Sem evidência",IF(N21="Sim","Instituída — aderência insuficiente (dimensão essencial zerada)",IF(L21&lt;50,"Instituída — baixa aderência",IF(L21&lt;70,"Instituída — aderência parcial",IF(L21&lt;90,"Instituída — aderência satisfatória","Instituída — elevada aderência"))))))</x:f>
        <x:v>Sem evidência</x:v>
      </x:c>
      <x:c r="P21" s="26" t="str">
        <x:f>IF(M21&lt;&gt;"Instituída","",IF(K21=0,"Bônus não aplicado",IF(K21&lt;J21,"Bônus limitado ao necessário para atingir 100","Bônus integralmente aplicado")))</x:f>
      </x:c>
    </x:row>
    <x:row r="22">
      <x:c r="A22" s="26" t="str">
        <x:v>PE</x:v>
      </x:c>
      <x:c r="B22" s="26" t="str">
        <x:v>Pernambuco</x:v>
      </x:c>
      <x:c r="C22" s="26" t="n">
        <x:f>'01_Institucionalização'!G24</x:f>
        <x:v>0</x:v>
      </x:c>
      <x:c r="D22" s="26" t="n">
        <x:f>'02_Autonomia'!W24</x:f>
        <x:v>0</x:v>
      </x:c>
      <x:c r="E22" s="26" t="n">
        <x:f>'03_Imparcialidade'!S24</x:f>
        <x:v>0</x:v>
      </x:c>
      <x:c r="F22" s="26" t="n">
        <x:f>'04_Acessibilidade'!AE24</x:f>
        <x:v>0</x:v>
      </x:c>
      <x:c r="G22" s="26" t="n">
        <x:f>'05_Transparência'!O24</x:f>
        <x:v>0</x:v>
      </x:c>
      <x:c r="H22" s="26" t="n">
        <x:f>'06_Integração Tec'!AI24</x:f>
        <x:v>0</x:v>
      </x:c>
      <x:c r="I22" s="26" t="str">
        <x:f>IF(M22&lt;&gt;"Instituída","",SUM(C22:H22))</x:f>
      </x:c>
      <x:c r="J22" s="26" t="str">
        <x:f>IF(M22&lt;&gt;"Instituída","",'07_Maturidade'!X24)</x:f>
      </x:c>
      <x:c r="K22" s="26" t="str">
        <x:f>IF(M22&lt;&gt;"Instituída","",MIN(J22,MAX(0,100-I22)))</x:f>
      </x:c>
      <x:c r="L22" s="26" t="str">
        <x:f>IF(M22&lt;&gt;"Instituída","",MIN(100,I22+K22))</x:f>
      </x:c>
      <x:c r="M22" s="26" t="str">
        <x:f>'01_Institucionalização'!H24</x:f>
        <x:v>Sem evidência</x:v>
      </x:c>
      <x:c r="N22" s="26" t="str">
        <x:f>IF(M22&lt;&gt;"Instituída","",IF(OR(D22=0,E22=0,F22=0,G22=0,H22=0),"Sim","Não"))</x:f>
      </x:c>
      <x:c r="O22" s="26" t="str">
        <x:f>IF(M22="Não instituída","Não instituída",IF(M22&lt;&gt;"Instituída","Sem evidência",IF(N22="Sim","Instituída — aderência insuficiente (dimensão essencial zerada)",IF(L22&lt;50,"Instituída — baixa aderência",IF(L22&lt;70,"Instituída — aderência parcial",IF(L22&lt;90,"Instituída — aderência satisfatória","Instituída — elevada aderência"))))))</x:f>
        <x:v>Sem evidência</x:v>
      </x:c>
      <x:c r="P22" s="26" t="str">
        <x:f>IF(M22&lt;&gt;"Instituída","",IF(K22=0,"Bônus não aplicado",IF(K22&lt;J22,"Bônus limitado ao necessário para atingir 100","Bônus integralmente aplicado")))</x:f>
      </x:c>
    </x:row>
    <x:row r="23">
      <x:c r="A23" s="26" t="str">
        <x:v>PI</x:v>
      </x:c>
      <x:c r="B23" s="26" t="str">
        <x:v>Piauí</x:v>
      </x:c>
      <x:c r="C23" s="26" t="n">
        <x:f>'01_Institucionalização'!G25</x:f>
        <x:v>0</x:v>
      </x:c>
      <x:c r="D23" s="26" t="n">
        <x:f>'02_Autonomia'!W25</x:f>
        <x:v>0</x:v>
      </x:c>
      <x:c r="E23" s="26" t="n">
        <x:f>'03_Imparcialidade'!S25</x:f>
        <x:v>0</x:v>
      </x:c>
      <x:c r="F23" s="26" t="n">
        <x:f>'04_Acessibilidade'!AE25</x:f>
        <x:v>0</x:v>
      </x:c>
      <x:c r="G23" s="26" t="n">
        <x:f>'05_Transparência'!O25</x:f>
        <x:v>0</x:v>
      </x:c>
      <x:c r="H23" s="26" t="n">
        <x:f>'06_Integração Tec'!AI25</x:f>
        <x:v>0</x:v>
      </x:c>
      <x:c r="I23" s="26" t="str">
        <x:f>IF(M23&lt;&gt;"Instituída","",SUM(C23:H23))</x:f>
      </x:c>
      <x:c r="J23" s="26" t="str">
        <x:f>IF(M23&lt;&gt;"Instituída","",'07_Maturidade'!X25)</x:f>
      </x:c>
      <x:c r="K23" s="26" t="str">
        <x:f>IF(M23&lt;&gt;"Instituída","",MIN(J23,MAX(0,100-I23)))</x:f>
      </x:c>
      <x:c r="L23" s="26" t="str">
        <x:f>IF(M23&lt;&gt;"Instituída","",MIN(100,I23+K23))</x:f>
      </x:c>
      <x:c r="M23" s="26" t="str">
        <x:f>'01_Institucionalização'!H25</x:f>
        <x:v>Sem evidência</x:v>
      </x:c>
      <x:c r="N23" s="26" t="str">
        <x:f>IF(M23&lt;&gt;"Instituída","",IF(OR(D23=0,E23=0,F23=0,G23=0,H23=0),"Sim","Não"))</x:f>
      </x:c>
      <x:c r="O23" s="26" t="str">
        <x:f>IF(M23="Não instituída","Não instituída",IF(M23&lt;&gt;"Instituída","Sem evidência",IF(N23="Sim","Instituída — aderência insuficiente (dimensão essencial zerada)",IF(L23&lt;50,"Instituída — baixa aderência",IF(L23&lt;70,"Instituída — aderência parcial",IF(L23&lt;90,"Instituída — aderência satisfatória","Instituída — elevada aderência"))))))</x:f>
        <x:v>Sem evidência</x:v>
      </x:c>
      <x:c r="P23" s="26" t="str">
        <x:f>IF(M23&lt;&gt;"Instituída","",IF(K23=0,"Bônus não aplicado",IF(K23&lt;J23,"Bônus limitado ao necessário para atingir 100","Bônus integralmente aplicado")))</x:f>
      </x:c>
    </x:row>
    <x:row r="24">
      <x:c r="A24" s="26" t="str">
        <x:v>RJ</x:v>
      </x:c>
      <x:c r="B24" s="26" t="str">
        <x:v>Rio de Janeiro</x:v>
      </x:c>
      <x:c r="C24" s="26" t="n">
        <x:f>'01_Institucionalização'!G26</x:f>
        <x:v>0</x:v>
      </x:c>
      <x:c r="D24" s="26" t="n">
        <x:f>'02_Autonomia'!W26</x:f>
        <x:v>0</x:v>
      </x:c>
      <x:c r="E24" s="26" t="n">
        <x:f>'03_Imparcialidade'!S26</x:f>
        <x:v>0</x:v>
      </x:c>
      <x:c r="F24" s="26" t="n">
        <x:f>'04_Acessibilidade'!AE26</x:f>
        <x:v>0</x:v>
      </x:c>
      <x:c r="G24" s="26" t="n">
        <x:f>'05_Transparência'!O26</x:f>
        <x:v>0</x:v>
      </x:c>
      <x:c r="H24" s="26" t="n">
        <x:f>'06_Integração Tec'!AI26</x:f>
        <x:v>0</x:v>
      </x:c>
      <x:c r="I24" s="26" t="str">
        <x:f>IF(M24&lt;&gt;"Instituída","",SUM(C24:H24))</x:f>
      </x:c>
      <x:c r="J24" s="26" t="str">
        <x:f>IF(M24&lt;&gt;"Instituída","",'07_Maturidade'!X26)</x:f>
      </x:c>
      <x:c r="K24" s="26" t="str">
        <x:f>IF(M24&lt;&gt;"Instituída","",MIN(J24,MAX(0,100-I24)))</x:f>
      </x:c>
      <x:c r="L24" s="26" t="str">
        <x:f>IF(M24&lt;&gt;"Instituída","",MIN(100,I24+K24))</x:f>
      </x:c>
      <x:c r="M24" s="26" t="str">
        <x:f>'01_Institucionalização'!H26</x:f>
        <x:v>Sem evidência</x:v>
      </x:c>
      <x:c r="N24" s="26" t="str">
        <x:f>IF(M24&lt;&gt;"Instituída","",IF(OR(D24=0,E24=0,F24=0,G24=0,H24=0),"Sim","Não"))</x:f>
      </x:c>
      <x:c r="O24" s="26" t="str">
        <x:f>IF(M24="Não instituída","Não instituída",IF(M24&lt;&gt;"Instituída","Sem evidência",IF(N24="Sim","Instituída — aderência insuficiente (dimensão essencial zerada)",IF(L24&lt;50,"Instituída — baixa aderência",IF(L24&lt;70,"Instituída — aderência parcial",IF(L24&lt;90,"Instituída — aderência satisfatória","Instituída — elevada aderência"))))))</x:f>
        <x:v>Sem evidência</x:v>
      </x:c>
      <x:c r="P24" s="26" t="str">
        <x:f>IF(M24&lt;&gt;"Instituída","",IF(K24=0,"Bônus não aplicado",IF(K24&lt;J24,"Bônus limitado ao necessário para atingir 100","Bônus integralmente aplicado")))</x:f>
      </x:c>
    </x:row>
    <x:row r="25">
      <x:c r="A25" s="26" t="str">
        <x:v>RN</x:v>
      </x:c>
      <x:c r="B25" s="26" t="str">
        <x:v>Rio Grande do Norte</x:v>
      </x:c>
      <x:c r="C25" s="26" t="n">
        <x:f>'01_Institucionalização'!G27</x:f>
        <x:v>0</x:v>
      </x:c>
      <x:c r="D25" s="26" t="n">
        <x:f>'02_Autonomia'!W27</x:f>
        <x:v>0</x:v>
      </x:c>
      <x:c r="E25" s="26" t="n">
        <x:f>'03_Imparcialidade'!S27</x:f>
        <x:v>0</x:v>
      </x:c>
      <x:c r="F25" s="26" t="n">
        <x:f>'04_Acessibilidade'!AE27</x:f>
        <x:v>0</x:v>
      </x:c>
      <x:c r="G25" s="26" t="n">
        <x:f>'05_Transparência'!O27</x:f>
        <x:v>0</x:v>
      </x:c>
      <x:c r="H25" s="26" t="n">
        <x:f>'06_Integração Tec'!AI27</x:f>
        <x:v>0</x:v>
      </x:c>
      <x:c r="I25" s="26" t="str">
        <x:f>IF(M25&lt;&gt;"Instituída","",SUM(C25:H25))</x:f>
      </x:c>
      <x:c r="J25" s="26" t="str">
        <x:f>IF(M25&lt;&gt;"Instituída","",'07_Maturidade'!X27)</x:f>
      </x:c>
      <x:c r="K25" s="26" t="str">
        <x:f>IF(M25&lt;&gt;"Instituída","",MIN(J25,MAX(0,100-I25)))</x:f>
      </x:c>
      <x:c r="L25" s="26" t="str">
        <x:f>IF(M25&lt;&gt;"Instituída","",MIN(100,I25+K25))</x:f>
      </x:c>
      <x:c r="M25" s="26" t="str">
        <x:f>'01_Institucionalização'!H27</x:f>
        <x:v>Sem evidência</x:v>
      </x:c>
      <x:c r="N25" s="26" t="str">
        <x:f>IF(M25&lt;&gt;"Instituída","",IF(OR(D25=0,E25=0,F25=0,G25=0,H25=0),"Sim","Não"))</x:f>
      </x:c>
      <x:c r="O25" s="26" t="str">
        <x:f>IF(M25="Não instituída","Não instituída",IF(M25&lt;&gt;"Instituída","Sem evidência",IF(N25="Sim","Instituída — aderência insuficiente (dimensão essencial zerada)",IF(L25&lt;50,"Instituída — baixa aderência",IF(L25&lt;70,"Instituída — aderência parcial",IF(L25&lt;90,"Instituída — aderência satisfatória","Instituída — elevada aderência"))))))</x:f>
        <x:v>Sem evidência</x:v>
      </x:c>
      <x:c r="P25" s="26" t="str">
        <x:f>IF(M25&lt;&gt;"Instituída","",IF(K25=0,"Bônus não aplicado",IF(K25&lt;J25,"Bônus limitado ao necessário para atingir 100","Bônus integralmente aplicado")))</x:f>
      </x:c>
    </x:row>
    <x:row r="26">
      <x:c r="A26" s="26" t="str">
        <x:v>RS</x:v>
      </x:c>
      <x:c r="B26" s="26" t="str">
        <x:v>Rio Grande do Sul</x:v>
      </x:c>
      <x:c r="C26" s="26" t="n">
        <x:f>'01_Institucionalização'!G28</x:f>
        <x:v>0</x:v>
      </x:c>
      <x:c r="D26" s="26" t="n">
        <x:f>'02_Autonomia'!W28</x:f>
        <x:v>0</x:v>
      </x:c>
      <x:c r="E26" s="26" t="n">
        <x:f>'03_Imparcialidade'!S28</x:f>
        <x:v>0</x:v>
      </x:c>
      <x:c r="F26" s="26" t="n">
        <x:f>'04_Acessibilidade'!AE28</x:f>
        <x:v>0</x:v>
      </x:c>
      <x:c r="G26" s="26" t="n">
        <x:f>'05_Transparência'!O28</x:f>
        <x:v>0</x:v>
      </x:c>
      <x:c r="H26" s="26" t="n">
        <x:f>'06_Integração Tec'!AI28</x:f>
        <x:v>0</x:v>
      </x:c>
      <x:c r="I26" s="26" t="str">
        <x:f>IF(M26&lt;&gt;"Instituída","",SUM(C26:H26))</x:f>
      </x:c>
      <x:c r="J26" s="26" t="str">
        <x:f>IF(M26&lt;&gt;"Instituída","",'07_Maturidade'!X28)</x:f>
      </x:c>
      <x:c r="K26" s="26" t="str">
        <x:f>IF(M26&lt;&gt;"Instituída","",MIN(J26,MAX(0,100-I26)))</x:f>
      </x:c>
      <x:c r="L26" s="26" t="str">
        <x:f>IF(M26&lt;&gt;"Instituída","",MIN(100,I26+K26))</x:f>
      </x:c>
      <x:c r="M26" s="26" t="str">
        <x:f>'01_Institucionalização'!H28</x:f>
        <x:v>Sem evidência</x:v>
      </x:c>
      <x:c r="N26" s="26" t="str">
        <x:f>IF(M26&lt;&gt;"Instituída","",IF(OR(D26=0,E26=0,F26=0,G26=0,H26=0),"Sim","Não"))</x:f>
      </x:c>
      <x:c r="O26" s="26" t="str">
        <x:f>IF(M26="Não instituída","Não instituída",IF(M26&lt;&gt;"Instituída","Sem evidência",IF(N26="Sim","Instituída — aderência insuficiente (dimensão essencial zerada)",IF(L26&lt;50,"Instituída — baixa aderência",IF(L26&lt;70,"Instituída — aderência parcial",IF(L26&lt;90,"Instituída — aderência satisfatória","Instituída — elevada aderência"))))))</x:f>
        <x:v>Sem evidência</x:v>
      </x:c>
      <x:c r="P26" s="26" t="str">
        <x:f>IF(M26&lt;&gt;"Instituída","",IF(K26=0,"Bônus não aplicado",IF(K26&lt;J26,"Bônus limitado ao necessário para atingir 100","Bônus integralmente aplicado")))</x:f>
      </x:c>
    </x:row>
    <x:row r="27">
      <x:c r="A27" s="26" t="str">
        <x:v>RO</x:v>
      </x:c>
      <x:c r="B27" s="26" t="str">
        <x:v>Rondônia</x:v>
      </x:c>
      <x:c r="C27" s="26" t="n">
        <x:f>'01_Institucionalização'!G29</x:f>
        <x:v>0</x:v>
      </x:c>
      <x:c r="D27" s="26" t="n">
        <x:f>'02_Autonomia'!W29</x:f>
        <x:v>0</x:v>
      </x:c>
      <x:c r="E27" s="26" t="n">
        <x:f>'03_Imparcialidade'!S29</x:f>
        <x:v>0</x:v>
      </x:c>
      <x:c r="F27" s="26" t="n">
        <x:f>'04_Acessibilidade'!AE29</x:f>
        <x:v>0</x:v>
      </x:c>
      <x:c r="G27" s="26" t="n">
        <x:f>'05_Transparência'!O29</x:f>
        <x:v>0</x:v>
      </x:c>
      <x:c r="H27" s="26" t="n">
        <x:f>'06_Integração Tec'!AI29</x:f>
        <x:v>0</x:v>
      </x:c>
      <x:c r="I27" s="26" t="str">
        <x:f>IF(M27&lt;&gt;"Instituída","",SUM(C27:H27))</x:f>
      </x:c>
      <x:c r="J27" s="26" t="str">
        <x:f>IF(M27&lt;&gt;"Instituída","",'07_Maturidade'!X29)</x:f>
      </x:c>
      <x:c r="K27" s="26" t="str">
        <x:f>IF(M27&lt;&gt;"Instituída","",MIN(J27,MAX(0,100-I27)))</x:f>
      </x:c>
      <x:c r="L27" s="26" t="str">
        <x:f>IF(M27&lt;&gt;"Instituída","",MIN(100,I27+K27))</x:f>
      </x:c>
      <x:c r="M27" s="26" t="str">
        <x:f>'01_Institucionalização'!H29</x:f>
        <x:v>Sem evidência</x:v>
      </x:c>
      <x:c r="N27" s="26" t="str">
        <x:f>IF(M27&lt;&gt;"Instituída","",IF(OR(D27=0,E27=0,F27=0,G27=0,H27=0),"Sim","Não"))</x:f>
      </x:c>
      <x:c r="O27" s="26" t="str">
        <x:f>IF(M27="Não instituída","Não instituída",IF(M27&lt;&gt;"Instituída","Sem evidência",IF(N27="Sim","Instituída — aderência insuficiente (dimensão essencial zerada)",IF(L27&lt;50,"Instituída — baixa aderência",IF(L27&lt;70,"Instituída — aderência parcial",IF(L27&lt;90,"Instituída — aderência satisfatória","Instituída — elevada aderência"))))))</x:f>
        <x:v>Sem evidência</x:v>
      </x:c>
      <x:c r="P27" s="26" t="str">
        <x:f>IF(M27&lt;&gt;"Instituída","",IF(K27=0,"Bônus não aplicado",IF(K27&lt;J27,"Bônus limitado ao necessário para atingir 100","Bônus integralmente aplicado")))</x:f>
      </x:c>
    </x:row>
    <x:row r="28">
      <x:c r="A28" s="26" t="str">
        <x:v>RR</x:v>
      </x:c>
      <x:c r="B28" s="26" t="str">
        <x:v>Roraima</x:v>
      </x:c>
      <x:c r="C28" s="26" t="n">
        <x:f>'01_Institucionalização'!G30</x:f>
        <x:v>0</x:v>
      </x:c>
      <x:c r="D28" s="26" t="n">
        <x:f>'02_Autonomia'!W30</x:f>
        <x:v>0</x:v>
      </x:c>
      <x:c r="E28" s="26" t="n">
        <x:f>'03_Imparcialidade'!S30</x:f>
        <x:v>0</x:v>
      </x:c>
      <x:c r="F28" s="26" t="n">
        <x:f>'04_Acessibilidade'!AE30</x:f>
        <x:v>0</x:v>
      </x:c>
      <x:c r="G28" s="26" t="n">
        <x:f>'05_Transparência'!O30</x:f>
        <x:v>0</x:v>
      </x:c>
      <x:c r="H28" s="26" t="n">
        <x:f>'06_Integração Tec'!AI30</x:f>
        <x:v>0</x:v>
      </x:c>
      <x:c r="I28" s="26" t="str">
        <x:f>IF(M28&lt;&gt;"Instituída","",SUM(C28:H28))</x:f>
      </x:c>
      <x:c r="J28" s="26" t="str">
        <x:f>IF(M28&lt;&gt;"Instituída","",'07_Maturidade'!X30)</x:f>
      </x:c>
      <x:c r="K28" s="26" t="str">
        <x:f>IF(M28&lt;&gt;"Instituída","",MIN(J28,MAX(0,100-I28)))</x:f>
      </x:c>
      <x:c r="L28" s="26" t="str">
        <x:f>IF(M28&lt;&gt;"Instituída","",MIN(100,I28+K28))</x:f>
      </x:c>
      <x:c r="M28" s="26" t="str">
        <x:f>'01_Institucionalização'!H30</x:f>
        <x:v>Sem evidência</x:v>
      </x:c>
      <x:c r="N28" s="26" t="str">
        <x:f>IF(M28&lt;&gt;"Instituída","",IF(OR(D28=0,E28=0,F28=0,G28=0,H28=0),"Sim","Não"))</x:f>
      </x:c>
      <x:c r="O28" s="26" t="str">
        <x:f>IF(M28="Não instituída","Não instituída",IF(M28&lt;&gt;"Instituída","Sem evidência",IF(N28="Sim","Instituída — aderência insuficiente (dimensão essencial zerada)",IF(L28&lt;50,"Instituída — baixa aderência",IF(L28&lt;70,"Instituída — aderência parcial",IF(L28&lt;90,"Instituída — aderência satisfatória","Instituída — elevada aderência"))))))</x:f>
        <x:v>Sem evidência</x:v>
      </x:c>
      <x:c r="P28" s="26" t="str">
        <x:f>IF(M28&lt;&gt;"Instituída","",IF(K28=0,"Bônus não aplicado",IF(K28&lt;J28,"Bônus limitado ao necessário para atingir 100","Bônus integralmente aplicado")))</x:f>
      </x:c>
    </x:row>
    <x:row r="29">
      <x:c r="A29" s="26" t="str">
        <x:v>SC</x:v>
      </x:c>
      <x:c r="B29" s="26" t="str">
        <x:v>Santa Catarina</x:v>
      </x:c>
      <x:c r="C29" s="26" t="n">
        <x:f>'01_Institucionalização'!G31</x:f>
        <x:v>0</x:v>
      </x:c>
      <x:c r="D29" s="26" t="n">
        <x:f>'02_Autonomia'!W31</x:f>
        <x:v>0</x:v>
      </x:c>
      <x:c r="E29" s="26" t="n">
        <x:f>'03_Imparcialidade'!S31</x:f>
        <x:v>0</x:v>
      </x:c>
      <x:c r="F29" s="26" t="n">
        <x:f>'04_Acessibilidade'!AE31</x:f>
        <x:v>0</x:v>
      </x:c>
      <x:c r="G29" s="26" t="n">
        <x:f>'05_Transparência'!O31</x:f>
        <x:v>0</x:v>
      </x:c>
      <x:c r="H29" s="26" t="n">
        <x:f>'06_Integração Tec'!AI31</x:f>
        <x:v>0</x:v>
      </x:c>
      <x:c r="I29" s="26" t="str">
        <x:f>IF(M29&lt;&gt;"Instituída","",SUM(C29:H29))</x:f>
      </x:c>
      <x:c r="J29" s="26" t="str">
        <x:f>IF(M29&lt;&gt;"Instituída","",'07_Maturidade'!X31)</x:f>
      </x:c>
      <x:c r="K29" s="26" t="str">
        <x:f>IF(M29&lt;&gt;"Instituída","",MIN(J29,MAX(0,100-I29)))</x:f>
      </x:c>
      <x:c r="L29" s="26" t="str">
        <x:f>IF(M29&lt;&gt;"Instituída","",MIN(100,I29+K29))</x:f>
      </x:c>
      <x:c r="M29" s="26" t="str">
        <x:f>'01_Institucionalização'!H31</x:f>
        <x:v>Sem evidência</x:v>
      </x:c>
      <x:c r="N29" s="26" t="str">
        <x:f>IF(M29&lt;&gt;"Instituída","",IF(OR(D29=0,E29=0,F29=0,G29=0,H29=0),"Sim","Não"))</x:f>
      </x:c>
      <x:c r="O29" s="26" t="str">
        <x:f>IF(M29="Não instituída","Não instituída",IF(M29&lt;&gt;"Instituída","Sem evidência",IF(N29="Sim","Instituída — aderência insuficiente (dimensão essencial zerada)",IF(L29&lt;50,"Instituída — baixa aderência",IF(L29&lt;70,"Instituída — aderência parcial",IF(L29&lt;90,"Instituída — aderência satisfatória","Instituída — elevada aderência"))))))</x:f>
        <x:v>Sem evidência</x:v>
      </x:c>
      <x:c r="P29" s="26" t="str">
        <x:f>IF(M29&lt;&gt;"Instituída","",IF(K29=0,"Bônus não aplicado",IF(K29&lt;J29,"Bônus limitado ao necessário para atingir 100","Bônus integralmente aplicado")))</x:f>
      </x:c>
    </x:row>
    <x:row r="30">
      <x:c r="A30" s="26" t="str">
        <x:v>SP</x:v>
      </x:c>
      <x:c r="B30" s="26" t="str">
        <x:v>São Paulo</x:v>
      </x:c>
      <x:c r="C30" s="26" t="n">
        <x:f>'01_Institucionalização'!G32</x:f>
        <x:v>0</x:v>
      </x:c>
      <x:c r="D30" s="26" t="n">
        <x:f>'02_Autonomia'!W32</x:f>
        <x:v>0</x:v>
      </x:c>
      <x:c r="E30" s="26" t="n">
        <x:f>'03_Imparcialidade'!S32</x:f>
        <x:v>0</x:v>
      </x:c>
      <x:c r="F30" s="26" t="n">
        <x:f>'04_Acessibilidade'!AE32</x:f>
        <x:v>0</x:v>
      </x:c>
      <x:c r="G30" s="26" t="n">
        <x:f>'05_Transparência'!O32</x:f>
        <x:v>0</x:v>
      </x:c>
      <x:c r="H30" s="26" t="n">
        <x:f>'06_Integração Tec'!AI32</x:f>
        <x:v>0</x:v>
      </x:c>
      <x:c r="I30" s="26" t="str">
        <x:f>IF(M30&lt;&gt;"Instituída","",SUM(C30:H30))</x:f>
      </x:c>
      <x:c r="J30" s="26" t="str">
        <x:f>IF(M30&lt;&gt;"Instituída","",'07_Maturidade'!X32)</x:f>
      </x:c>
      <x:c r="K30" s="26" t="str">
        <x:f>IF(M30&lt;&gt;"Instituída","",MIN(J30,MAX(0,100-I30)))</x:f>
      </x:c>
      <x:c r="L30" s="26" t="str">
        <x:f>IF(M30&lt;&gt;"Instituída","",MIN(100,I30+K30))</x:f>
      </x:c>
      <x:c r="M30" s="26" t="str">
        <x:f>'01_Institucionalização'!H32</x:f>
        <x:v>Sem evidência</x:v>
      </x:c>
      <x:c r="N30" s="26" t="str">
        <x:f>IF(M30&lt;&gt;"Instituída","",IF(OR(D30=0,E30=0,F30=0,G30=0,H30=0),"Sim","Não"))</x:f>
      </x:c>
      <x:c r="O30" s="26" t="str">
        <x:f>IF(M30="Não instituída","Não instituída",IF(M30&lt;&gt;"Instituída","Sem evidência",IF(N30="Sim","Instituída — aderência insuficiente (dimensão essencial zerada)",IF(L30&lt;50,"Instituída — baixa aderência",IF(L30&lt;70,"Instituída — aderência parcial",IF(L30&lt;90,"Instituída — aderência satisfatória","Instituída — elevada aderência"))))))</x:f>
        <x:v>Sem evidência</x:v>
      </x:c>
      <x:c r="P30" s="26" t="str">
        <x:f>IF(M30&lt;&gt;"Instituída","",IF(K30=0,"Bônus não aplicado",IF(K30&lt;J30,"Bônus limitado ao necessário para atingir 100","Bônus integralmente aplicado")))</x:f>
      </x:c>
    </x:row>
    <x:row r="31">
      <x:c r="A31" s="26" t="str">
        <x:v>SE</x:v>
      </x:c>
      <x:c r="B31" s="26" t="str">
        <x:v>Sergipe</x:v>
      </x:c>
      <x:c r="C31" s="26" t="n">
        <x:f>'01_Institucionalização'!G33</x:f>
        <x:v>0</x:v>
      </x:c>
      <x:c r="D31" s="26" t="n">
        <x:f>'02_Autonomia'!W33</x:f>
        <x:v>0</x:v>
      </x:c>
      <x:c r="E31" s="26" t="n">
        <x:f>'03_Imparcialidade'!S33</x:f>
        <x:v>0</x:v>
      </x:c>
      <x:c r="F31" s="26" t="n">
        <x:f>'04_Acessibilidade'!AE33</x:f>
        <x:v>0</x:v>
      </x:c>
      <x:c r="G31" s="26" t="n">
        <x:f>'05_Transparência'!O33</x:f>
        <x:v>0</x:v>
      </x:c>
      <x:c r="H31" s="26" t="n">
        <x:f>'06_Integração Tec'!AI33</x:f>
        <x:v>0</x:v>
      </x:c>
      <x:c r="I31" s="26" t="str">
        <x:f>IF(M31&lt;&gt;"Instituída","",SUM(C31:H31))</x:f>
      </x:c>
      <x:c r="J31" s="26" t="str">
        <x:f>IF(M31&lt;&gt;"Instituída","",'07_Maturidade'!X33)</x:f>
      </x:c>
      <x:c r="K31" s="26" t="str">
        <x:f>IF(M31&lt;&gt;"Instituída","",MIN(J31,MAX(0,100-I31)))</x:f>
      </x:c>
      <x:c r="L31" s="26" t="str">
        <x:f>IF(M31&lt;&gt;"Instituída","",MIN(100,I31+K31))</x:f>
      </x:c>
      <x:c r="M31" s="26" t="str">
        <x:f>'01_Institucionalização'!H33</x:f>
        <x:v>Sem evidência</x:v>
      </x:c>
      <x:c r="N31" s="26" t="str">
        <x:f>IF(M31&lt;&gt;"Instituída","",IF(OR(D31=0,E31=0,F31=0,G31=0,H31=0),"Sim","Não"))</x:f>
      </x:c>
      <x:c r="O31" s="26" t="str">
        <x:f>IF(M31="Não instituída","Não instituída",IF(M31&lt;&gt;"Instituída","Sem evidência",IF(N31="Sim","Instituída — aderência insuficiente (dimensão essencial zerada)",IF(L31&lt;50,"Instituída — baixa aderência",IF(L31&lt;70,"Instituída — aderência parcial",IF(L31&lt;90,"Instituída — aderência satisfatória","Instituída — elevada aderência"))))))</x:f>
        <x:v>Sem evidência</x:v>
      </x:c>
      <x:c r="P31" s="26" t="str">
        <x:f>IF(M31&lt;&gt;"Instituída","",IF(K31=0,"Bônus não aplicado",IF(K31&lt;J31,"Bônus limitado ao necessário para atingir 100","Bônus integralmente aplicado")))</x:f>
      </x:c>
    </x:row>
    <x:row r="32">
      <x:c r="A32" s="26" t="str">
        <x:v>TO</x:v>
      </x:c>
      <x:c r="B32" s="26" t="str">
        <x:v>Tocantins</x:v>
      </x:c>
      <x:c r="C32" s="26" t="n">
        <x:f>'01_Institucionalização'!G34</x:f>
        <x:v>0</x:v>
      </x:c>
      <x:c r="D32" s="26" t="n">
        <x:f>'02_Autonomia'!W34</x:f>
        <x:v>0</x:v>
      </x:c>
      <x:c r="E32" s="26" t="n">
        <x:f>'03_Imparcialidade'!S34</x:f>
        <x:v>0</x:v>
      </x:c>
      <x:c r="F32" s="26" t="n">
        <x:f>'04_Acessibilidade'!AE34</x:f>
        <x:v>0</x:v>
      </x:c>
      <x:c r="G32" s="26" t="n">
        <x:f>'05_Transparência'!O34</x:f>
        <x:v>0</x:v>
      </x:c>
      <x:c r="H32" s="26" t="n">
        <x:f>'06_Integração Tec'!AI34</x:f>
        <x:v>0</x:v>
      </x:c>
      <x:c r="I32" s="26" t="str">
        <x:f>IF(M32&lt;&gt;"Instituída","",SUM(C32:H32))</x:f>
      </x:c>
      <x:c r="J32" s="26" t="str">
        <x:f>IF(M32&lt;&gt;"Instituída","",'07_Maturidade'!X34)</x:f>
      </x:c>
      <x:c r="K32" s="26" t="str">
        <x:f>IF(M32&lt;&gt;"Instituída","",MIN(J32,MAX(0,100-I32)))</x:f>
      </x:c>
      <x:c r="L32" s="26" t="str">
        <x:f>IF(M32&lt;&gt;"Instituída","",MIN(100,I32+K32))</x:f>
      </x:c>
      <x:c r="M32" s="26" t="str">
        <x:f>'01_Institucionalização'!H34</x:f>
        <x:v>Sem evidência</x:v>
      </x:c>
      <x:c r="N32" s="26" t="str">
        <x:f>IF(M32&lt;&gt;"Instituída","",IF(OR(D32=0,E32=0,F32=0,G32=0,H32=0),"Sim","Não"))</x:f>
      </x:c>
      <x:c r="O32" s="26" t="str">
        <x:f>IF(M32="Não instituída","Não instituída",IF(M32&lt;&gt;"Instituída","Sem evidência",IF(N32="Sim","Instituída — aderência insuficiente (dimensão essencial zerada)",IF(L32&lt;50,"Instituída — baixa aderência",IF(L32&lt;70,"Instituída — aderência parcial",IF(L32&lt;90,"Instituída — aderência satisfatória","Instituída — elevada aderência"))))))</x:f>
        <x:v>Sem evidência</x:v>
      </x:c>
      <x:c r="P32" s="26" t="str">
        <x:f>IF(M32&lt;&gt;"Instituída","",IF(K32=0,"Bônus não aplicado",IF(K32&lt;J32,"Bônus limitado ao necessário para atingir 100","Bônus integralmente aplicado")))</x:f>
      </x:c>
    </x:row>
  </x:sheetData>
  <x:mergeCells>
    <x:mergeCell ref="A1:P1"/>
    <x:mergeCell ref="A2:P2"/>
  </x:mergeCells>
  <x:conditionalFormatting sqref="L5:L32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{7045C5C1-8864-A908-267A-398599FBFFB9}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7045C5C1-8864-A908-267A-398599FBFFB9}">
            <x14:dataBar gradient="1">
              <x14:cfvo type="min"/>
              <x14:cfvo type="max"/>
              <x14:fillColor rgb="FFA02B93"/>
            </x14:dataBar>
          </x14:cfRule>
          <xm:sqref>L5:L32</xm:sqref>
        </x14:conditionalFormatting>
      </x14:conditionalFormattings>
    </x:ext>
  </x:extLst>
</x:worksheet>
</file>