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ctiveTab="2" autoFilterDateGrouping="1"/>
  </bookViews>
  <sheets>
    <sheet name="00_Metodologia" sheetId="1" state="visible" r:id="rId1"/>
    <sheet name="01_Institucionalização" sheetId="2" state="visible" r:id="rId2"/>
    <sheet name="02_Autonomia" sheetId="3" state="visible" r:id="rId3"/>
    <sheet name="03_Imparcialidade" sheetId="4" state="visible" r:id="rId4"/>
    <sheet name="04_Acessibilidade" sheetId="5" state="visible" r:id="rId5"/>
    <sheet name="05_Transparência" sheetId="6" state="visible" r:id="rId6"/>
    <sheet name="06_Integração Tec" sheetId="7" state="visible" r:id="rId7"/>
    <sheet name="07_Maturidade" sheetId="8" state="visible" r:id="rId8"/>
    <sheet name="08_Resumo" sheetId="9" state="visible" r:id="rId9"/>
    <sheet name="DB_EVIDENCIAS" sheetId="10" state="hidden" r:id="rId10"/>
    <sheet name="DB_ANEXOS" sheetId="11" state="hidden" r:id="rId11"/>
    <sheet name="DB_AUDITORIA" sheetId="12" state="hidden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5"/>
    </font>
    <font>
      <name val="Carlito"/>
      <color rgb="FF7F6000"/>
      <sz val="9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color rgb="FF1F1F1F"/>
      <sz val="9"/>
    </font>
    <font>
      <name val="Carlito"/>
      <color rgb="FF404040"/>
      <sz val="9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2F8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6" fillId="8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/>
  </cellStyles>
  <dxfs count="87"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:K1"/>
    </sheetView>
  </sheetViews>
  <sheetFormatPr baseColWidth="8" defaultRowHeight="14.4"/>
  <cols>
    <col width="29" customWidth="1" min="1" max="1"/>
    <col width="12" customWidth="1" min="2" max="2"/>
    <col width="46" customWidth="1" min="3" max="3"/>
    <col width="16" customWidth="1" min="4" max="4"/>
    <col width="38" customWidth="1" min="5" max="5"/>
    <col width="34" customWidth="1" min="6" max="6"/>
    <col width="30" customWidth="1" min="7" max="7"/>
    <col width="43" customWidth="1" min="8" max="8"/>
    <col width="38" customWidth="1" min="9" max="9"/>
    <col width="10" customWidth="1" min="10" max="10"/>
    <col width="24" customWidth="1" min="11" max="11"/>
  </cols>
  <sheetData>
    <row r="1" ht="22.35" customHeight="1">
      <c r="A1" s="8" t="inlineStr">
        <is>
          <t>Matriz de Aderência à IN GABSEC/SENAPPEN/MJSP nº 75/2026</t>
        </is>
      </c>
    </row>
    <row r="2" ht="38.4" customHeight="1">
      <c r="A2" s="9" t="inlineStr">
        <is>
          <t>Modelo de monitoramento ONASP. Regra metodológica: cada pergunta do diagnóstico integra uma única dimensão ou, quando aplicável, exclusivamente o bloco de bônus.</t>
        </is>
      </c>
    </row>
    <row r="4" ht="28.8" customHeight="1">
      <c r="A4" s="2" t="inlineStr">
        <is>
          <t>Dimensão</t>
        </is>
      </c>
      <c r="B4" s="2" t="inlineStr">
        <is>
          <t>Peso-base</t>
        </is>
      </c>
      <c r="C4" s="2" t="inlineStr">
        <is>
          <t>Perguntas do diagnóstico</t>
        </is>
      </c>
      <c r="D4" s="2" t="inlineStr">
        <is>
          <t>Quantidade de perguntas</t>
        </is>
      </c>
      <c r="E4" s="2" t="inlineStr">
        <is>
          <t>Função</t>
        </is>
      </c>
      <c r="F4" s="2" t="inlineStr">
        <is>
          <t>Regra geral</t>
        </is>
      </c>
      <c r="G4" s="2" t="inlineStr">
        <is>
          <t>Fundamento predominante</t>
        </is>
      </c>
      <c r="H4" s="2" t="inlineStr">
        <is>
          <t>Regra de unicidade</t>
        </is>
      </c>
      <c r="I4" s="2" t="inlineStr">
        <is>
          <t>Observação</t>
        </is>
      </c>
      <c r="J4" s="2" t="inlineStr">
        <is>
          <t>Bônus?</t>
        </is>
      </c>
      <c r="K4" s="2" t="inlineStr">
        <is>
          <t>Aba</t>
        </is>
      </c>
    </row>
    <row r="5" ht="28.8" customHeight="1">
      <c r="A5" s="3" t="inlineStr">
        <is>
          <t>01 — Institucionalização</t>
        </is>
      </c>
      <c r="B5" s="3" t="n">
        <v>15</v>
      </c>
      <c r="C5" s="3" t="inlineStr">
        <is>
          <t>M1-11</t>
        </is>
      </c>
      <c r="D5" s="3" t="n">
        <v>1</v>
      </c>
      <c r="E5" s="3" t="inlineStr">
        <is>
          <t>Instituição formal e porta de entrada</t>
        </is>
      </c>
      <c r="F5" s="3" t="inlineStr">
        <is>
          <t>Sim = 15; Não/Sem evidência = 0</t>
        </is>
      </c>
      <c r="G5" s="3" t="inlineStr">
        <is>
          <t>Art. 6º, caput</t>
        </is>
      </c>
      <c r="H5" s="3" t="inlineStr">
        <is>
          <t>M1-11 só aparece nesta dimensão.</t>
        </is>
      </c>
      <c r="I5" s="3" t="inlineStr">
        <is>
          <t>Também funciona como requisito de entrada.</t>
        </is>
      </c>
      <c r="J5" s="3" t="inlineStr">
        <is>
          <t>Não</t>
        </is>
      </c>
      <c r="K5" s="3" t="inlineStr">
        <is>
          <t>01_Institucionalização</t>
        </is>
      </c>
    </row>
    <row r="6" ht="28.8" customHeight="1">
      <c r="A6" s="3" t="inlineStr">
        <is>
          <t>02 — Autonomia técnica e funcional</t>
        </is>
      </c>
      <c r="B6" s="3" t="n">
        <v>15</v>
      </c>
      <c r="C6" s="3" t="inlineStr">
        <is>
          <t>M3-56; M3-57; M1-12; M4-67; M4-68</t>
        </is>
      </c>
      <c r="D6" s="3" t="n">
        <v>5</v>
      </c>
      <c r="E6" s="3" t="inlineStr">
        <is>
          <t>Autonomia institucional e condições de atuação</t>
        </is>
      </c>
      <c r="F6" s="3" t="inlineStr">
        <is>
          <t>Atende = integral; Parcial = 50%; demais = 0</t>
        </is>
      </c>
      <c r="G6" s="3" t="inlineStr">
        <is>
          <t>Arts. 4º, I; 6º; 8º; 10; 13</t>
        </is>
      </c>
      <c r="H6" s="3" t="inlineStr">
        <is>
          <t>Nenhuma pergunta é reutilizada em outra dimensão.</t>
        </is>
      </c>
      <c r="I6" s="3" t="inlineStr">
        <is>
          <t>5 perguntas × 3 pontos.</t>
        </is>
      </c>
      <c r="J6" s="3" t="inlineStr">
        <is>
          <t>Não</t>
        </is>
      </c>
      <c r="K6" s="3" t="inlineStr">
        <is>
          <t>02_Autonomia</t>
        </is>
      </c>
    </row>
    <row r="7" ht="28.8" customHeight="1">
      <c r="A7" s="3" t="inlineStr">
        <is>
          <t>03 — Imparcialidade, sigilo e proteção</t>
        </is>
      </c>
      <c r="B7" s="3" t="n">
        <v>15</v>
      </c>
      <c r="C7" s="3" t="inlineStr">
        <is>
          <t>M4-69; M3-63</t>
        </is>
      </c>
      <c r="D7" s="3" t="n">
        <v>2</v>
      </c>
      <c r="E7" s="3" t="inlineStr">
        <is>
          <t>Proteção de denúncias sensíveis e compromisso de sigilo</t>
        </is>
      </c>
      <c r="F7" s="3" t="inlineStr">
        <is>
          <t>Atende = integral; Parcial = 50%; demais = 0</t>
        </is>
      </c>
      <c r="G7" s="3" t="inlineStr">
        <is>
          <t>Arts. 4º, II; 9º; 10</t>
        </is>
      </c>
      <c r="H7" s="3" t="inlineStr">
        <is>
          <t>M4-66 e M2-37 foram retiradas desta dimensão e permanecem em Integração tecnológica.</t>
        </is>
      </c>
      <c r="I7" s="3" t="inlineStr">
        <is>
          <t>Pesos: 8 + 7.</t>
        </is>
      </c>
      <c r="J7" s="3" t="inlineStr">
        <is>
          <t>Não</t>
        </is>
      </c>
      <c r="K7" s="3" t="inlineStr">
        <is>
          <t>03_Imparcialidade</t>
        </is>
      </c>
    </row>
    <row r="8" ht="28.8" customHeight="1">
      <c r="A8" s="3" t="inlineStr">
        <is>
          <t>04 — Acessibilidade e atendimento humanizado</t>
        </is>
      </c>
      <c r="B8" s="3" t="n">
        <v>15</v>
      </c>
      <c r="C8" s="3" t="inlineStr">
        <is>
          <t>M2-41; M2-43; M2-47; M2-16; M1-13; M4-64</t>
        </is>
      </c>
      <c r="D8" s="3" t="n">
        <v>6</v>
      </c>
      <c r="E8" s="3" t="inlineStr">
        <is>
          <t>Canais, espaço físico e alcance dos públicos</t>
        </is>
      </c>
      <c r="F8" s="3" t="inlineStr">
        <is>
          <t>Atende = integral; Parcial = 50%; demais = 0</t>
        </is>
      </c>
      <c r="G8" s="3" t="inlineStr">
        <is>
          <t>Arts. 4º, III; 7º; 10</t>
        </is>
      </c>
      <c r="H8" s="3" t="inlineStr">
        <is>
          <t>M2-45 foi retirada desta dimensão e permanece em Integração tecnológica.</t>
        </is>
      </c>
      <c r="I8" s="3" t="inlineStr">
        <is>
          <t>Pesos: 2+2+2+3+3+3.</t>
        </is>
      </c>
      <c r="J8" s="3" t="inlineStr">
        <is>
          <t>Não</t>
        </is>
      </c>
      <c r="K8" s="3" t="inlineStr">
        <is>
          <t>04_Acessibilidade</t>
        </is>
      </c>
    </row>
    <row r="9" ht="28.8" customHeight="1">
      <c r="A9" s="3" t="inlineStr">
        <is>
          <t>05 — Transparência e publicidade</t>
        </is>
      </c>
      <c r="B9" s="3" t="n">
        <v>15</v>
      </c>
      <c r="C9" s="3" t="inlineStr">
        <is>
          <t>M2-35; M4-71</t>
        </is>
      </c>
      <c r="D9" s="3" t="n">
        <v>2</v>
      </c>
      <c r="E9" s="3" t="inlineStr">
        <is>
          <t>Visibilidade e publicidade das ações</t>
        </is>
      </c>
      <c r="F9" s="3" t="inlineStr">
        <is>
          <t>Atende = integral; Parcial = 50%; demais = 0</t>
        </is>
      </c>
      <c r="G9" s="3" t="inlineStr">
        <is>
          <t>Arts. 4º, IV; 7º; 10; 12</t>
        </is>
      </c>
      <c r="H9" s="3" t="inlineStr">
        <is>
          <t>M1-12 foi retirada desta dimensão e permanece em Autonomia.</t>
        </is>
      </c>
      <c r="I9" s="3" t="inlineStr">
        <is>
          <t>Pesos: 5 + 10.</t>
        </is>
      </c>
      <c r="J9" s="3" t="inlineStr">
        <is>
          <t>Não</t>
        </is>
      </c>
      <c r="K9" s="3" t="inlineStr">
        <is>
          <t>05_Transparência</t>
        </is>
      </c>
    </row>
    <row r="10" ht="28.8" customHeight="1">
      <c r="A10" s="3" t="inlineStr">
        <is>
          <t>06 — Integração tecnológica</t>
        </is>
      </c>
      <c r="B10" s="3" t="n">
        <v>25</v>
      </c>
      <c r="C10" s="3" t="inlineStr">
        <is>
          <t>M2-45; M4-66; M2-37; M2-17; M2-19; M2-21; M2-27</t>
        </is>
      </c>
      <c r="D10" s="3" t="n">
        <v>7</v>
      </c>
      <c r="E10" s="3" t="inlineStr">
        <is>
          <t>Canal/sistema, protocolo, segurança e equipamentos</t>
        </is>
      </c>
      <c r="F10" s="3" t="inlineStr">
        <is>
          <t>Atende = integral; Parcial = 50%; demais = 0</t>
        </is>
      </c>
      <c r="G10" s="3" t="inlineStr">
        <is>
          <t>Arts. 4º, V; 7º; 11; 13</t>
        </is>
      </c>
      <c r="H10" s="3" t="inlineStr">
        <is>
          <t>M4-67 foi retirada desta dimensão e permanece em Autonomia.</t>
        </is>
      </c>
      <c r="I10" s="3" t="inlineStr">
        <is>
          <t>Pesos: 5+5+5+4+2+2+2.</t>
        </is>
      </c>
      <c r="J10" s="3" t="inlineStr">
        <is>
          <t>Não</t>
        </is>
      </c>
      <c r="K10" s="3" t="inlineStr">
        <is>
          <t>06_Integração Tec</t>
        </is>
      </c>
    </row>
    <row r="11">
      <c r="A11" s="3" t="inlineStr">
        <is>
          <t>TOTAL BASE</t>
        </is>
      </c>
      <c r="B11" s="3" t="n">
        <v>100</v>
      </c>
      <c r="C11" s="3" t="inlineStr">
        <is>
          <t>—</t>
        </is>
      </c>
      <c r="D11" s="3" t="n">
        <v>23</v>
      </c>
      <c r="E11" s="3" t="inlineStr">
        <is>
          <t>Nota-base</t>
        </is>
      </c>
      <c r="F11" s="3" t="inlineStr">
        <is>
          <t>Soma das seis dimensões</t>
        </is>
      </c>
      <c r="G11" s="3" t="inlineStr">
        <is>
          <t>Metodologia ONASP</t>
        </is>
      </c>
      <c r="H11" s="3" t="inlineStr">
        <is>
          <t>Nenhuma pergunta-base é repetida.</t>
        </is>
      </c>
      <c r="I11" s="3" t="inlineStr">
        <is>
          <t>Nota-base máxima = 100.</t>
        </is>
      </c>
      <c r="J11" s="3" t="inlineStr">
        <is>
          <t>—</t>
        </is>
      </c>
      <c r="K11" s="3" t="inlineStr">
        <is>
          <t>08_Resumo</t>
        </is>
      </c>
    </row>
    <row r="12" ht="28.8" customHeight="1">
      <c r="A12" s="3" t="inlineStr">
        <is>
          <t>07 — Maturidade / bônus</t>
        </is>
      </c>
      <c r="B12" s="3" t="n">
        <v>10</v>
      </c>
      <c r="C12" s="3" t="inlineStr">
        <is>
          <t>M2-46; M0-08; M3-60; M3-58; M2-50; M2-49; M2-36</t>
        </is>
      </c>
      <c r="D12" s="3" t="n">
        <v>7</v>
      </c>
      <c r="E12" s="3" t="inlineStr">
        <is>
          <t>Características adicionais de maturidade</t>
        </is>
      </c>
      <c r="F12" s="3" t="inlineStr">
        <is>
          <t>Sim = bônus integral; demais = 0</t>
        </is>
      </c>
      <c r="G12" s="3" t="inlineStr">
        <is>
          <t>Arts. 4º; 6º; 7º; 8º; 9º</t>
        </is>
      </c>
      <c r="H12" s="3" t="inlineStr">
        <is>
          <t>Nenhuma pergunta do bônus aparece na pontuação-base.</t>
        </is>
      </c>
      <c r="I12" s="3" t="inlineStr">
        <is>
          <t>Aplicado somente até completar 100.</t>
        </is>
      </c>
      <c r="J12" s="3" t="inlineStr">
        <is>
          <t>Sim</t>
        </is>
      </c>
      <c r="K12" s="3" t="inlineStr">
        <is>
          <t>07_Maturidade</t>
        </is>
      </c>
    </row>
    <row r="14" ht="43.95" customHeight="1">
      <c r="A14" s="9" t="inlineStr">
        <is>
          <t>Tratamento da base: Espírito Santo permanece com duas unidades de avaliação (Polícia Penal e SEJUS/ES). RO e SC permanecem com as respostas mais recentes já consolidadas na planilha de origem. Todas as colunas de evidências/observações mantêm a referência Doc. SEI 37070578.</t>
        </is>
      </c>
    </row>
  </sheetData>
  <mergeCells count="3">
    <mergeCell ref="A2:K2"/>
    <mergeCell ref="A14:K14"/>
    <mergeCell ref="A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topLeftCell="A19" workbookViewId="0">
      <selection activeCell="C35" sqref="C35"/>
    </sheetView>
  </sheetViews>
  <sheetFormatPr baseColWidth="8" defaultRowHeight="14.4"/>
  <cols>
    <col width="8" customWidth="1" min="1" max="1"/>
    <col width="29" customWidth="1" min="2" max="2"/>
    <col width="42" customWidth="1" min="3" max="4"/>
    <col width="24" customWidth="1" min="5" max="5"/>
    <col width="10" customWidth="1" min="6" max="6"/>
    <col width="13" customWidth="1" min="7" max="7"/>
    <col width="18" customWidth="1" min="8" max="8"/>
    <col width="31" customWidth="1" min="9" max="9"/>
  </cols>
  <sheetData>
    <row r="1" ht="22.35" customHeight="1">
      <c r="A1" s="8" t="inlineStr">
        <is>
          <t>01 — Institucionalização</t>
        </is>
      </c>
    </row>
    <row r="2" ht="38.4" customHeight="1">
      <c r="A2" s="9" t="inlineStr">
        <is>
          <t>Peso: 15 pontos. A existência de ato normativo específico também funciona como requisito de entrada para a classificação de aderência.</t>
        </is>
      </c>
    </row>
    <row r="4">
      <c r="A4" s="10" t="inlineStr">
        <is>
          <t>Identificação</t>
        </is>
      </c>
      <c r="C4" s="10" t="inlineStr">
        <is>
          <t>Item 1 — Instituição formal da Ouvidoria de Serviços Penais</t>
        </is>
      </c>
      <c r="G4" s="10" t="inlineStr">
        <is>
          <t>Resultado</t>
        </is>
      </c>
    </row>
    <row r="5" ht="43.2" customHeight="1">
      <c r="A5" s="2" t="inlineStr">
        <is>
          <t>UF</t>
        </is>
      </c>
      <c r="B5" s="2" t="inlineStr">
        <is>
          <t>Unidade Federativa</t>
        </is>
      </c>
      <c r="C5" s="2" t="inlineStr">
        <is>
          <t>M1-11 — Existe ato normativo específico que cria a Ouvidoria de Serviços Penais ou núcleo especializado?</t>
        </is>
      </c>
      <c r="D5" s="2" t="inlineStr">
        <is>
          <t>Resposta do diagnóstico</t>
        </is>
      </c>
      <c r="E5" s="2" t="inlineStr">
        <is>
          <t>Fundamentação na IN nº 75/2026</t>
        </is>
      </c>
      <c r="F5" s="2" t="inlineStr">
        <is>
          <t>15 pts</t>
        </is>
      </c>
      <c r="G5" s="2" t="inlineStr">
        <is>
          <t>Pontuação /15</t>
        </is>
      </c>
      <c r="H5" s="2" t="inlineStr">
        <is>
          <t>Situação institucional</t>
        </is>
      </c>
      <c r="I5" s="2" t="inlineStr">
        <is>
          <t>Evidências / observações</t>
        </is>
      </c>
    </row>
    <row r="6" ht="84" customHeight="1">
      <c r="A6" s="7" t="inlineStr">
        <is>
          <t>Como aplicar / resposta / fundamento →</t>
        </is>
      </c>
      <c r="C6" s="4" t="inlineStr">
        <is>
          <t>15 pts: existe ato normativo específico vigente que cria/institui a Ouvidoria de Serviços Penais ou núcleo especializado. 0 pt: não existe ato específico ou não há evidência suficiente. Sem o ato, a unidade é classificada como Não instituída.</t>
        </is>
      </c>
      <c r="D6" s="5" t="inlineStr">
        <is>
          <t>Resposta original consolidada do diagnóstico.</t>
        </is>
      </c>
      <c r="E6" s="6" t="inlineStr">
        <is>
          <t>Art. 6º, caput.</t>
        </is>
      </c>
      <c r="F6" s="9" t="inlineStr">
        <is>
          <t>15 = instituída
0 = não instituída / sem evidência</t>
        </is>
      </c>
      <c r="G6" s="9" t="inlineStr">
        <is>
          <t>Pontuação automática.</t>
        </is>
      </c>
      <c r="H6" s="9" t="inlineStr">
        <is>
          <t>Sem ato, não há classificação ordinária de aderência.</t>
        </is>
      </c>
      <c r="I6" s="9" t="inlineStr">
        <is>
          <t>Doc. SEI 37070578</t>
        </is>
      </c>
    </row>
    <row r="7" ht="24" customHeight="1">
      <c r="A7" s="3" t="inlineStr">
        <is>
          <t>AC</t>
        </is>
      </c>
      <c r="B7" s="3" t="inlineStr">
        <is>
          <t>Acre</t>
        </is>
      </c>
      <c r="C7" s="3" t="inlineStr">
        <is>
          <t>Sim</t>
        </is>
      </c>
      <c r="D7" s="5" t="inlineStr">
        <is>
          <t>Existe ato infralegal (portaria, resolução, ordem de serviço) que cria ouvidoria de serviços penais ou núcleo especializado</t>
        </is>
      </c>
      <c r="E7" s="3" t="inlineStr">
        <is>
          <t>Art. 6º, caput.</t>
        </is>
      </c>
      <c r="F7" s="3">
        <f>IF(C7="Sim",15,0)</f>
        <v/>
      </c>
      <c r="G7" s="3">
        <f>F7</f>
        <v/>
      </c>
      <c r="H7" s="3">
        <f>IF(C7="Sim","Instituída",IF(C7="Não","Não instituída","Sem evidência"))</f>
        <v/>
      </c>
      <c r="I7" s="3" t="inlineStr">
        <is>
          <t>Doc. SEI 37070578</t>
        </is>
      </c>
    </row>
    <row r="8" ht="24" customHeight="1">
      <c r="A8" s="3" t="inlineStr">
        <is>
          <t>AL</t>
        </is>
      </c>
      <c r="B8" s="3" t="inlineStr">
        <is>
          <t>Alagoas</t>
        </is>
      </c>
      <c r="C8" s="3" t="inlineStr">
        <is>
          <t>Sim</t>
        </is>
      </c>
      <c r="D8" s="5" t="inlineStr">
        <is>
          <t>Existe lei ou decreto que cria ouvidoria de serviços penais ou núcleo especializado</t>
        </is>
      </c>
      <c r="E8" s="3" t="inlineStr">
        <is>
          <t>Art. 6º, caput.</t>
        </is>
      </c>
      <c r="F8" s="3">
        <f>IF(C8="Sim",15,0)</f>
        <v/>
      </c>
      <c r="G8" s="3">
        <f>F8</f>
        <v/>
      </c>
      <c r="H8" s="3">
        <f>IF(C8="Sim","Instituída",IF(C8="Não","Não instituída","Sem evidência"))</f>
        <v/>
      </c>
      <c r="I8" s="3" t="inlineStr">
        <is>
          <t>Doc. SEI 37070578</t>
        </is>
      </c>
    </row>
    <row r="9" ht="24" customHeight="1">
      <c r="A9" s="3" t="inlineStr">
        <is>
          <t>AP</t>
        </is>
      </c>
      <c r="B9" s="3" t="inlineStr">
        <is>
          <t>Amapá</t>
        </is>
      </c>
      <c r="C9" s="3" t="inlineStr">
        <is>
          <t>Sim</t>
        </is>
      </c>
      <c r="D9" s="5" t="inlineStr">
        <is>
          <t>Existe lei ou decreto que cria ouvidoria de serviços penais ou núcleo especializado</t>
        </is>
      </c>
      <c r="E9" s="3" t="inlineStr">
        <is>
          <t>Art. 6º, caput.</t>
        </is>
      </c>
      <c r="F9" s="3">
        <f>IF(C9="Sim",15,0)</f>
        <v/>
      </c>
      <c r="G9" s="3">
        <f>F9</f>
        <v/>
      </c>
      <c r="H9" s="3">
        <f>IF(C9="Sim","Instituída",IF(C9="Não","Não instituída","Sem evidência"))</f>
        <v/>
      </c>
      <c r="I9" s="3" t="inlineStr">
        <is>
          <t>Doc. SEI 37070578</t>
        </is>
      </c>
    </row>
    <row r="10" ht="24" customHeight="1">
      <c r="A10" s="3" t="inlineStr">
        <is>
          <t>AM</t>
        </is>
      </c>
      <c r="B10" s="3" t="inlineStr">
        <is>
          <t>Amazonas</t>
        </is>
      </c>
      <c r="C10" s="3" t="inlineStr">
        <is>
          <t>Sim</t>
        </is>
      </c>
      <c r="D10" s="5" t="inlineStr">
        <is>
          <t>Existe lei ou decreto que cria ouvidoria de serviços penais ou núcleo especializado</t>
        </is>
      </c>
      <c r="E10" s="3" t="inlineStr">
        <is>
          <t>Art. 6º, caput.</t>
        </is>
      </c>
      <c r="F10" s="3">
        <f>IF(C10="Sim",15,0)</f>
        <v/>
      </c>
      <c r="G10" s="3">
        <f>F10</f>
        <v/>
      </c>
      <c r="H10" s="3">
        <f>IF(C10="Sim","Instituída",IF(C10="Não","Não instituída","Sem evidência"))</f>
        <v/>
      </c>
      <c r="I10" s="3" t="inlineStr">
        <is>
          <t>Doc. SEI 37070578</t>
        </is>
      </c>
    </row>
    <row r="11" ht="24" customHeight="1">
      <c r="A11" s="3" t="inlineStr">
        <is>
          <t>BA</t>
        </is>
      </c>
      <c r="B11" s="3" t="inlineStr">
        <is>
          <t>Bahia</t>
        </is>
      </c>
      <c r="C11" s="3" t="inlineStr">
        <is>
          <t>Sim</t>
        </is>
      </c>
      <c r="D11" s="5" t="inlineStr">
        <is>
          <t>Existe lei ou decreto que cria ouvidoria de serviços penais ou núcleo especializado</t>
        </is>
      </c>
      <c r="E11" s="3" t="inlineStr">
        <is>
          <t>Art. 6º, caput.</t>
        </is>
      </c>
      <c r="F11" s="3">
        <f>IF(C11="Sim",15,0)</f>
        <v/>
      </c>
      <c r="G11" s="3">
        <f>F11</f>
        <v/>
      </c>
      <c r="H11" s="3">
        <f>IF(C11="Sim","Instituída",IF(C11="Não","Não instituída","Sem evidência"))</f>
        <v/>
      </c>
      <c r="I11" s="3" t="inlineStr">
        <is>
          <t>Doc. SEI 37070578</t>
        </is>
      </c>
    </row>
    <row r="12" ht="24" customHeight="1">
      <c r="A12" s="3" t="inlineStr">
        <is>
          <t>CE</t>
        </is>
      </c>
      <c r="B12" s="3" t="inlineStr">
        <is>
          <t>Ceará</t>
        </is>
      </c>
      <c r="C12" s="3" t="inlineStr">
        <is>
          <t>Sim</t>
        </is>
      </c>
      <c r="D12" s="5" t="inlineStr">
        <is>
          <t>Existe lei ou decreto que cria ouvidoria de serviços penais ou núcleo especializado</t>
        </is>
      </c>
      <c r="E12" s="3" t="inlineStr">
        <is>
          <t>Art. 6º, caput.</t>
        </is>
      </c>
      <c r="F12" s="3">
        <f>IF(C12="Sim",15,0)</f>
        <v/>
      </c>
      <c r="G12" s="3">
        <f>F12</f>
        <v/>
      </c>
      <c r="H12" s="3">
        <f>IF(C12="Sim","Instituída",IF(C12="Não","Não instituída","Sem evidência"))</f>
        <v/>
      </c>
      <c r="I12" s="3" t="inlineStr">
        <is>
          <t>Doc. SEI 37070578</t>
        </is>
      </c>
    </row>
    <row r="13" ht="24" customHeight="1">
      <c r="A13" s="3" t="inlineStr">
        <is>
          <t>DF</t>
        </is>
      </c>
      <c r="B13" s="3" t="inlineStr">
        <is>
          <t>Distrito Federal</t>
        </is>
      </c>
      <c r="C13" s="3" t="inlineStr">
        <is>
          <t>Sim</t>
        </is>
      </c>
      <c r="D13" s="5" t="inlineStr">
        <is>
          <t>Existe lei ou decreto que cria ouvidoria de serviços penais ou núcleo especializado</t>
        </is>
      </c>
      <c r="E13" s="3" t="inlineStr">
        <is>
          <t>Art. 6º, caput.</t>
        </is>
      </c>
      <c r="F13" s="3">
        <f>IF(C13="Sim",15,0)</f>
        <v/>
      </c>
      <c r="G13" s="3">
        <f>F13</f>
        <v/>
      </c>
      <c r="H13" s="3">
        <f>IF(C13="Sim","Instituída",IF(C13="Não","Não instituída","Sem evidência"))</f>
        <v/>
      </c>
      <c r="I13" s="3" t="inlineStr">
        <is>
          <t>Doc. SEI 37070578</t>
        </is>
      </c>
    </row>
    <row r="14" ht="24" customHeight="1">
      <c r="A14" s="3" t="inlineStr">
        <is>
          <t>ES</t>
        </is>
      </c>
      <c r="B14" s="3" t="inlineStr">
        <is>
          <t>Espírito Santo — Polícia Penal</t>
        </is>
      </c>
      <c r="C14" s="3" t="inlineStr">
        <is>
          <t>Sim</t>
        </is>
      </c>
      <c r="D14" s="5" t="inlineStr">
        <is>
          <t>Existe lei ou decreto que cria ouvidoria de serviços penais ou núcleo especializado</t>
        </is>
      </c>
      <c r="E14" s="3" t="inlineStr">
        <is>
          <t>Art. 6º, caput.</t>
        </is>
      </c>
      <c r="F14" s="3">
        <f>IF(C14="Sim",15,0)</f>
        <v/>
      </c>
      <c r="G14" s="3">
        <f>F14</f>
        <v/>
      </c>
      <c r="H14" s="3">
        <f>IF(C14="Sim","Instituída",IF(C14="Não","Não instituída","Sem evidência"))</f>
        <v/>
      </c>
      <c r="I14" s="3" t="inlineStr">
        <is>
          <t>Doc. SEI 37070578</t>
        </is>
      </c>
    </row>
    <row r="15" ht="24" customHeight="1">
      <c r="A15" s="3" t="inlineStr">
        <is>
          <t>ES</t>
        </is>
      </c>
      <c r="B15" s="3" t="inlineStr">
        <is>
          <t>Espírito Santo — SEJUS/ES</t>
        </is>
      </c>
      <c r="C15" s="3" t="inlineStr">
        <is>
          <t>Sim</t>
        </is>
      </c>
      <c r="D15" s="5" t="inlineStr">
        <is>
          <t>Existe ato infralegal (portaria, resolução, ordem de serviço) que cria ouvidoria de serviços penais ou núcleo especializado</t>
        </is>
      </c>
      <c r="E15" s="3" t="inlineStr">
        <is>
          <t>Art. 6º, caput.</t>
        </is>
      </c>
      <c r="F15" s="3">
        <f>IF(C15="Sim",15,0)</f>
        <v/>
      </c>
      <c r="G15" s="3">
        <f>F15</f>
        <v/>
      </c>
      <c r="H15" s="3">
        <f>IF(C15="Sim","Instituída",IF(C15="Não","Não instituída","Sem evidência"))</f>
        <v/>
      </c>
      <c r="I15" s="3" t="inlineStr">
        <is>
          <t>Doc. SEI 37070578</t>
        </is>
      </c>
    </row>
    <row r="16" ht="24" customHeight="1">
      <c r="A16" s="3" t="inlineStr">
        <is>
          <t>GO</t>
        </is>
      </c>
      <c r="B16" s="3" t="inlineStr">
        <is>
          <t>Goiás</t>
        </is>
      </c>
      <c r="C16" s="3" t="inlineStr">
        <is>
          <t>Sim</t>
        </is>
      </c>
      <c r="D16" s="5" t="inlineStr">
        <is>
          <t>Existe ato infralegal (portaria, resolução, ordem de serviço) que cria ouvidoria de serviços penais ou núcleo especializado</t>
        </is>
      </c>
      <c r="E16" s="3" t="inlineStr">
        <is>
          <t>Art. 6º, caput.</t>
        </is>
      </c>
      <c r="F16" s="3">
        <f>IF(C16="Sim",15,0)</f>
        <v/>
      </c>
      <c r="G16" s="3">
        <f>F16</f>
        <v/>
      </c>
      <c r="H16" s="3">
        <f>IF(C16="Sim","Instituída",IF(C16="Não","Não instituída","Sem evidência"))</f>
        <v/>
      </c>
      <c r="I16" s="3" t="inlineStr">
        <is>
          <t>Doc. SEI 37070578</t>
        </is>
      </c>
    </row>
    <row r="17" ht="24" customHeight="1">
      <c r="A17" s="3" t="inlineStr">
        <is>
          <t>MA</t>
        </is>
      </c>
      <c r="B17" s="3" t="inlineStr">
        <is>
          <t>Maranhão</t>
        </is>
      </c>
      <c r="C17" s="3" t="inlineStr">
        <is>
          <t>Sim</t>
        </is>
      </c>
      <c r="D17" s="5" t="inlineStr">
        <is>
          <t>Existe lei ou decreto que cria ouvidoria de serviços penais ou núcleo especializado</t>
        </is>
      </c>
      <c r="E17" s="3" t="inlineStr">
        <is>
          <t>Art. 6º, caput.</t>
        </is>
      </c>
      <c r="F17" s="3">
        <f>IF(C17="Sim",15,0)</f>
        <v/>
      </c>
      <c r="G17" s="3">
        <f>F17</f>
        <v/>
      </c>
      <c r="H17" s="3">
        <f>IF(C17="Sim","Instituída",IF(C17="Não","Não instituída","Sem evidência"))</f>
        <v/>
      </c>
      <c r="I17" s="3" t="inlineStr">
        <is>
          <t>Doc. SEI 37070578</t>
        </is>
      </c>
    </row>
    <row r="18" ht="24" customHeight="1">
      <c r="A18" s="3" t="inlineStr">
        <is>
          <t>MT</t>
        </is>
      </c>
      <c r="B18" s="3" t="inlineStr">
        <is>
          <t>Mato Grosso</t>
        </is>
      </c>
      <c r="C18" s="3" t="inlineStr">
        <is>
          <t>Sim</t>
        </is>
      </c>
      <c r="D18" s="5" t="inlineStr">
        <is>
          <t>Existe lei ou decreto que cria ouvidoria de serviços penais ou núcleo especializado</t>
        </is>
      </c>
      <c r="E18" s="3" t="inlineStr">
        <is>
          <t>Art. 6º, caput.</t>
        </is>
      </c>
      <c r="F18" s="3">
        <f>IF(C18="Sim",15,0)</f>
        <v/>
      </c>
      <c r="G18" s="3">
        <f>F18</f>
        <v/>
      </c>
      <c r="H18" s="3">
        <f>IF(C18="Sim","Instituída",IF(C18="Não","Não instituída","Sem evidência"))</f>
        <v/>
      </c>
      <c r="I18" s="3" t="inlineStr">
        <is>
          <t>Doc. SEI 37070578</t>
        </is>
      </c>
    </row>
    <row r="19" ht="24" customHeight="1">
      <c r="A19" s="3" t="inlineStr">
        <is>
          <t>MS</t>
        </is>
      </c>
      <c r="B19" s="3" t="inlineStr">
        <is>
          <t>Mato Grosso do Sul</t>
        </is>
      </c>
      <c r="C19" s="3" t="inlineStr">
        <is>
          <t>Sim</t>
        </is>
      </c>
      <c r="D19" s="5" t="inlineStr">
        <is>
          <t>Existe apenas ato de ouvidoria geral do Estado, sem criação de unidade/núcleo específico para serviços penais</t>
        </is>
      </c>
      <c r="E19" s="3" t="inlineStr">
        <is>
          <t>Art. 6º, caput.</t>
        </is>
      </c>
      <c r="F19" s="3">
        <f>IF(C19="Sim",15,0)</f>
        <v/>
      </c>
      <c r="G19" s="3">
        <f>F19</f>
        <v/>
      </c>
      <c r="H19" s="3">
        <f>IF(C19="Sim","Instituída",IF(C19="Não","Não instituída","Sem evidência"))</f>
        <v/>
      </c>
      <c r="I19" s="3" t="inlineStr">
        <is>
          <t>Doc. SEI 37070578</t>
        </is>
      </c>
    </row>
    <row r="20" ht="24" customHeight="1">
      <c r="A20" s="3" t="inlineStr">
        <is>
          <t>MG</t>
        </is>
      </c>
      <c r="B20" s="3" t="inlineStr">
        <is>
          <t>Minas Gerais</t>
        </is>
      </c>
      <c r="C20" s="3" t="inlineStr">
        <is>
          <t>Sim</t>
        </is>
      </c>
      <c r="D20" s="5" t="inlineStr">
        <is>
          <t>Existe lei ou decreto que cria ouvidoria de serviços penais ou núcleo especializado</t>
        </is>
      </c>
      <c r="E20" s="3" t="inlineStr">
        <is>
          <t>Art. 6º, caput.</t>
        </is>
      </c>
      <c r="F20" s="3">
        <f>IF(C20="Sim",15,0)</f>
        <v/>
      </c>
      <c r="G20" s="3">
        <f>F20</f>
        <v/>
      </c>
      <c r="H20" s="3">
        <f>IF(C20="Sim","Instituída",IF(C20="Não","Não instituída","Sem evidência"))</f>
        <v/>
      </c>
      <c r="I20" s="3" t="inlineStr">
        <is>
          <t>Doc. SEI 37070578</t>
        </is>
      </c>
    </row>
    <row r="21" ht="24" customHeight="1">
      <c r="A21" s="3" t="inlineStr">
        <is>
          <t>PA</t>
        </is>
      </c>
      <c r="B21" s="3" t="inlineStr">
        <is>
          <t>Pará</t>
        </is>
      </c>
      <c r="C21" s="3" t="inlineStr">
        <is>
          <t>Não</t>
        </is>
      </c>
      <c r="D21" s="5" t="inlineStr">
        <is>
          <t>Não há normativos específicos da Secretaria, apenas do Estado</t>
        </is>
      </c>
      <c r="E21" s="3" t="inlineStr">
        <is>
          <t>Art. 6º, caput.</t>
        </is>
      </c>
      <c r="F21" s="3">
        <f>IF(C21="Sim",15,0)</f>
        <v/>
      </c>
      <c r="G21" s="3">
        <f>F21</f>
        <v/>
      </c>
      <c r="H21" s="3">
        <f>IF(C21="Sim","Instituída",IF(C21="Não","Não instituída","Sem evidência"))</f>
        <v/>
      </c>
      <c r="I21" s="3" t="inlineStr">
        <is>
          <t>Doc. SEI 37070578</t>
        </is>
      </c>
    </row>
    <row r="22" ht="24" customHeight="1">
      <c r="A22" s="3" t="inlineStr">
        <is>
          <t>PB</t>
        </is>
      </c>
      <c r="B22" s="3" t="inlineStr">
        <is>
          <t>Paraíba</t>
        </is>
      </c>
      <c r="C22" s="3" t="inlineStr">
        <is>
          <t>Sim</t>
        </is>
      </c>
      <c r="D22" s="5" t="inlineStr">
        <is>
          <t>Existe lei ou decreto que cria ouvidoria de serviços penais ou núcleo especializado</t>
        </is>
      </c>
      <c r="E22" s="3" t="inlineStr">
        <is>
          <t>Art. 6º, caput.</t>
        </is>
      </c>
      <c r="F22" s="3">
        <f>IF(C22="Sim",15,0)</f>
        <v/>
      </c>
      <c r="G22" s="3">
        <f>F22</f>
        <v/>
      </c>
      <c r="H22" s="3">
        <f>IF(C22="Sim","Instituída",IF(C22="Não","Não instituída","Sem evidência"))</f>
        <v/>
      </c>
      <c r="I22" s="3" t="inlineStr">
        <is>
          <t>Doc. SEI 37070578</t>
        </is>
      </c>
    </row>
    <row r="23" ht="24" customHeight="1">
      <c r="A23" s="3" t="inlineStr">
        <is>
          <t>PR</t>
        </is>
      </c>
      <c r="B23" s="3" t="inlineStr">
        <is>
          <t>Paraná</t>
        </is>
      </c>
      <c r="C23" s="3" t="inlineStr">
        <is>
          <t>Sim</t>
        </is>
      </c>
      <c r="D23" s="5" t="inlineStr">
        <is>
          <t>Existe apenas ato de ouvidoria geral do Estado, sem criação de unidade/núcleo específico para serviços penais</t>
        </is>
      </c>
      <c r="E23" s="3" t="inlineStr">
        <is>
          <t>Art. 6º, caput.</t>
        </is>
      </c>
      <c r="F23" s="3">
        <f>IF(C23="Sim",15,0)</f>
        <v/>
      </c>
      <c r="G23" s="3">
        <f>F23</f>
        <v/>
      </c>
      <c r="H23" s="3">
        <f>IF(C23="Sim","Instituída",IF(C23="Não","Não instituída","Sem evidência"))</f>
        <v/>
      </c>
      <c r="I23" s="3" t="inlineStr">
        <is>
          <t>Doc. SEI 37070578</t>
        </is>
      </c>
    </row>
    <row r="24" ht="24" customHeight="1">
      <c r="A24" s="3" t="inlineStr">
        <is>
          <t>PE</t>
        </is>
      </c>
      <c r="B24" s="3" t="inlineStr">
        <is>
          <t>Pernambuco</t>
        </is>
      </c>
      <c r="C24" s="3" t="inlineStr">
        <is>
          <t>Sim</t>
        </is>
      </c>
      <c r="D24" s="5" t="inlineStr">
        <is>
          <t>Existe apenas ato de ouvidoria geral do Estado, sem criação de unidade/núcleo específico para serviços penais</t>
        </is>
      </c>
      <c r="E24" s="3" t="inlineStr">
        <is>
          <t>Art. 6º, caput.</t>
        </is>
      </c>
      <c r="F24" s="3">
        <f>IF(C24="Sim",15,0)</f>
        <v/>
      </c>
      <c r="G24" s="3">
        <f>F24</f>
        <v/>
      </c>
      <c r="H24" s="3">
        <f>IF(C24="Sim","Instituída",IF(C24="Não","Não instituída","Sem evidência"))</f>
        <v/>
      </c>
      <c r="I24" s="3" t="inlineStr">
        <is>
          <t>Doc. SEI 37070578</t>
        </is>
      </c>
    </row>
    <row r="25" ht="24" customHeight="1">
      <c r="A25" s="3" t="inlineStr">
        <is>
          <t>PI</t>
        </is>
      </c>
      <c r="B25" s="3" t="inlineStr">
        <is>
          <t>Piauí</t>
        </is>
      </c>
      <c r="C25" s="3" t="inlineStr">
        <is>
          <t>Sim</t>
        </is>
      </c>
      <c r="D25" s="5" t="inlineStr">
        <is>
          <t>Existe lei ou decreto que cria ouvidoria de serviços penais ou núcleo especializado</t>
        </is>
      </c>
      <c r="E25" s="3" t="inlineStr">
        <is>
          <t>Art. 6º, caput.</t>
        </is>
      </c>
      <c r="F25" s="3">
        <f>IF(C25="Sim",15,0)</f>
        <v/>
      </c>
      <c r="G25" s="3">
        <f>F25</f>
        <v/>
      </c>
      <c r="H25" s="3">
        <f>IF(C25="Sim","Instituída",IF(C25="Não","Não instituída","Sem evidência"))</f>
        <v/>
      </c>
      <c r="I25" s="3" t="inlineStr">
        <is>
          <t>Doc. SEI 37070578</t>
        </is>
      </c>
    </row>
    <row r="26" ht="24" customHeight="1">
      <c r="A26" s="3" t="inlineStr">
        <is>
          <t>RJ</t>
        </is>
      </c>
      <c r="B26" s="3" t="inlineStr">
        <is>
          <t>Rio de Janeiro</t>
        </is>
      </c>
      <c r="C26" s="3" t="inlineStr">
        <is>
          <t>Sim</t>
        </is>
      </c>
      <c r="D26" s="5" t="inlineStr">
        <is>
          <t>Existe lei ou decreto que cria ouvidoria de serviços penais ou núcleo especializado</t>
        </is>
      </c>
      <c r="E26" s="3" t="inlineStr">
        <is>
          <t>Art. 6º, caput.</t>
        </is>
      </c>
      <c r="F26" s="3">
        <f>IF(C26="Sim",15,0)</f>
        <v/>
      </c>
      <c r="G26" s="3">
        <f>F26</f>
        <v/>
      </c>
      <c r="H26" s="3">
        <f>IF(C26="Sim","Instituída",IF(C26="Não","Não instituída","Sem evidência"))</f>
        <v/>
      </c>
      <c r="I26" s="3" t="inlineStr">
        <is>
          <t>Doc. SEI 37070578</t>
        </is>
      </c>
    </row>
    <row r="27" ht="24" customHeight="1">
      <c r="A27" s="3" t="inlineStr">
        <is>
          <t>RN</t>
        </is>
      </c>
      <c r="B27" s="3" t="inlineStr">
        <is>
          <t>Rio Grande do Norte</t>
        </is>
      </c>
      <c r="C27" s="3" t="inlineStr">
        <is>
          <t>Sim</t>
        </is>
      </c>
      <c r="D27" s="5" t="inlineStr">
        <is>
          <t>Existe lei ou decreto que cria ouvidoria de serviços penais ou núcleo especializado</t>
        </is>
      </c>
      <c r="E27" s="3" t="inlineStr">
        <is>
          <t>Art. 6º, caput.</t>
        </is>
      </c>
      <c r="F27" s="3">
        <f>IF(C27="Sim",15,0)</f>
        <v/>
      </c>
      <c r="G27" s="3">
        <f>F27</f>
        <v/>
      </c>
      <c r="H27" s="3">
        <f>IF(C27="Sim","Instituída",IF(C27="Não","Não instituída","Sem evidência"))</f>
        <v/>
      </c>
      <c r="I27" s="3" t="inlineStr">
        <is>
          <t>Doc. SEI 37070578</t>
        </is>
      </c>
    </row>
    <row r="28" ht="24" customHeight="1">
      <c r="A28" s="3" t="inlineStr">
        <is>
          <t>RS</t>
        </is>
      </c>
      <c r="B28" s="3" t="inlineStr">
        <is>
          <t>Rio Grande do Sul</t>
        </is>
      </c>
      <c r="C28" s="3" t="inlineStr">
        <is>
          <t>Sim</t>
        </is>
      </c>
      <c r="D28" s="5" t="inlineStr">
        <is>
          <t>Existe lei ou decreto que cria ouvidoria de serviços penais ou núcleo especializado</t>
        </is>
      </c>
      <c r="E28" s="3" t="inlineStr">
        <is>
          <t>Art. 6º, caput.</t>
        </is>
      </c>
      <c r="F28" s="3">
        <f>IF(C28="Sim",15,0)</f>
        <v/>
      </c>
      <c r="G28" s="3">
        <f>F28</f>
        <v/>
      </c>
      <c r="H28" s="3">
        <f>IF(C28="Sim","Instituída",IF(C28="Não","Não instituída","Sem evidência"))</f>
        <v/>
      </c>
      <c r="I28" s="3" t="inlineStr">
        <is>
          <t>Doc. SEI 37070578</t>
        </is>
      </c>
    </row>
    <row r="29">
      <c r="A29" s="3" t="inlineStr">
        <is>
          <t>RO</t>
        </is>
      </c>
      <c r="B29" s="3" t="inlineStr">
        <is>
          <t>Rondônia</t>
        </is>
      </c>
      <c r="C29" s="3" t="inlineStr">
        <is>
          <t>Não</t>
        </is>
      </c>
      <c r="D29" s="5" t="inlineStr">
        <is>
          <t>Não existe qualquer ato específico</t>
        </is>
      </c>
      <c r="E29" s="3" t="inlineStr">
        <is>
          <t>Art. 6º, caput.</t>
        </is>
      </c>
      <c r="F29" s="3">
        <f>IF(C29="Sim",15,0)</f>
        <v/>
      </c>
      <c r="G29" s="3">
        <f>F29</f>
        <v/>
      </c>
      <c r="H29" s="3">
        <f>IF(C29="Sim","Instituída",IF(C29="Não","Não instituída","Sem evidência"))</f>
        <v/>
      </c>
      <c r="I29" s="3" t="inlineStr">
        <is>
          <t>Doc. SEI 37070578</t>
        </is>
      </c>
    </row>
    <row r="30" ht="24" customHeight="1">
      <c r="A30" s="3" t="inlineStr">
        <is>
          <t>RR</t>
        </is>
      </c>
      <c r="B30" s="3" t="inlineStr">
        <is>
          <t>Roraima</t>
        </is>
      </c>
      <c r="C30" s="3" t="inlineStr">
        <is>
          <t>Sim</t>
        </is>
      </c>
      <c r="D30" s="5" t="inlineStr">
        <is>
          <t>Existe lei ou decreto que cria ouvidoria de serviços penais ou núcleo especializado</t>
        </is>
      </c>
      <c r="E30" s="3" t="inlineStr">
        <is>
          <t>Art. 6º, caput.</t>
        </is>
      </c>
      <c r="F30" s="3">
        <f>IF(C30="Sim",15,0)</f>
        <v/>
      </c>
      <c r="G30" s="3">
        <f>F30</f>
        <v/>
      </c>
      <c r="H30" s="3">
        <f>IF(C30="Sim","Instituída",IF(C30="Não","Não instituída","Sem evidência"))</f>
        <v/>
      </c>
      <c r="I30" s="3" t="inlineStr">
        <is>
          <t>Doc. SEI 37070578</t>
        </is>
      </c>
    </row>
    <row r="31" ht="24" customHeight="1">
      <c r="A31" s="3" t="inlineStr">
        <is>
          <t>SC</t>
        </is>
      </c>
      <c r="B31" s="3" t="inlineStr">
        <is>
          <t>Santa Catarina</t>
        </is>
      </c>
      <c r="C31" s="3" t="inlineStr">
        <is>
          <t>Sim</t>
        </is>
      </c>
      <c r="D31" s="5" t="inlineStr">
        <is>
          <t>Existe ato infralegal (portaria, resolução, ordem de serviço) que cria ouvidoria de serviços penais ou núcleo especializado</t>
        </is>
      </c>
      <c r="E31" s="3" t="inlineStr">
        <is>
          <t>Art. 6º, caput.</t>
        </is>
      </c>
      <c r="F31" s="3">
        <f>IF(C31="Sim",15,0)</f>
        <v/>
      </c>
      <c r="G31" s="3">
        <f>F31</f>
        <v/>
      </c>
      <c r="H31" s="3">
        <f>IF(C31="Sim","Instituída",IF(C31="Não","Não instituída","Sem evidência"))</f>
        <v/>
      </c>
      <c r="I31" s="3" t="inlineStr">
        <is>
          <t>Decreto</t>
        </is>
      </c>
    </row>
    <row r="32" ht="24" customHeight="1">
      <c r="A32" s="3" t="inlineStr">
        <is>
          <t>SP</t>
        </is>
      </c>
      <c r="B32" s="3" t="inlineStr">
        <is>
          <t>São Paulo</t>
        </is>
      </c>
      <c r="C32" s="3" t="inlineStr">
        <is>
          <t>Sim</t>
        </is>
      </c>
      <c r="D32" s="5" t="inlineStr">
        <is>
          <t>Existe ato infralegal (portaria, resolução, ordem de serviço) que cria ouvidoria de serviços penais ou núcleo especializado</t>
        </is>
      </c>
      <c r="E32" s="3" t="inlineStr">
        <is>
          <t>Art. 6º, caput.</t>
        </is>
      </c>
      <c r="F32" s="3">
        <f>IF(C32="Sim",15,0)</f>
        <v/>
      </c>
      <c r="G32" s="3">
        <f>F32</f>
        <v/>
      </c>
      <c r="H32" s="3">
        <f>IF(C32="Sim","Instituída",IF(C32="Não","Não instituída","Sem evidência"))</f>
        <v/>
      </c>
      <c r="I32" s="3" t="inlineStr">
        <is>
          <t>Doc. SEI 37070578</t>
        </is>
      </c>
    </row>
    <row r="33">
      <c r="A33" s="3" t="inlineStr">
        <is>
          <t>SE</t>
        </is>
      </c>
      <c r="B33" s="3" t="inlineStr">
        <is>
          <t>Sergipe</t>
        </is>
      </c>
      <c r="C33" s="3" t="inlineStr">
        <is>
          <t>Sim</t>
        </is>
      </c>
      <c r="D33" s="5" t="inlineStr">
        <is>
          <t>Sem resposta no diagnóstico</t>
        </is>
      </c>
      <c r="E33" s="3" t="inlineStr">
        <is>
          <t>Art. 6º, caput.</t>
        </is>
      </c>
      <c r="F33" s="3">
        <f>IF(C33="Sim",15,0)</f>
        <v/>
      </c>
      <c r="G33" s="3">
        <f>F33</f>
        <v/>
      </c>
      <c r="H33" s="3">
        <f>IF(C33="Sim","Instituída",IF(C33="Não","Não instituída","Sem evidência"))</f>
        <v/>
      </c>
      <c r="I33" s="3" t="n"/>
    </row>
    <row r="34">
      <c r="A34" s="3" t="inlineStr">
        <is>
          <t>TO</t>
        </is>
      </c>
      <c r="B34" s="3" t="inlineStr">
        <is>
          <t>Tocantins</t>
        </is>
      </c>
      <c r="C34" s="3" t="inlineStr">
        <is>
          <t>Não</t>
        </is>
      </c>
      <c r="D34" s="5" t="inlineStr">
        <is>
          <t>Não existe qualquer ato específico</t>
        </is>
      </c>
      <c r="E34" s="3" t="inlineStr">
        <is>
          <t>Art. 6º, caput.</t>
        </is>
      </c>
      <c r="F34" s="3">
        <f>IF(C34="Sim",15,0)</f>
        <v/>
      </c>
      <c r="G34" s="3">
        <f>F34</f>
        <v/>
      </c>
      <c r="H34" s="3">
        <f>IF(C34="Sim","Instituída",IF(C34="Não","Não instituída","Sem evidência"))</f>
        <v/>
      </c>
      <c r="I34" s="3" t="inlineStr">
        <is>
          <t>Doc. SEI 37070578</t>
        </is>
      </c>
    </row>
  </sheetData>
  <mergeCells count="6">
    <mergeCell ref="A4:B4"/>
    <mergeCell ref="A2:I2"/>
    <mergeCell ref="C4:F4"/>
    <mergeCell ref="A1:I1"/>
    <mergeCell ref="G4:I4"/>
    <mergeCell ref="A6:B6"/>
  </mergeCells>
  <dataValidations count="1">
    <dataValidation sqref="C7:C34" showDropDown="0" showInputMessage="0" showErrorMessage="0" allowBlank="0" type="list">
      <formula1>"Sim,Não,Sem evidência"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4"/>
  <sheetViews>
    <sheetView tabSelected="1" topLeftCell="A28" zoomScale="60" zoomScaleNormal="60" workbookViewId="0">
      <selection activeCell="G31" sqref="G31"/>
    </sheetView>
  </sheetViews>
  <sheetFormatPr baseColWidth="8" defaultRowHeight="14.4"/>
  <cols>
    <col width="8" customWidth="1" min="1" max="1"/>
    <col width="29" customWidth="1" min="2" max="2"/>
    <col width="31" customWidth="1" min="3" max="3"/>
    <col width="42" customWidth="1" min="4" max="4"/>
    <col width="25" customWidth="1" min="5" max="5"/>
    <col width="8" customWidth="1" min="6" max="6"/>
    <col width="31" customWidth="1" min="7" max="7"/>
    <col width="42" customWidth="1" min="8" max="8"/>
    <col width="25" customWidth="1" min="9" max="9"/>
    <col width="8" customWidth="1" min="10" max="10"/>
    <col width="31" customWidth="1" min="11" max="11"/>
    <col width="42" customWidth="1" min="12" max="12"/>
    <col width="25" customWidth="1" min="13" max="13"/>
    <col width="8" customWidth="1" min="14" max="14"/>
    <col width="31" customWidth="1" min="15" max="15"/>
    <col width="42" customWidth="1" min="16" max="16"/>
    <col width="25" customWidth="1" min="17" max="17"/>
    <col width="8" customWidth="1" min="18" max="18"/>
    <col width="31" customWidth="1" min="19" max="19"/>
    <col width="42" customWidth="1" min="20" max="20"/>
    <col width="25" customWidth="1" min="21" max="21"/>
    <col width="8" customWidth="1" min="22" max="22"/>
    <col width="14" customWidth="1" min="23" max="23"/>
    <col width="31" customWidth="1" min="24" max="24"/>
  </cols>
  <sheetData>
    <row r="1" ht="22.35" customHeight="1">
      <c r="A1" s="8" t="inlineStr">
        <is>
          <t>02 — Autonomia técnica e funcional</t>
        </is>
      </c>
    </row>
    <row r="2" ht="38.4" customHeight="1">
      <c r="A2" s="9" t="inlineStr">
        <is>
          <t>Peso da dimensão: 15 pontos. Cada pergunta do diagnóstico pertence exclusivamente a uma única dimensão da matriz.</t>
        </is>
      </c>
    </row>
    <row r="4" ht="40.05" customHeight="1">
      <c r="A4" s="10" t="inlineStr">
        <is>
          <t>Identificação</t>
        </is>
      </c>
      <c r="C4" s="10" t="inlineStr">
        <is>
          <t>Item 1 — Garantia normativa de autonomia técnica/funcional</t>
        </is>
      </c>
      <c r="K4" s="10" t="inlineStr">
        <is>
          <t>Item 2 — Condições institucionais de atuação sem interferência indevida</t>
        </is>
      </c>
      <c r="W4" s="10" t="inlineStr">
        <is>
          <t>Resultado da dimensão</t>
        </is>
      </c>
    </row>
    <row r="5" ht="49.65" customHeight="1">
      <c r="A5" s="2" t="inlineStr">
        <is>
          <t>UF</t>
        </is>
      </c>
      <c r="B5" s="2" t="inlineStr">
        <is>
          <t>Unidade Federativa</t>
        </is>
      </c>
      <c r="C5" s="2" t="inlineStr">
        <is>
          <t>M3-56 — Vinculação institucional da Ouvidoria de Serviços Penais</t>
        </is>
      </c>
      <c r="D5" s="2" t="inlineStr">
        <is>
          <t>Resposta do diagnóstico</t>
        </is>
      </c>
      <c r="E5" s="2" t="inlineStr">
        <is>
          <t>Fundamentação na IN nº 75/2026</t>
        </is>
      </c>
      <c r="F5" s="2" t="inlineStr">
        <is>
          <t>3 pts</t>
        </is>
      </c>
      <c r="G5" s="2" t="inlineStr">
        <is>
          <t>M3-57 — Existência e designação do(a) Ouvidor(a) de Serviços Penais</t>
        </is>
      </c>
      <c r="H5" s="2" t="inlineStr">
        <is>
          <t>Resposta do diagnóstico</t>
        </is>
      </c>
      <c r="I5" s="2" t="inlineStr">
        <is>
          <t>Fundamentação na IN nº 75/2026</t>
        </is>
      </c>
      <c r="J5" s="2" t="inlineStr">
        <is>
          <t>3 pts</t>
        </is>
      </c>
      <c r="K5" s="2" t="inlineStr">
        <is>
          <t>M1-12 — Conteúdo do ato de criação da Ouvidoria de Serviços Penais</t>
        </is>
      </c>
      <c r="L5" s="2" t="inlineStr">
        <is>
          <t>Resposta do diagnóstico</t>
        </is>
      </c>
      <c r="M5" s="2" t="inlineStr">
        <is>
          <t>Fundamentação na IN nº 75/2026</t>
        </is>
      </c>
      <c r="N5" s="2" t="inlineStr">
        <is>
          <t>3 pts</t>
        </is>
      </c>
      <c r="O5" s="2" t="inlineStr">
        <is>
          <t>M4-67 — Fluxo de trabalho interno da Ouvidoria de Serviços Penais</t>
        </is>
      </c>
      <c r="P5" s="2" t="inlineStr">
        <is>
          <t>Resposta do diagnóstico</t>
        </is>
      </c>
      <c r="Q5" s="2" t="inlineStr">
        <is>
          <t>Fundamentação na IN nº 75/2026</t>
        </is>
      </c>
      <c r="R5" s="2" t="inlineStr">
        <is>
          <t>3 pts</t>
        </is>
      </c>
      <c r="S5" s="2" t="inlineStr">
        <is>
          <t>M4-68 — Prazos e qualidade da resposta às manifestações</t>
        </is>
      </c>
      <c r="T5" s="2" t="inlineStr">
        <is>
          <t>Resposta do diagnóstico</t>
        </is>
      </c>
      <c r="U5" s="2" t="inlineStr">
        <is>
          <t>Fundamentação na IN nº 75/2026</t>
        </is>
      </c>
      <c r="V5" s="2" t="inlineStr">
        <is>
          <t>3 pts</t>
        </is>
      </c>
      <c r="W5" s="2" t="inlineStr">
        <is>
          <t>Pontuação /15</t>
        </is>
      </c>
      <c r="X5" s="2" t="inlineStr">
        <is>
          <t>Evidências / observações</t>
        </is>
      </c>
    </row>
    <row r="6" ht="105.6" customHeight="1">
      <c r="A6" s="7" t="inlineStr">
        <is>
          <t>Como aplicar / resposta / fundamento →</t>
        </is>
      </c>
      <c r="C6" s="4" t="inlineStr">
        <is>
          <t>3 pts: vinculada diretamente ao Gabinete/autoridade máxima, ou situação equivalente que assegure posição institucional autônoma. 1,5 pt: vinculada à estrutura central, sem subordinação a área operacional. 0 pt: vinculada a área operacional, não se aplica ou sem evidência.</t>
        </is>
      </c>
      <c r="D6" s="5" t="inlineStr">
        <is>
          <t>Resposta original consolidada do diagnóstico das Ouvidorias Estaduais de Serviços Penais.</t>
        </is>
      </c>
      <c r="E6" s="6" t="inlineStr">
        <is>
          <t>Art. 4º, I; art. 6º, §1º, I.</t>
        </is>
      </c>
      <c r="F6" s="9" t="inlineStr">
        <is>
          <t>3 = atende
1.5 = parcial
0 = não atende / sem evidência</t>
        </is>
      </c>
      <c r="G6" s="4" t="inlineStr">
        <is>
          <t>3 pts: há Ouvidor(a) formalmente designado(a) pela autoridade máxima ou autoridade superior equivalente. 1,5 pt: designação formal em condição intermediária. 0 pt: ponto focal informal, inexistência de Ouvidor específico ou sem evidência.</t>
        </is>
      </c>
      <c r="H6" s="5" t="inlineStr">
        <is>
          <t>Resposta original consolidada do diagnóstico das Ouvidorias Estaduais de Serviços Penais.</t>
        </is>
      </c>
      <c r="I6" s="6" t="inlineStr">
        <is>
          <t>Art. 4º, I; art. 8º, caput.</t>
        </is>
      </c>
      <c r="J6" s="9" t="inlineStr">
        <is>
          <t>3 = atende
1.5 = parcial
0 = não atende / sem evidência</t>
        </is>
      </c>
      <c r="K6" s="4" t="inlineStr">
        <is>
          <t>3 pts: o ato prevê simultaneamente dever de colaboração das áreas e prerrogativa de solicitar informações/documentos e requisitar apuração. 1,5 pt: apenas um desses elementos. 0 pt: nenhum ou sem evidência.</t>
        </is>
      </c>
      <c r="L6" s="5" t="inlineStr">
        <is>
          <t>Resposta original consolidada do diagnóstico das Ouvidorias Estaduais de Serviços Penais.</t>
        </is>
      </c>
      <c r="M6" s="6" t="inlineStr">
        <is>
          <t>Art. 6º, §1º, III; art. 10, II.</t>
        </is>
      </c>
      <c r="N6" s="9" t="inlineStr">
        <is>
          <t>3 = atende
1.5 = parcial
0 = não atende / sem evidência</t>
        </is>
      </c>
      <c r="O6" s="4" t="inlineStr">
        <is>
          <t>3 pts: fluxo formalizado e efetivamente utilizado, contemplando recebimento, registro, encaminhamento, acompanhamento e devolutiva. 1,5 pt: fluxo descrito, mas pouco aplicado. 0 pt: fluxo informal/inexistente ou sem evidência.</t>
        </is>
      </c>
      <c r="P6" s="5" t="inlineStr">
        <is>
          <t>Resposta original consolidada do diagnóstico das Ouvidorias Estaduais de Serviços Penais.</t>
        </is>
      </c>
      <c r="Q6" s="6" t="inlineStr">
        <is>
          <t>Art. 13, caput e incisos I a V.</t>
        </is>
      </c>
      <c r="R6" s="9" t="inlineStr">
        <is>
          <t>3 = atende
1.5 = parcial
0 = não atende / sem evidência</t>
        </is>
      </c>
      <c r="S6" s="4" t="inlineStr">
        <is>
          <t>3 pts: prazos claros e registrados, monitoramento e medidas diante de descumprimento. 1,5 pt: há prazos, mas sem controle sistemático. 0 pt: inexistência de prazos/monitoramento ou sem evidência.</t>
        </is>
      </c>
      <c r="T6" s="5" t="inlineStr">
        <is>
          <t>Resposta original consolidada do diagnóstico das Ouvidorias Estaduais de Serviços Penais.</t>
        </is>
      </c>
      <c r="U6" s="6" t="inlineStr">
        <is>
          <t>Art. 6º, §1º, IV; art. 10, II e IV; art. 13, IV e V.</t>
        </is>
      </c>
      <c r="V6" s="9" t="inlineStr">
        <is>
          <t>3 = atende
1.5 = parcial
0 = não atende / sem evidência</t>
        </is>
      </c>
      <c r="W6" s="9" t="inlineStr">
        <is>
          <t>Soma automática das perguntas desta dimensão.</t>
        </is>
      </c>
      <c r="X6" s="9" t="inlineStr">
        <is>
          <t>Referência documental geral das respostas: Doc. SEI 37070578.</t>
        </is>
      </c>
    </row>
    <row r="7" ht="144" customHeight="1">
      <c r="A7" s="3" t="inlineStr">
        <is>
          <t>AC</t>
        </is>
      </c>
      <c r="B7" s="3" t="inlineStr">
        <is>
          <t>Acre</t>
        </is>
      </c>
      <c r="C7" s="3" t="inlineStr">
        <is>
          <t>Atende</t>
        </is>
      </c>
      <c r="D7" s="5" t="inlineStr">
        <is>
          <t>Vinculada diretamente ao Gabinete ou à autoridade máxima do órgão gestor do sistema penal</t>
        </is>
      </c>
      <c r="E7" s="6" t="inlineStr">
        <is>
          <t>Art. 4º, I; art. 6º, §1º, I.</t>
        </is>
      </c>
      <c r="F7" s="3">
        <f>IF(C7="Atende",3,IF(C7="Parcial",1.5,0))</f>
        <v/>
      </c>
      <c r="G7" s="3" t="inlineStr">
        <is>
          <t>Atende</t>
        </is>
      </c>
      <c r="H7" s="5" t="inlineStr">
        <is>
          <t>Há ouvidor(a) designado(a) formalmente pela autoridade máxima do órgão gestor do sistema penal</t>
        </is>
      </c>
      <c r="I7" s="6" t="inlineStr">
        <is>
          <t>Art. 4º, I; art. 8º, caput.</t>
        </is>
      </c>
      <c r="J7" s="3">
        <f>IF(G7="Atende",3,IF(G7="Parcial",1.5,0))</f>
        <v/>
      </c>
      <c r="K7" s="3" t="inlineStr">
        <is>
          <t>Atende</t>
        </is>
      </c>
      <c r="L7" s="5" t="inlineStr">
        <is>
      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familiares;Garante a proteção da identidade do(a) manifestante e a confidencialidade das informações;Enuncia a finalidade da Ouvidoria de Serviços Penais como instância permanente de interlocução entre cidadãos, pessoas privadas de liberdade, familiares e servidores(as) penais e a administração penitenciária;</t>
        </is>
      </c>
      <c r="M7" s="6" t="inlineStr">
        <is>
          <t>Art. 6º, §1º, III; art. 10, II.</t>
        </is>
      </c>
      <c r="N7" s="3">
        <f>IF(K7="Atende",3,IF(K7="Parcial",1.5,0))</f>
        <v/>
      </c>
      <c r="O7" s="3" t="inlineStr">
        <is>
          <t>Parcial</t>
        </is>
      </c>
      <c r="P7" s="5" t="inlineStr">
        <is>
          <t>Há fluxo descrito, mas pouco aplicado na prática</t>
        </is>
      </c>
      <c r="Q7" s="6" t="inlineStr">
        <is>
          <t>Art. 13, caput e incisos I a V.</t>
        </is>
      </c>
      <c r="R7" s="3">
        <f>IF(O7="Atende",3,IF(O7="Parcial",1.5,0))</f>
        <v/>
      </c>
      <c r="S7" s="3" t="inlineStr">
        <is>
          <t>Atende</t>
        </is>
      </c>
      <c r="T7" s="5" t="inlineStr">
        <is>
          <t>Há prazos definidos (em norma ou ato interno), com tentativas de cumprimento, mas sem controle sistemático</t>
        </is>
      </c>
      <c r="U7" s="6" t="inlineStr">
        <is>
          <t>Art. 6º, §1º, IV; art. 10, II e IV; art. 13, IV e V.</t>
        </is>
      </c>
      <c r="V7" s="3">
        <f>IF(S7="Atende",3,IF(S7="Parcial",1.5,0))</f>
        <v/>
      </c>
      <c r="W7" s="3">
        <f>SUM(F7,J7,N7,R7,V7)</f>
        <v/>
      </c>
      <c r="X7" s="3" t="inlineStr">
        <is>
          <t>Doc. SEI 37070578</t>
        </is>
      </c>
    </row>
    <row r="8" ht="48" customHeight="1">
      <c r="A8" s="3" t="inlineStr">
        <is>
          <t>AL</t>
        </is>
      </c>
      <c r="B8" s="3" t="inlineStr">
        <is>
          <t>Alagoas</t>
        </is>
      </c>
      <c r="C8" s="3" t="inlineStr">
        <is>
          <t>Atende</t>
        </is>
      </c>
      <c r="D8" s="5" t="inlineStr">
        <is>
          <t>Vinculada diretamente ao Gabinete ou à autoridade máxima do órgão gestor do sistema penal</t>
        </is>
      </c>
      <c r="E8" s="6" t="inlineStr">
        <is>
          <t>Art. 4º, I; art. 6º, §1º, I.</t>
        </is>
      </c>
      <c r="F8" s="3">
        <f>IF(C8="Atende",3,IF(C8="Parcial",1.5,0))</f>
        <v/>
      </c>
      <c r="G8" s="3" t="inlineStr">
        <is>
          <t>Atende</t>
        </is>
      </c>
      <c r="H8" s="5" t="inlineStr">
        <is>
          <t>Há ouvidor(a) designado(a) formalmente pela autoridade máxima do órgão gestor do sistema penal</t>
        </is>
      </c>
      <c r="I8" s="6" t="inlineStr">
        <is>
          <t>Art. 4º, I; art. 8º, caput.</t>
        </is>
      </c>
      <c r="J8" s="3">
        <f>IF(G8="Atende",3,IF(G8="Parcial",1.5,0))</f>
        <v/>
      </c>
      <c r="K8" s="3" t="inlineStr">
        <is>
          <t>Não atende</t>
        </is>
      </c>
      <c r="L8" s="5" t="inlineStr">
        <is>
          <t>Não há normativa;</t>
        </is>
      </c>
      <c r="M8" s="6" t="inlineStr">
        <is>
          <t>Art. 6º, §1º, III; art. 10, II.</t>
        </is>
      </c>
      <c r="N8" s="3">
        <f>IF(K8="Atende",3,IF(K8="Parcial",1.5,0))</f>
        <v/>
      </c>
      <c r="O8" s="3" t="inlineStr">
        <is>
          <t>Não atende</t>
        </is>
      </c>
      <c r="P8" s="5" t="inlineStr">
        <is>
          <t>Há fluxo informal (cada caso é tratado de forma diferente, sem padronização)</t>
        </is>
      </c>
      <c r="Q8" s="6" t="inlineStr">
        <is>
          <t>Art. 13, caput e incisos I a V.</t>
        </is>
      </c>
      <c r="R8" s="3">
        <f>IF(O8="Atende",3,IF(O8="Parcial",1.5,0))</f>
        <v/>
      </c>
      <c r="S8" s="3" t="inlineStr">
        <is>
          <t>Atende</t>
        </is>
      </c>
      <c r="T8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8" s="6" t="inlineStr">
        <is>
          <t>Art. 6º, §1º, IV; art. 10, II e IV; art. 13, IV e V.</t>
        </is>
      </c>
      <c r="V8" s="3">
        <f>IF(S8="Atende",3,IF(S8="Parcial",1.5,0))</f>
        <v/>
      </c>
      <c r="W8" s="3">
        <f>SUM(F8,J8,N8,R8,V8)</f>
        <v/>
      </c>
      <c r="X8" s="3" t="inlineStr">
        <is>
          <t>Doc. SEI 37070578</t>
        </is>
      </c>
    </row>
    <row r="9" ht="216" customHeight="1">
      <c r="A9" s="3" t="inlineStr">
        <is>
          <t>AP</t>
        </is>
      </c>
      <c r="B9" s="3" t="inlineStr">
        <is>
          <t>Amapá</t>
        </is>
      </c>
      <c r="C9" s="3" t="inlineStr">
        <is>
          <t>Atende</t>
        </is>
      </c>
      <c r="D9" s="5" t="inlineStr">
        <is>
          <t>Vinculada diretamente ao Gabinete ou à autoridade máxima do órgão gestor do sistema penal</t>
        </is>
      </c>
      <c r="E9" s="6" t="inlineStr">
        <is>
          <t>Art. 4º, I; art. 6º, §1º, I.</t>
        </is>
      </c>
      <c r="F9" s="3">
        <f>IF(C9="Atende",3,IF(C9="Parcial",1.5,0))</f>
        <v/>
      </c>
      <c r="G9" s="3" t="inlineStr">
        <is>
          <t>Atende</t>
        </is>
      </c>
      <c r="H9" s="5" t="inlineStr">
        <is>
          <t>Há ouvidor(a) designado(a) formalmente pela autoridade máxima do órgão gestor do sistema penal</t>
        </is>
      </c>
      <c r="I9" s="6" t="inlineStr">
        <is>
          <t>Art. 4º, I; art. 8º, caput.</t>
        </is>
      </c>
      <c r="J9" s="3">
        <f>IF(G9="Atende",3,IF(G9="Parcial",1.5,0))</f>
        <v/>
      </c>
      <c r="K9" s="3" t="inlineStr">
        <is>
          <t>Atende</t>
        </is>
      </c>
      <c r="L9" s="5" t="inlineStr">
        <is>
          <t>Indica a denominação da Ouvidoria de Serviços Penais e sua vinculação na estrutura organizacional do órgão;Estabelece prazos para resposta das áreas competentes e para devolutiva ao(à) manifestante;Define as competências básicas, compreendendo o recebimento, a análise, o encaminhamento e a resposta às manifestações;Garante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contínuas;Enuncia a finalidade da Ouvidoria de Serviços Penais como instância permanente de interlocução entre cidadãos, pessoas privadas de liberdade, familiares e servidores(as) penais e a administração penitenciária;Prevê que a Ouvidoria pode solicitar informações e documentos e requisitar apuração às áreas competentes, com prazos definidos;</t>
        </is>
      </c>
      <c r="M9" s="6" t="inlineStr">
        <is>
          <t>Art. 6º, §1º, III; art. 10, II.</t>
        </is>
      </c>
      <c r="N9" s="3">
        <f>IF(K9="Atende",3,IF(K9="Parcial",1.5,0))</f>
        <v/>
      </c>
      <c r="O9" s="3" t="inlineStr">
        <is>
          <t>Atende</t>
        </is>
      </c>
      <c r="P9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9" s="6" t="inlineStr">
        <is>
          <t>Art. 13, caput e incisos I a V.</t>
        </is>
      </c>
      <c r="R9" s="3">
        <f>IF(O9="Atende",3,IF(O9="Parcial",1.5,0))</f>
        <v/>
      </c>
      <c r="S9" s="3" t="inlineStr">
        <is>
          <t>Atende</t>
        </is>
      </c>
      <c r="T9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9" s="6" t="inlineStr">
        <is>
          <t>Art. 6º, §1º, IV; art. 10, II e IV; art. 13, IV e V.</t>
        </is>
      </c>
      <c r="V9" s="3">
        <f>IF(S9="Atende",3,IF(S9="Parcial",1.5,0))</f>
        <v/>
      </c>
      <c r="W9" s="3">
        <f>SUM(F9,J9,N9,R9,V9)</f>
        <v/>
      </c>
      <c r="X9" s="3" t="inlineStr">
        <is>
          <t>Doc. SEI 37070578</t>
        </is>
      </c>
    </row>
    <row r="10" ht="300" customHeight="1">
      <c r="A10" s="3" t="inlineStr">
        <is>
          <t>AM</t>
        </is>
      </c>
      <c r="B10" s="3" t="inlineStr">
        <is>
          <t>Amazonas</t>
        </is>
      </c>
      <c r="C10" s="3" t="inlineStr">
        <is>
          <t>Atende</t>
        </is>
      </c>
      <c r="D10" s="5" t="inlineStr">
        <is>
          <t>Vinculada diretamente ao Gabinete ou à autoridade máxima do órgão gestor do sistema penal</t>
        </is>
      </c>
      <c r="E10" s="6" t="inlineStr">
        <is>
          <t>Art. 4º, I; art. 6º, §1º, I.</t>
        </is>
      </c>
      <c r="F10" s="3">
        <f>IF(C10="Atende",3,IF(C10="Parcial",1.5,0))</f>
        <v/>
      </c>
      <c r="G10" s="3" t="inlineStr">
        <is>
          <t>Atende</t>
        </is>
      </c>
      <c r="H10" s="5" t="inlineStr">
        <is>
          <t>Há ouvidor(a) designado(a) formalmente pela autoridade máxima do órgão gestor do sistema penal</t>
        </is>
      </c>
      <c r="I10" s="6" t="inlineStr">
        <is>
          <t>Art. 4º, I; art. 8º, caput.</t>
        </is>
      </c>
      <c r="J10" s="3">
        <f>IF(G10="Atende",3,IF(G10="Parcial",1.5,0))</f>
        <v/>
      </c>
      <c r="K10" s="3" t="inlineStr">
        <is>
          <t>Atende</t>
        </is>
      </c>
      <c r="L10" s="5" t="inlineStr">
        <is>
      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      </is>
      </c>
      <c r="M10" s="6" t="inlineStr">
        <is>
          <t>Art. 6º, §1º, III; art. 10, II.</t>
        </is>
      </c>
      <c r="N10" s="3">
        <f>IF(K10="Atende",3,IF(K10="Parcial",1.5,0))</f>
        <v/>
      </c>
      <c r="O10" s="3" t="inlineStr">
        <is>
          <t>Atende</t>
        </is>
      </c>
      <c r="P10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10" s="6" t="inlineStr">
        <is>
          <t>Art. 13, caput e incisos I a V.</t>
        </is>
      </c>
      <c r="R10" s="3">
        <f>IF(O10="Atende",3,IF(O10="Parcial",1.5,0))</f>
        <v/>
      </c>
      <c r="S10" s="3" t="inlineStr">
        <is>
          <t>Atende</t>
        </is>
      </c>
      <c r="T10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10" s="6" t="inlineStr">
        <is>
          <t>Art. 6º, §1º, IV; art. 10, II e IV; art. 13, IV e V.</t>
        </is>
      </c>
      <c r="V10" s="3">
        <f>IF(S10="Atende",3,IF(S10="Parcial",1.5,0))</f>
        <v/>
      </c>
      <c r="W10" s="3">
        <f>SUM(F10,J10,N10,R10,V10)</f>
        <v/>
      </c>
      <c r="X10" s="3" t="inlineStr">
        <is>
          <t>Doc. SEI 37070578</t>
        </is>
      </c>
    </row>
    <row r="11" ht="48" customHeight="1">
      <c r="A11" s="3" t="inlineStr">
        <is>
          <t>BA</t>
        </is>
      </c>
      <c r="B11" s="3" t="inlineStr">
        <is>
          <t>Bahia</t>
        </is>
      </c>
      <c r="C11" s="3" t="inlineStr">
        <is>
          <t>Atende</t>
        </is>
      </c>
      <c r="D11" s="5" t="inlineStr">
        <is>
          <t>Vinculada diretamente ao Gabinete ou à autoridade máxima do órgão gestor do sistema penal</t>
        </is>
      </c>
      <c r="E11" s="6" t="inlineStr">
        <is>
          <t>Art. 4º, I; art. 6º, §1º, I.</t>
        </is>
      </c>
      <c r="F11" s="3">
        <f>IF(C11="Atende",3,IF(C11="Parcial",1.5,0))</f>
        <v/>
      </c>
      <c r="G11" s="3" t="inlineStr">
        <is>
          <t>Atende</t>
        </is>
      </c>
      <c r="H11" s="5" t="inlineStr">
        <is>
          <t>Há ouvidor(a) designado(a) formalmente pela autoridade máxima do órgão gestor do sistema penal</t>
        </is>
      </c>
      <c r="I11" s="6" t="inlineStr">
        <is>
          <t>Art. 4º, I; art. 8º, caput.</t>
        </is>
      </c>
      <c r="J11" s="3">
        <f>IF(G11="Atende",3,IF(G11="Parcial",1.5,0))</f>
        <v/>
      </c>
      <c r="K11" s="3" t="inlineStr">
        <is>
          <t>Atende</t>
        </is>
      </c>
      <c r="L11" s="5" t="inlineStr">
        <is>
          <t>Indica a denominação da Ouvidoria de Serviços Penais e sua vinculação na estrutura organizacional do órgão;Define as competências básicas, compreendendo o recebimento, a análise, o encaminhamento e a resposta às manifestações;</t>
        </is>
      </c>
      <c r="M11" s="6" t="inlineStr">
        <is>
          <t>Art. 6º, §1º, III; art. 10, II.</t>
        </is>
      </c>
      <c r="N11" s="3">
        <f>IF(K11="Atende",3,IF(K11="Parcial",1.5,0))</f>
        <v/>
      </c>
      <c r="O11" s="3" t="inlineStr">
        <is>
          <t>Atende</t>
        </is>
      </c>
      <c r="P11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11" s="6" t="inlineStr">
        <is>
          <t>Art. 13, caput e incisos I a V.</t>
        </is>
      </c>
      <c r="R11" s="3">
        <f>IF(O11="Atende",3,IF(O11="Parcial",1.5,0))</f>
        <v/>
      </c>
      <c r="S11" s="3" t="inlineStr">
        <is>
          <t>Atende</t>
        </is>
      </c>
      <c r="T11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11" s="6" t="inlineStr">
        <is>
          <t>Art. 6º, §1º, IV; art. 10, II e IV; art. 13, IV e V.</t>
        </is>
      </c>
      <c r="V11" s="3">
        <f>IF(S11="Atende",3,IF(S11="Parcial",1.5,0))</f>
        <v/>
      </c>
      <c r="W11" s="3">
        <f>SUM(F11,J11,N11,R11,V11)</f>
        <v/>
      </c>
      <c r="X11" s="3" t="inlineStr">
        <is>
          <t>Doc. SEI 37070578</t>
        </is>
      </c>
    </row>
    <row r="12" ht="300" customHeight="1">
      <c r="A12" s="3" t="inlineStr">
        <is>
          <t>CE</t>
        </is>
      </c>
      <c r="B12" s="3" t="inlineStr">
        <is>
          <t>Ceará</t>
        </is>
      </c>
      <c r="C12" s="3" t="inlineStr">
        <is>
          <t>Atende</t>
        </is>
      </c>
      <c r="D12" s="5" t="inlineStr">
        <is>
          <t>Vinculada diretamente ao Gabinete ou à autoridade máxima do órgão gestor do sistema penal</t>
        </is>
      </c>
      <c r="E12" s="6" t="inlineStr">
        <is>
          <t>Art. 4º, I; art. 6º, §1º, I.</t>
        </is>
      </c>
      <c r="F12" s="3">
        <f>IF(C12="Atende",3,IF(C12="Parcial",1.5,0))</f>
        <v/>
      </c>
      <c r="G12" s="3" t="inlineStr">
        <is>
          <t>Atende</t>
        </is>
      </c>
      <c r="H12" s="5" t="inlineStr">
        <is>
          <t>Há ouvidor(a) designado(a) formalmente pela autoridade máxima do órgão gestor do sistema penal</t>
        </is>
      </c>
      <c r="I12" s="6" t="inlineStr">
        <is>
          <t>Art. 4º, I; art. 8º, caput.</t>
        </is>
      </c>
      <c r="J12" s="3">
        <f>IF(G12="Atende",3,IF(G12="Parcial",1.5,0))</f>
        <v/>
      </c>
      <c r="K12" s="3" t="inlineStr">
        <is>
          <t>Atende</t>
        </is>
      </c>
      <c r="L12" s="5" t="inlineStr">
        <is>
      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      </is>
      </c>
      <c r="M12" s="6" t="inlineStr">
        <is>
          <t>Art. 6º, §1º, III; art. 10, II.</t>
        </is>
      </c>
      <c r="N12" s="3">
        <f>IF(K12="Atende",3,IF(K12="Parcial",1.5,0))</f>
        <v/>
      </c>
      <c r="O12" s="3" t="inlineStr">
        <is>
          <t>Atende</t>
        </is>
      </c>
      <c r="P12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12" s="6" t="inlineStr">
        <is>
          <t>Art. 13, caput e incisos I a V.</t>
        </is>
      </c>
      <c r="R12" s="3">
        <f>IF(O12="Atende",3,IF(O12="Parcial",1.5,0))</f>
        <v/>
      </c>
      <c r="S12" s="3" t="inlineStr">
        <is>
          <t>Atende</t>
        </is>
      </c>
      <c r="T12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12" s="6" t="inlineStr">
        <is>
          <t>Art. 6º, §1º, IV; art. 10, II e IV; art. 13, IV e V.</t>
        </is>
      </c>
      <c r="V12" s="3">
        <f>IF(S12="Atende",3,IF(S12="Parcial",1.5,0))</f>
        <v/>
      </c>
      <c r="W12" s="3">
        <f>SUM(F12,J12,N12,R12,V12)</f>
        <v/>
      </c>
      <c r="X12" s="3" t="inlineStr">
        <is>
          <t>Doc. SEI 37070578</t>
        </is>
      </c>
    </row>
    <row r="13" ht="48" customHeight="1">
      <c r="A13" s="3" t="inlineStr">
        <is>
          <t>DF</t>
        </is>
      </c>
      <c r="B13" s="3" t="inlineStr">
        <is>
          <t>Distrito Federal</t>
        </is>
      </c>
      <c r="C13" s="3" t="inlineStr">
        <is>
          <t>Atende</t>
        </is>
      </c>
      <c r="D13" s="5" t="inlineStr">
        <is>
          <t>Vinculada diretamente ao Gabinete ou à autoridade máxima do órgão gestor do sistema penal</t>
        </is>
      </c>
      <c r="E13" s="6" t="inlineStr">
        <is>
          <t>Art. 4º, I; art. 6º, §1º, I.</t>
        </is>
      </c>
      <c r="F13" s="3">
        <f>IF(C13="Atende",3,IF(C13="Parcial",1.5,0))</f>
        <v/>
      </c>
      <c r="G13" s="3" t="inlineStr">
        <is>
          <t>Atende</t>
        </is>
      </c>
      <c r="H13" s="5" t="inlineStr">
        <is>
          <t>Há ouvidor(a) designado(a) formalmente pela autoridade máxima do órgão gestor do sistema penal</t>
        </is>
      </c>
      <c r="I13" s="6" t="inlineStr">
        <is>
          <t>Art. 4º, I; art. 8º, caput.</t>
        </is>
      </c>
      <c r="J13" s="3">
        <f>IF(G13="Atende",3,IF(G13="Parcial",1.5,0))</f>
        <v/>
      </c>
      <c r="K13" s="3" t="inlineStr">
        <is>
          <t>Não atende</t>
        </is>
      </c>
      <c r="L13" s="5" t="inlineStr">
        <is>
          <t>Indica a denominação da Ouvidoria de Serviços Penais e sua vinculação na estrutura organizacional do órgão;</t>
        </is>
      </c>
      <c r="M13" s="6" t="inlineStr">
        <is>
          <t>Art. 6º, §1º, III; art. 10, II.</t>
        </is>
      </c>
      <c r="N13" s="3">
        <f>IF(K13="Atende",3,IF(K13="Parcial",1.5,0))</f>
        <v/>
      </c>
      <c r="O13" s="3" t="inlineStr">
        <is>
          <t>Atende</t>
        </is>
      </c>
      <c r="P13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13" s="6" t="inlineStr">
        <is>
          <t>Art. 13, caput e incisos I a V.</t>
        </is>
      </c>
      <c r="R13" s="3">
        <f>IF(O13="Atende",3,IF(O13="Parcial",1.5,0))</f>
        <v/>
      </c>
      <c r="S13" s="3" t="inlineStr">
        <is>
          <t>Atende</t>
        </is>
      </c>
      <c r="T13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13" s="6" t="inlineStr">
        <is>
          <t>Art. 6º, §1º, IV; art. 10, II e IV; art. 13, IV e V.</t>
        </is>
      </c>
      <c r="V13" s="3">
        <f>IF(S13="Atende",3,IF(S13="Parcial",1.5,0))</f>
        <v/>
      </c>
      <c r="W13" s="3">
        <f>SUM(F13,J13,N13,R13,V13)</f>
        <v/>
      </c>
      <c r="X13" s="3" t="inlineStr">
        <is>
          <t>Doc. SEI 37070578</t>
        </is>
      </c>
    </row>
    <row r="14" ht="204" customHeight="1">
      <c r="A14" s="3" t="inlineStr">
        <is>
          <t>ES</t>
        </is>
      </c>
      <c r="B14" s="3" t="inlineStr">
        <is>
          <t>Espírito Santo — Polícia Penal</t>
        </is>
      </c>
      <c r="C14" s="3" t="inlineStr">
        <is>
          <t>Atende</t>
        </is>
      </c>
      <c r="D14" s="5" t="inlineStr">
        <is>
          <t>Vinculada diretamente ao Gabinete ou à autoridade máxima do órgão gestor do sistema penal</t>
        </is>
      </c>
      <c r="E14" s="6" t="inlineStr">
        <is>
          <t>Art. 4º, I; art. 6º, §1º, I.</t>
        </is>
      </c>
      <c r="F14" s="3">
        <f>IF(C14="Atende",3,IF(C14="Parcial",1.5,0))</f>
        <v/>
      </c>
      <c r="G14" s="3" t="inlineStr">
        <is>
          <t>Atende</t>
        </is>
      </c>
      <c r="H14" s="5" t="inlineStr">
        <is>
          <t>Há ouvidor(a) designado(a) formalmente pela autoridade máxima do órgão gestor do sistema penal</t>
        </is>
      </c>
      <c r="I14" s="6" t="inlineStr">
        <is>
          <t>Art. 4º, I; art. 8º, caput.</t>
        </is>
      </c>
      <c r="J14" s="3">
        <f>IF(G14="Atende",3,IF(G14="Parcial",1.5,0))</f>
        <v/>
      </c>
      <c r="K14" s="3" t="inlineStr">
        <is>
          <t>Atende</t>
        </is>
      </c>
      <c r="L14" s="5" t="inlineStr">
        <is>
          <t>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Ouvidoria;Define as competências básicas, compreendendo o recebimento, a análise, o encaminhamento e a resposta às manifestações;Garante a proteção da identidade do(a) manifestante e a confidencialidade das informações;Define mandato, regras de substituição e regras de confidencialidade aplicáveis ao(à) Ouvidor(a) e à equipe;Prevê que a resposta ao(à) manifestante deve ser prestada em linguagem clara, acessível e respeitosa;Indica a denominação da Ouvidoria de Serviços Penais e sua vinculação na estrutura organizacional do órgão;</t>
        </is>
      </c>
      <c r="M14" s="6" t="inlineStr">
        <is>
          <t>Art. 6º, §1º, III; art. 10, II.</t>
        </is>
      </c>
      <c r="N14" s="3">
        <f>IF(K14="Atende",3,IF(K14="Parcial",1.5,0))</f>
        <v/>
      </c>
      <c r="O14" s="3" t="inlineStr">
        <is>
          <t>Atende</t>
        </is>
      </c>
      <c r="P14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14" s="6" t="inlineStr">
        <is>
          <t>Art. 13, caput e incisos I a V.</t>
        </is>
      </c>
      <c r="R14" s="3">
        <f>IF(O14="Atende",3,IF(O14="Parcial",1.5,0))</f>
        <v/>
      </c>
      <c r="S14" s="3" t="inlineStr">
        <is>
          <t>Atende</t>
        </is>
      </c>
      <c r="T14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14" s="6" t="inlineStr">
        <is>
          <t>Art. 6º, §1º, IV; art. 10, II e IV; art. 13, IV e V.</t>
        </is>
      </c>
      <c r="V14" s="3">
        <f>IF(S14="Atende",3,IF(S14="Parcial",1.5,0))</f>
        <v/>
      </c>
      <c r="W14" s="3">
        <f>SUM(F14,J14,N14,R14,V14)</f>
        <v/>
      </c>
      <c r="X14" s="3" t="inlineStr">
        <is>
          <t>Doc. SEI 37070578</t>
        </is>
      </c>
    </row>
    <row r="15" ht="156" customHeight="1">
      <c r="A15" s="3" t="inlineStr">
        <is>
          <t>ES</t>
        </is>
      </c>
      <c r="B15" s="3" t="inlineStr">
        <is>
          <t>Espírito Santo — SEJUS/ES</t>
        </is>
      </c>
      <c r="C15" s="3" t="inlineStr">
        <is>
          <t>Atende</t>
        </is>
      </c>
      <c r="D15" s="5" t="inlineStr">
        <is>
          <t>Vinculada diretamente ao Gabinete ou à autoridade máxima do órgão gestor do sistema penal</t>
        </is>
      </c>
      <c r="E15" s="6" t="inlineStr">
        <is>
          <t>Art. 4º, I; art. 6º, §1º, I.</t>
        </is>
      </c>
      <c r="F15" s="3">
        <f>IF(C15="Atende",3,IF(C15="Parcial",1.5,0))</f>
        <v/>
      </c>
      <c r="G15" s="3" t="inlineStr">
        <is>
          <t>Atende</t>
        </is>
      </c>
      <c r="H15" s="5" t="inlineStr">
        <is>
          <t>Há ouvidor(a) designado(a) formalmente pela autoridade máxima do órgão gestor do sistema penal</t>
        </is>
      </c>
      <c r="I15" s="6" t="inlineStr">
        <is>
          <t>Art. 4º, I; art. 8º, caput.</t>
        </is>
      </c>
      <c r="J15" s="3">
        <f>IF(G15="Atende",3,IF(G15="Parcial",1.5,0))</f>
        <v/>
      </c>
      <c r="K15" s="3" t="inlineStr">
        <is>
          <t>Atende</t>
        </is>
      </c>
      <c r="L15" s="5" t="inlineStr">
        <is>
          <t>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respeitosa;Define as competências básicas, compreendendo o recebimento, a análise, o encaminhamento e a resposta às manifestações;Estabelece o dever de colaboração das áreas técnicas e administrativas do órgão com as demandas encaminhadas pela Ouvidoria;</t>
        </is>
      </c>
      <c r="M15" s="6" t="inlineStr">
        <is>
          <t>Art. 6º, §1º, III; art. 10, II.</t>
        </is>
      </c>
      <c r="N15" s="3">
        <f>IF(K15="Atende",3,IF(K15="Parcial",1.5,0))</f>
        <v/>
      </c>
      <c r="O15" s="3" t="inlineStr">
        <is>
          <t>Atende</t>
        </is>
      </c>
      <c r="P15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15" s="6" t="inlineStr">
        <is>
          <t>Art. 13, caput e incisos I a V.</t>
        </is>
      </c>
      <c r="R15" s="3">
        <f>IF(O15="Atende",3,IF(O15="Parcial",1.5,0))</f>
        <v/>
      </c>
      <c r="S15" s="3" t="inlineStr">
        <is>
          <t>Atende</t>
        </is>
      </c>
      <c r="T15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15" s="6" t="inlineStr">
        <is>
          <t>Art. 6º, §1º, IV; art. 10, II e IV; art. 13, IV e V.</t>
        </is>
      </c>
      <c r="V15" s="3">
        <f>IF(S15="Atende",3,IF(S15="Parcial",1.5,0))</f>
        <v/>
      </c>
      <c r="W15" s="3">
        <f>SUM(F15,J15,N15,R15,V15)</f>
        <v/>
      </c>
      <c r="X15" s="3" t="inlineStr">
        <is>
          <t>Doc. SEI 37070578</t>
        </is>
      </c>
    </row>
    <row r="16" ht="324" customHeight="1">
      <c r="A16" s="3" t="inlineStr">
        <is>
          <t>GO</t>
        </is>
      </c>
      <c r="B16" s="3" t="inlineStr">
        <is>
          <t>Goiás</t>
        </is>
      </c>
      <c r="C16" s="3" t="inlineStr">
        <is>
          <t>Atende</t>
        </is>
      </c>
      <c r="D16" s="5" t="inlineStr">
        <is>
          <t>Vinculada diretamente ao Gabinete ou à autoridade máxima do órgão gestor do sistema penal</t>
        </is>
      </c>
      <c r="E16" s="6" t="inlineStr">
        <is>
          <t>Art. 4º, I; art. 6º, §1º, I.</t>
        </is>
      </c>
      <c r="F16" s="3">
        <f>IF(C16="Atende",3,IF(C16="Parcial",1.5,0))</f>
        <v/>
      </c>
      <c r="G16" s="3" t="inlineStr">
        <is>
          <t>Atende</t>
        </is>
      </c>
      <c r="H16" s="5" t="inlineStr">
        <is>
          <t>Há ouvidor(a) designado(a) formalmente pela autoridade máxima do órgão gestor do sistema penal</t>
        </is>
      </c>
      <c r="I16" s="6" t="inlineStr">
        <is>
          <t>Art. 4º, I; art. 8º, caput.</t>
        </is>
      </c>
      <c r="J16" s="3">
        <f>IF(G16="Atende",3,IF(G16="Parcial",1.5,0))</f>
        <v/>
      </c>
      <c r="K16" s="3" t="inlineStr">
        <is>
          <t>Atende</t>
        </is>
      </c>
      <c r="L16" s="5" t="inlineStr">
        <is>
          <t>Define mandato, regras de substituição e regras de confidencialidade aplicáveis ao(à) Ouvidor(a) e à equipe;Enuncia a finalidade da Ouvidoria de Serviços Penais como instância permanente de interlocução entre cidadãos, pessoas privadas de liberdade, familiares e servidores(as) penais e a administração penitenciária;Prevê a elaboração e publicação de relatórios periódicos de atividades, com dados estatísticos e indicadores de desempenho;Determina que a Ouvidoria deve identificar padrões e tendências nas manifestações para elaborar diagnósticos e propor melhorias contínuas;Prevê que a resposta ao(à) manifestante deve ser prestada em linguagem clara, acessível e respeitosa;Garante a proteção da identidade do(a) manifestante e a confidencialidade das informações;Estabelece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</t>
        </is>
      </c>
      <c r="M16" s="6" t="inlineStr">
        <is>
          <t>Art. 6º, §1º, III; art. 10, II.</t>
        </is>
      </c>
      <c r="N16" s="3">
        <f>IF(K16="Atende",3,IF(K16="Parcial",1.5,0))</f>
        <v/>
      </c>
      <c r="O16" s="3" t="inlineStr">
        <is>
          <t>Atende</t>
        </is>
      </c>
      <c r="P16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16" s="6" t="inlineStr">
        <is>
          <t>Art. 13, caput e incisos I a V.</t>
        </is>
      </c>
      <c r="R16" s="3">
        <f>IF(O16="Atende",3,IF(O16="Parcial",1.5,0))</f>
        <v/>
      </c>
      <c r="S16" s="3" t="inlineStr">
        <is>
          <t>Atende</t>
        </is>
      </c>
      <c r="T16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16" s="6" t="inlineStr">
        <is>
          <t>Art. 6º, §1º, IV; art. 10, II e IV; art. 13, IV e V.</t>
        </is>
      </c>
      <c r="V16" s="3">
        <f>IF(S16="Atende",3,IF(S16="Parcial",1.5,0))</f>
        <v/>
      </c>
      <c r="W16" s="3">
        <f>SUM(F16,J16,N16,R16,V16)</f>
        <v/>
      </c>
      <c r="X16" s="3" t="inlineStr">
        <is>
          <t>Doc. SEI 37070578</t>
        </is>
      </c>
    </row>
    <row r="17" ht="216" customHeight="1">
      <c r="A17" s="3" t="inlineStr">
        <is>
          <t>MA</t>
        </is>
      </c>
      <c r="B17" s="3" t="inlineStr">
        <is>
          <t>Maranhão</t>
        </is>
      </c>
      <c r="C17" s="3" t="inlineStr">
        <is>
          <t>Atende</t>
        </is>
      </c>
      <c r="D17" s="5" t="inlineStr">
        <is>
          <t>Vinculada diretamente ao Gabinete ou à autoridade máxima do órgão gestor do sistema penal</t>
        </is>
      </c>
      <c r="E17" s="6" t="inlineStr">
        <is>
          <t>Art. 4º, I; art. 6º, §1º, I.</t>
        </is>
      </c>
      <c r="F17" s="3">
        <f>IF(C17="Atende",3,IF(C17="Parcial",1.5,0))</f>
        <v/>
      </c>
      <c r="G17" s="3" t="inlineStr">
        <is>
          <t>Atende</t>
        </is>
      </c>
      <c r="H17" s="5" t="inlineStr">
        <is>
          <t>Há ouvidor(a) designado(a) formalmente pela autoridade máxima do órgão gestor do sistema penal</t>
        </is>
      </c>
      <c r="I17" s="6" t="inlineStr">
        <is>
          <t>Art. 4º, I; art. 8º, caput.</t>
        </is>
      </c>
      <c r="J17" s="3">
        <f>IF(G17="Atende",3,IF(G17="Parcial",1.5,0))</f>
        <v/>
      </c>
      <c r="K17" s="3" t="inlineStr">
        <is>
          <t>Atende</t>
        </is>
      </c>
      <c r="L17" s="5" t="inlineStr">
        <is>
          <t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Ouvidoria;Enuncia a finalidade da Ouvidoria de Serviços Penais como instância permanente de interlocução entre cidadãos, pessoas privadas de liberdade, familiares e servidores(as) penais e a administração penitenciária;Determina que a Ouvidoria deve identificar padrões e tendências nas manifestações para elaborar diagnósticos e propor melhorias contínuas;Prevê que a Ouvidoria pode solicitar informações e documentos e requisitar apuração às áreas competentes, com prazos definidos;Especifica, entre o público atendido, cidadãos, servidores(as), pessoas privadas de liberdade e seus familiares;</t>
        </is>
      </c>
      <c r="M17" s="6" t="inlineStr">
        <is>
          <t>Art. 6º, §1º, III; art. 10, II.</t>
        </is>
      </c>
      <c r="N17" s="3">
        <f>IF(K17="Atende",3,IF(K17="Parcial",1.5,0))</f>
        <v/>
      </c>
      <c r="O17" s="3" t="inlineStr">
        <is>
          <t>Atende</t>
        </is>
      </c>
      <c r="P17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17" s="6" t="inlineStr">
        <is>
          <t>Art. 13, caput e incisos I a V.</t>
        </is>
      </c>
      <c r="R17" s="3">
        <f>IF(O17="Atende",3,IF(O17="Parcial",1.5,0))</f>
        <v/>
      </c>
      <c r="S17" s="3" t="inlineStr">
        <is>
          <t>Atende</t>
        </is>
      </c>
      <c r="T17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17" s="6" t="inlineStr">
        <is>
          <t>Art. 6º, §1º, IV; art. 10, II e IV; art. 13, IV e V.</t>
        </is>
      </c>
      <c r="V17" s="3">
        <f>IF(S17="Atende",3,IF(S17="Parcial",1.5,0))</f>
        <v/>
      </c>
      <c r="W17" s="3">
        <f>SUM(F17,J17,N17,R17,V17)</f>
        <v/>
      </c>
      <c r="X17" s="3" t="inlineStr">
        <is>
          <t>Doc. SEI 37070578</t>
        </is>
      </c>
    </row>
    <row r="18" ht="324" customHeight="1">
      <c r="A18" s="3" t="inlineStr">
        <is>
          <t>MT</t>
        </is>
      </c>
      <c r="B18" s="3" t="inlineStr">
        <is>
          <t>Mato Grosso</t>
        </is>
      </c>
      <c r="C18" s="3" t="inlineStr">
        <is>
          <t>Atende</t>
        </is>
      </c>
      <c r="D18" s="5" t="inlineStr">
        <is>
          <t>Vinculada diretamente ao Gabinete ou à autoridade máxima do órgão gestor do sistema penal</t>
        </is>
      </c>
      <c r="E18" s="6" t="inlineStr">
        <is>
          <t>Art. 4º, I; art. 6º, §1º, I.</t>
        </is>
      </c>
      <c r="F18" s="3">
        <f>IF(C18="Atende",3,IF(C18="Parcial",1.5,0))</f>
        <v/>
      </c>
      <c r="G18" s="3" t="inlineStr">
        <is>
          <t>Atende</t>
        </is>
      </c>
      <c r="H18" s="5" t="inlineStr">
        <is>
          <t>Há ouvidor(a) designado(a) formalmente pela autoridade máxima do órgão gestor do sistema penal</t>
        </is>
      </c>
      <c r="I18" s="6" t="inlineStr">
        <is>
          <t>Art. 4º, I; art. 8º, caput.</t>
        </is>
      </c>
      <c r="J18" s="3">
        <f>IF(G18="Atende",3,IF(G18="Parcial",1.5,0))</f>
        <v/>
      </c>
      <c r="K18" s="3" t="inlineStr">
        <is>
          <t>Atende</t>
        </is>
      </c>
      <c r="L18" s="5" t="inlineStr">
        <is>
      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equipe;Prevê que a Ouvidoria pode solicitar informações e documentos e requisitar apuração às áreas competentes, com prazos definidos;</t>
        </is>
      </c>
      <c r="M18" s="6" t="inlineStr">
        <is>
          <t>Art. 6º, §1º, III; art. 10, II.</t>
        </is>
      </c>
      <c r="N18" s="3">
        <f>IF(K18="Atende",3,IF(K18="Parcial",1.5,0))</f>
        <v/>
      </c>
      <c r="O18" s="3" t="inlineStr">
        <is>
          <t>Atende</t>
        </is>
      </c>
      <c r="P18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18" s="6" t="inlineStr">
        <is>
          <t>Art. 13, caput e incisos I a V.</t>
        </is>
      </c>
      <c r="R18" s="3">
        <f>IF(O18="Atende",3,IF(O18="Parcial",1.5,0))</f>
        <v/>
      </c>
      <c r="S18" s="3" t="inlineStr">
        <is>
          <t>Atende</t>
        </is>
      </c>
      <c r="T18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18" s="6" t="inlineStr">
        <is>
          <t>Art. 6º, §1º, IV; art. 10, II e IV; art. 13, IV e V.</t>
        </is>
      </c>
      <c r="V18" s="3">
        <f>IF(S18="Atende",3,IF(S18="Parcial",1.5,0))</f>
        <v/>
      </c>
      <c r="W18" s="3">
        <f>SUM(F18,J18,N18,R18,V18)</f>
        <v/>
      </c>
      <c r="X18" s="3" t="inlineStr">
        <is>
          <t>Doc. SEI 37070578</t>
        </is>
      </c>
    </row>
    <row r="19" ht="48" customHeight="1">
      <c r="A19" s="3" t="inlineStr">
        <is>
          <t>MS</t>
        </is>
      </c>
      <c r="B19" s="3" t="inlineStr">
        <is>
          <t>Mato Grosso do Sul</t>
        </is>
      </c>
      <c r="C19" s="3" t="inlineStr">
        <is>
          <t>Atende</t>
        </is>
      </c>
      <c r="D19" s="5" t="inlineStr">
        <is>
          <t>Vinculada diretamente ao Gabinete ou à autoridade máxima do órgão gestor do sistema penal</t>
        </is>
      </c>
      <c r="E19" s="6" t="inlineStr">
        <is>
          <t>Art. 4º, I; art. 6º, §1º, I.</t>
        </is>
      </c>
      <c r="F19" s="3">
        <f>IF(C19="Atende",3,IF(C19="Parcial",1.5,0))</f>
        <v/>
      </c>
      <c r="G19" s="3" t="inlineStr">
        <is>
          <t>Atende</t>
        </is>
      </c>
      <c r="H19" s="5" t="inlineStr">
        <is>
          <t>Há ouvidor(a) designado(a) formalmente pela autoridade máxima do órgão gestor do sistema penal</t>
        </is>
      </c>
      <c r="I19" s="6" t="inlineStr">
        <is>
          <t>Art. 4º, I; art. 8º, caput.</t>
        </is>
      </c>
      <c r="J19" s="3">
        <f>IF(G19="Atende",3,IF(G19="Parcial",1.5,0))</f>
        <v/>
      </c>
      <c r="K19" s="3" t="inlineStr">
        <is>
          <t>Não atende</t>
        </is>
      </c>
      <c r="L19" s="5" t="inlineStr">
        <is>
          <t>Não há normativa;</t>
        </is>
      </c>
      <c r="M19" s="6" t="inlineStr">
        <is>
          <t>Art. 6º, §1º, III; art. 10, II.</t>
        </is>
      </c>
      <c r="N19" s="3">
        <f>IF(K19="Atende",3,IF(K19="Parcial",1.5,0))</f>
        <v/>
      </c>
      <c r="O19" s="3" t="inlineStr">
        <is>
          <t>Atende</t>
        </is>
      </c>
      <c r="P19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19" s="6" t="inlineStr">
        <is>
          <t>Art. 13, caput e incisos I a V.</t>
        </is>
      </c>
      <c r="R19" s="3">
        <f>IF(O19="Atende",3,IF(O19="Parcial",1.5,0))</f>
        <v/>
      </c>
      <c r="S19" s="3" t="inlineStr">
        <is>
          <t>Atende</t>
        </is>
      </c>
      <c r="T19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19" s="6" t="inlineStr">
        <is>
          <t>Art. 6º, §1º, IV; art. 10, II e IV; art. 13, IV e V.</t>
        </is>
      </c>
      <c r="V19" s="3">
        <f>IF(S19="Atende",3,IF(S19="Parcial",1.5,0))</f>
        <v/>
      </c>
      <c r="W19" s="3">
        <f>SUM(F19,J19,N19,R19,V19)</f>
        <v/>
      </c>
      <c r="X19" s="3" t="inlineStr">
        <is>
          <t>Doc. SEI 37070578</t>
        </is>
      </c>
    </row>
    <row r="20" ht="276" customHeight="1">
      <c r="A20" s="3" t="inlineStr">
        <is>
          <t>MG</t>
        </is>
      </c>
      <c r="B20" s="3" t="inlineStr">
        <is>
          <t>Minas Gerais</t>
        </is>
      </c>
      <c r="C20" s="3" t="inlineStr">
        <is>
          <t>Atende</t>
        </is>
      </c>
      <c r="D20" s="5" t="inlineStr">
        <is>
          <t>A Ouvidoria do Sistema Penitenciário e Socieducativo é uma das 10 ouvidorias temáticas integrantes da estrutura da Ouvidoria-Geral do Estado de Minas Gerais (OGE/MG), órgão autônomo subordinado ao Governador do Estado.</t>
        </is>
      </c>
      <c r="E20" s="6" t="inlineStr">
        <is>
          <t>Art. 4º, I; art. 6º, §1º, I.</t>
        </is>
      </c>
      <c r="F20" s="3">
        <f>IF(C20="Atende",3,IF(C20="Parcial",1.5,0))</f>
        <v/>
      </c>
      <c r="G20" s="3" t="inlineStr">
        <is>
          <t>Atende</t>
        </is>
      </c>
      <c r="H20" s="5" t="inlineStr">
        <is>
          <t>O cargo de Ouvidor do Sistema Penitenciário e Socioeducativo é provido por ato do Governador do Estado.</t>
        </is>
      </c>
      <c r="I20" s="6" t="inlineStr">
        <is>
          <t>Art. 4º, I; art. 8º, caput.</t>
        </is>
      </c>
      <c r="J20" s="3">
        <f>IF(G20="Atende",3,IF(G20="Parcial",1.5,0))</f>
        <v/>
      </c>
      <c r="K20" s="3" t="inlineStr">
        <is>
          <t>Atende</t>
        </is>
      </c>
      <c r="L20" s="5" t="inlineStr">
        <is>
          <t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      </is>
      </c>
      <c r="M20" s="6" t="inlineStr">
        <is>
          <t>Art. 6º, §1º, III; art. 10, II.</t>
        </is>
      </c>
      <c r="N20" s="3">
        <f>IF(K20="Atende",3,IF(K20="Parcial",1.5,0))</f>
        <v/>
      </c>
      <c r="O20" s="3" t="inlineStr">
        <is>
          <t>Atende</t>
        </is>
      </c>
      <c r="P20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20" s="6" t="inlineStr">
        <is>
          <t>Art. 13, caput e incisos I a V.</t>
        </is>
      </c>
      <c r="R20" s="3">
        <f>IF(O20="Atende",3,IF(O20="Parcial",1.5,0))</f>
        <v/>
      </c>
      <c r="S20" s="3" t="inlineStr">
        <is>
          <t>Atende</t>
        </is>
      </c>
      <c r="T20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20" s="6" t="inlineStr">
        <is>
          <t>Art. 6º, §1º, IV; art. 10, II e IV; art. 13, IV e V.</t>
        </is>
      </c>
      <c r="V20" s="3">
        <f>IF(S20="Atende",3,IF(S20="Parcial",1.5,0))</f>
        <v/>
      </c>
      <c r="W20" s="3">
        <f>SUM(F20,J20,N20,R20,V20)</f>
        <v/>
      </c>
      <c r="X20" s="3" t="inlineStr">
        <is>
          <t>Doc. SEI 37070578</t>
        </is>
      </c>
    </row>
    <row r="21" ht="24" customHeight="1">
      <c r="A21" s="3" t="inlineStr">
        <is>
          <t>PA</t>
        </is>
      </c>
      <c r="B21" s="3" t="inlineStr">
        <is>
          <t>Pará</t>
        </is>
      </c>
      <c r="C21" s="3" t="inlineStr">
        <is>
          <t>Sem evidência</t>
        </is>
      </c>
      <c r="D21" s="5" t="inlineStr">
        <is>
          <t>Não se aplica (não há ouvidoria própria prevista)</t>
        </is>
      </c>
      <c r="E21" s="6" t="inlineStr">
        <is>
          <t>Art. 4º, I; art. 6º, §1º, I.</t>
        </is>
      </c>
      <c r="F21" s="3">
        <f>IF(C21="Atende",3,IF(C21="Parcial",1.5,0))</f>
        <v/>
      </c>
      <c r="G21" s="3" t="inlineStr">
        <is>
          <t>Não atende</t>
        </is>
      </c>
      <c r="H21" s="5" t="inlineStr">
        <is>
          <t>Há ponto focal informal, sem designação formal</t>
        </is>
      </c>
      <c r="I21" s="6" t="inlineStr">
        <is>
          <t>Art. 4º, I; art. 8º, caput.</t>
        </is>
      </c>
      <c r="J21" s="3">
        <f>IF(G21="Atende",3,IF(G21="Parcial",1.5,0))</f>
        <v/>
      </c>
      <c r="K21" s="3" t="inlineStr">
        <is>
          <t>Não atende</t>
        </is>
      </c>
      <c r="L21" s="5" t="inlineStr">
        <is>
          <t>Não há Ouvidoria constituída na Secretaria;</t>
        </is>
      </c>
      <c r="M21" s="6" t="inlineStr">
        <is>
          <t>Art. 6º, §1º, III; art. 10, II.</t>
        </is>
      </c>
      <c r="N21" s="3">
        <f>IF(K21="Atende",3,IF(K21="Parcial",1.5,0))</f>
        <v/>
      </c>
      <c r="O21" s="3" t="inlineStr">
        <is>
          <t>Não atende</t>
        </is>
      </c>
      <c r="P21" s="5" t="inlineStr">
        <is>
          <t>Não há Ouvidoria consituída</t>
        </is>
      </c>
      <c r="Q21" s="6" t="inlineStr">
        <is>
          <t>Art. 13, caput e incisos I a V.</t>
        </is>
      </c>
      <c r="R21" s="3">
        <f>IF(O21="Atende",3,IF(O21="Parcial",1.5,0))</f>
        <v/>
      </c>
      <c r="S21" s="3" t="inlineStr">
        <is>
          <t>Não atende</t>
        </is>
      </c>
      <c r="T21" s="5" t="inlineStr">
        <is>
          <t>Não há Ouvidoria consituída</t>
        </is>
      </c>
      <c r="U21" s="6" t="inlineStr">
        <is>
          <t>Art. 6º, §1º, IV; art. 10, II e IV; art. 13, IV e V.</t>
        </is>
      </c>
      <c r="V21" s="3">
        <f>IF(S21="Atende",3,IF(S21="Parcial",1.5,0))</f>
        <v/>
      </c>
      <c r="W21" s="3">
        <f>SUM(F21,J21,N21,R21,V21)</f>
        <v/>
      </c>
      <c r="X21" s="3" t="inlineStr">
        <is>
          <t>Doc. SEI 37070578</t>
        </is>
      </c>
    </row>
    <row r="22" ht="108" customHeight="1">
      <c r="A22" s="3" t="inlineStr">
        <is>
          <t>PB</t>
        </is>
      </c>
      <c r="B22" s="3" t="inlineStr">
        <is>
          <t>Paraíba</t>
        </is>
      </c>
      <c r="C22" s="3" t="inlineStr">
        <is>
          <t>Atende</t>
        </is>
      </c>
      <c r="D22" s="5" t="inlineStr">
        <is>
          <t>Vinculada diretamente ao Gabinete ou à autoridade máxima do órgão gestor do sistema penal</t>
        </is>
      </c>
      <c r="E22" s="6" t="inlineStr">
        <is>
          <t>Art. 4º, I; art. 6º, §1º, I.</t>
        </is>
      </c>
      <c r="F22" s="3">
        <f>IF(C22="Atende",3,IF(C22="Parcial",1.5,0))</f>
        <v/>
      </c>
      <c r="G22" s="3" t="inlineStr">
        <is>
          <t>Atende</t>
        </is>
      </c>
      <c r="H22" s="5" t="inlineStr">
        <is>
          <t>Há ouvidor(a) designado(a) formalmente pela autoridade máxima do órgão gestor do sistema penal</t>
        </is>
      </c>
      <c r="I22" s="6" t="inlineStr">
        <is>
          <t>Art. 4º, I; art. 8º, caput.</t>
        </is>
      </c>
      <c r="J22" s="3">
        <f>IF(G22="Atende",3,IF(G22="Parcial",1.5,0))</f>
        <v/>
      </c>
      <c r="K22" s="3" t="inlineStr">
        <is>
          <t>Atende</t>
        </is>
      </c>
      <c r="L22" s="5" t="inlineStr">
        <is>
          <t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Ouvidoria;Define mandato, regras de substituição e regras de confidencialidade aplicáveis ao(à) Ouvidor(a) e à equipe;</t>
        </is>
      </c>
      <c r="M22" s="6" t="inlineStr">
        <is>
          <t>Art. 6º, §1º, III; art. 10, II.</t>
        </is>
      </c>
      <c r="N22" s="3">
        <f>IF(K22="Atende",3,IF(K22="Parcial",1.5,0))</f>
        <v/>
      </c>
      <c r="O22" s="3" t="inlineStr">
        <is>
          <t>Atende</t>
        </is>
      </c>
      <c r="P22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22" s="6" t="inlineStr">
        <is>
          <t>Art. 13, caput e incisos I a V.</t>
        </is>
      </c>
      <c r="R22" s="3">
        <f>IF(O22="Atende",3,IF(O22="Parcial",1.5,0))</f>
        <v/>
      </c>
      <c r="S22" s="3" t="inlineStr">
        <is>
          <t>Atende</t>
        </is>
      </c>
      <c r="T22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22" s="6" t="inlineStr">
        <is>
          <t>Art. 6º, §1º, IV; art. 10, II e IV; art. 13, IV e V.</t>
        </is>
      </c>
      <c r="V22" s="3">
        <f>IF(S22="Atende",3,IF(S22="Parcial",1.5,0))</f>
        <v/>
      </c>
      <c r="W22" s="3">
        <f>SUM(F22,J22,N22,R22,V22)</f>
        <v/>
      </c>
      <c r="X22" s="3" t="inlineStr">
        <is>
          <t>Doc. SEI 37070578</t>
        </is>
      </c>
    </row>
    <row r="23" ht="48" customHeight="1">
      <c r="A23" s="3" t="inlineStr">
        <is>
          <t>PR</t>
        </is>
      </c>
      <c r="B23" s="3" t="inlineStr">
        <is>
          <t>Paraná</t>
        </is>
      </c>
      <c r="C23" s="3" t="inlineStr">
        <is>
          <t>Atende</t>
        </is>
      </c>
      <c r="D23" s="5" t="inlineStr">
        <is>
          <t>Vinculada diretamente ao Gabinete ou à autoridade máxima do órgão gestor do sistema penal</t>
        </is>
      </c>
      <c r="E23" s="6" t="inlineStr">
        <is>
          <t>Art. 4º, I; art. 6º, §1º, I.</t>
        </is>
      </c>
      <c r="F23" s="3">
        <f>IF(C23="Atende",3,IF(C23="Parcial",1.5,0))</f>
        <v/>
      </c>
      <c r="G23" s="3" t="inlineStr">
        <is>
          <t>Atende</t>
        </is>
      </c>
      <c r="H23" s="5" t="inlineStr">
        <is>
          <t>Há ouvidor(a) designado(a) formalmente pela autoridade máxima do órgão gestor do sistema penal</t>
        </is>
      </c>
      <c r="I23" s="6" t="inlineStr">
        <is>
          <t>Art. 4º, I; art. 8º, caput.</t>
        </is>
      </c>
      <c r="J23" s="3">
        <f>IF(G23="Atende",3,IF(G23="Parcial",1.5,0))</f>
        <v/>
      </c>
      <c r="K23" s="3" t="inlineStr">
        <is>
          <t>Não atende</t>
        </is>
      </c>
      <c r="L23" s="5" t="inlineStr">
        <is>
          <t>Não há normativa;</t>
        </is>
      </c>
      <c r="M23" s="6" t="inlineStr">
        <is>
          <t>Art. 6º, §1º, III; art. 10, II.</t>
        </is>
      </c>
      <c r="N23" s="3">
        <f>IF(K23="Atende",3,IF(K23="Parcial",1.5,0))</f>
        <v/>
      </c>
      <c r="O23" s="3" t="inlineStr">
        <is>
          <t>Atende</t>
        </is>
      </c>
      <c r="P23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23" s="6" t="inlineStr">
        <is>
          <t>Art. 13, caput e incisos I a V.</t>
        </is>
      </c>
      <c r="R23" s="3">
        <f>IF(O23="Atende",3,IF(O23="Parcial",1.5,0))</f>
        <v/>
      </c>
      <c r="S23" s="3" t="inlineStr">
        <is>
          <t>Atende</t>
        </is>
      </c>
      <c r="T23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23" s="6" t="inlineStr">
        <is>
          <t>Art. 6º, §1º, IV; art. 10, II e IV; art. 13, IV e V.</t>
        </is>
      </c>
      <c r="V23" s="3">
        <f>IF(S23="Atende",3,IF(S23="Parcial",1.5,0))</f>
        <v/>
      </c>
      <c r="W23" s="3">
        <f>SUM(F23,J23,N23,R23,V23)</f>
        <v/>
      </c>
      <c r="X23" s="3" t="inlineStr">
        <is>
          <t>Doc. SEI 37070578</t>
        </is>
      </c>
    </row>
    <row r="24" ht="48" customHeight="1">
      <c r="A24" s="3" t="inlineStr">
        <is>
          <t>PE</t>
        </is>
      </c>
      <c r="B24" s="3" t="inlineStr">
        <is>
          <t>Pernambuco</t>
        </is>
      </c>
      <c r="C24" s="3" t="inlineStr">
        <is>
          <t>Atende</t>
        </is>
      </c>
      <c r="D24" s="5" t="inlineStr">
        <is>
          <t>Vinculada diretamente ao Gabinete ou à autoridade máxima do órgão gestor do sistema penal</t>
        </is>
      </c>
      <c r="E24" s="6" t="inlineStr">
        <is>
          <t>Art. 4º, I; art. 6º, §1º, I.</t>
        </is>
      </c>
      <c r="F24" s="3">
        <f>IF(C24="Atende",3,IF(C24="Parcial",1.5,0))</f>
        <v/>
      </c>
      <c r="G24" s="3" t="inlineStr">
        <is>
          <t>Atende</t>
        </is>
      </c>
      <c r="H24" s="5" t="inlineStr">
        <is>
          <t>Há ouvidor(a) designado(a) formalmente pela autoridade máxima do órgão gestor do sistema penal</t>
        </is>
      </c>
      <c r="I24" s="6" t="inlineStr">
        <is>
          <t>Art. 4º, I; art. 8º, caput.</t>
        </is>
      </c>
      <c r="J24" s="3">
        <f>IF(G24="Atende",3,IF(G24="Parcial",1.5,0))</f>
        <v/>
      </c>
      <c r="K24" s="3" t="inlineStr">
        <is>
          <t>Não atende</t>
        </is>
      </c>
      <c r="L24" s="5" t="inlineStr">
        <is>
          <t>Não há normativa;</t>
        </is>
      </c>
      <c r="M24" s="6" t="inlineStr">
        <is>
          <t>Art. 6º, §1º, III; art. 10, II.</t>
        </is>
      </c>
      <c r="N24" s="3">
        <f>IF(K24="Atende",3,IF(K24="Parcial",1.5,0))</f>
        <v/>
      </c>
      <c r="O24" s="3" t="inlineStr">
        <is>
          <t>Atende</t>
        </is>
      </c>
      <c r="P24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24" s="6" t="inlineStr">
        <is>
          <t>Art. 13, caput e incisos I a V.</t>
        </is>
      </c>
      <c r="R24" s="3">
        <f>IF(O24="Atende",3,IF(O24="Parcial",1.5,0))</f>
        <v/>
      </c>
      <c r="S24" s="3" t="inlineStr">
        <is>
          <t>Atende</t>
        </is>
      </c>
      <c r="T24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24" s="6" t="inlineStr">
        <is>
          <t>Art. 6º, §1º, IV; art. 10, II e IV; art. 13, IV e V.</t>
        </is>
      </c>
      <c r="V24" s="3">
        <f>IF(S24="Atende",3,IF(S24="Parcial",1.5,0))</f>
        <v/>
      </c>
      <c r="W24" s="3">
        <f>SUM(F24,J24,N24,R24,V24)</f>
        <v/>
      </c>
      <c r="X24" s="3" t="inlineStr">
        <is>
          <t>Doc. SEI 37070578</t>
        </is>
      </c>
    </row>
    <row r="25" ht="180" customHeight="1">
      <c r="A25" s="3" t="inlineStr">
        <is>
          <t>PI</t>
        </is>
      </c>
      <c r="B25" s="3" t="inlineStr">
        <is>
          <t>Piauí</t>
        </is>
      </c>
      <c r="C25" s="3" t="inlineStr">
        <is>
          <t>Atende</t>
        </is>
      </c>
      <c r="D25" s="5" t="inlineStr">
        <is>
          <t>Vinculada a área operacional (diretoria, coordenação de unidade, etc.)</t>
        </is>
      </c>
      <c r="E25" s="6" t="inlineStr">
        <is>
          <t>Art. 4º, I; art. 6º, §1º, I.</t>
        </is>
      </c>
      <c r="F25" s="3">
        <f>IF(C25="Atende",3,IF(C25="Parcial",1.5,0))</f>
        <v/>
      </c>
      <c r="G25" s="3" t="inlineStr">
        <is>
          <t>Atende</t>
        </is>
      </c>
      <c r="H25" s="5" t="inlineStr">
        <is>
          <t>Há ouvidor(a) designado(a) formalmente pela autoridade máxima do órgão gestor do sistema penal</t>
        </is>
      </c>
      <c r="I25" s="6" t="inlineStr">
        <is>
          <t>Art. 4º, I; art. 8º, caput.</t>
        </is>
      </c>
      <c r="J25" s="3">
        <f>IF(G25="Atende",3,IF(G25="Parcial",1.5,0))</f>
        <v/>
      </c>
      <c r="K25" s="3" t="inlineStr">
        <is>
          <t>Atende</t>
        </is>
      </c>
      <c r="L25" s="5" t="inlineStr">
        <is>
          <t>Especifica, entre o público atendido, cidadãos, servidores(as), pessoas privadas de liberdade e seus familiares;Indica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definidos;Prevê a elaboração e publicação de relatórios periódicos de atividades, com dados estatísticos e indicadores de desempenho;Garante a proteção da identidade do(a) manifestante e a confidencialidade das informações;</t>
        </is>
      </c>
      <c r="M25" s="6" t="inlineStr">
        <is>
          <t>Art. 6º, §1º, III; art. 10, II.</t>
        </is>
      </c>
      <c r="N25" s="3">
        <f>IF(K25="Atende",3,IF(K25="Parcial",1.5,0))</f>
        <v/>
      </c>
      <c r="O25" s="3" t="inlineStr">
        <is>
          <t>Atende</t>
        </is>
      </c>
      <c r="P25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25" s="6" t="inlineStr">
        <is>
          <t>Art. 13, caput e incisos I a V.</t>
        </is>
      </c>
      <c r="R25" s="3">
        <f>IF(O25="Atende",3,IF(O25="Parcial",1.5,0))</f>
        <v/>
      </c>
      <c r="S25" s="3" t="inlineStr">
        <is>
          <t>Atende</t>
        </is>
      </c>
      <c r="T25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25" s="6" t="inlineStr">
        <is>
          <t>Art. 6º, §1º, IV; art. 10, II e IV; art. 13, IV e V.</t>
        </is>
      </c>
      <c r="V25" s="3">
        <f>IF(S25="Atende",3,IF(S25="Parcial",1.5,0))</f>
        <v/>
      </c>
      <c r="W25" s="3">
        <f>SUM(F25,J25,N25,R25,V25)</f>
        <v/>
      </c>
      <c r="X25" s="3" t="inlineStr">
        <is>
          <t>Doc. SEI 37070578</t>
        </is>
      </c>
    </row>
    <row r="26" ht="132" customHeight="1">
      <c r="A26" s="3" t="inlineStr">
        <is>
          <t>RJ</t>
        </is>
      </c>
      <c r="B26" s="3" t="inlineStr">
        <is>
          <t>Rio de Janeiro</t>
        </is>
      </c>
      <c r="C26" s="3" t="inlineStr">
        <is>
          <t>Atende</t>
        </is>
      </c>
      <c r="D26" s="5" t="inlineStr">
        <is>
          <t>Vinculada diretamente ao Gabinete ou à autoridade máxima do órgão gestor do sistema penal</t>
        </is>
      </c>
      <c r="E26" s="6" t="inlineStr">
        <is>
          <t>Art. 4º, I; art. 6º, §1º, I.</t>
        </is>
      </c>
      <c r="F26" s="3">
        <f>IF(C26="Atende",3,IF(C26="Parcial",1.5,0))</f>
        <v/>
      </c>
      <c r="G26" s="3" t="inlineStr">
        <is>
          <t>Atende</t>
        </is>
      </c>
      <c r="H26" s="5" t="inlineStr">
        <is>
          <t>Há ouvidor(a) designado(a) formalmente pela autoridade máxima do órgão gestor do sistema penal</t>
        </is>
      </c>
      <c r="I26" s="6" t="inlineStr">
        <is>
          <t>Art. 4º, I; art. 8º, caput.</t>
        </is>
      </c>
      <c r="J26" s="3">
        <f>IF(G26="Atende",3,IF(G26="Parcial",1.5,0))</f>
        <v/>
      </c>
      <c r="K26" s="3" t="inlineStr">
        <is>
          <t>Atende</t>
        </is>
      </c>
      <c r="L26" s="5" t="inlineStr">
        <is>
          <t>Indica a denominação da Ouvidoria de Serviços Penais e sua vinculação na estrutura organizacional do órgão;Define as competências básicas, compreendendo o recebimento, a análise, o encaminhamento e a resposta às manifestações;Prevê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      </is>
      </c>
      <c r="M26" s="6" t="inlineStr">
        <is>
          <t>Art. 6º, §1º, III; art. 10, II.</t>
        </is>
      </c>
      <c r="N26" s="3">
        <f>IF(K26="Atende",3,IF(K26="Parcial",1.5,0))</f>
        <v/>
      </c>
      <c r="O26" s="3" t="inlineStr">
        <is>
          <t>Não atende</t>
        </is>
      </c>
      <c r="P26" s="5" t="inlineStr">
        <is>
          <t>Há fluxo informal (cada caso é tratado de forma diferente, sem padronização)</t>
        </is>
      </c>
      <c r="Q26" s="6" t="inlineStr">
        <is>
          <t>Art. 13, caput e incisos I a V.</t>
        </is>
      </c>
      <c r="R26" s="3">
        <f>IF(O26="Atende",3,IF(O26="Parcial",1.5,0))</f>
        <v/>
      </c>
      <c r="S26" s="3" t="inlineStr">
        <is>
          <t>Atende</t>
        </is>
      </c>
      <c r="T26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26" s="6" t="inlineStr">
        <is>
          <t>Art. 6º, §1º, IV; art. 10, II e IV; art. 13, IV e V.</t>
        </is>
      </c>
      <c r="V26" s="3">
        <f>IF(S26="Atende",3,IF(S26="Parcial",1.5,0))</f>
        <v/>
      </c>
      <c r="W26" s="3">
        <f>SUM(F26,J26,N26,R26,V26)</f>
        <v/>
      </c>
      <c r="X26" s="3" t="inlineStr">
        <is>
          <t>Doc. SEI 37070578</t>
        </is>
      </c>
    </row>
    <row r="27" ht="48" customHeight="1">
      <c r="A27" s="3" t="inlineStr">
        <is>
          <t>RN</t>
        </is>
      </c>
      <c r="B27" s="3" t="inlineStr">
        <is>
          <t>Rio Grande do Norte</t>
        </is>
      </c>
      <c r="C27" s="3" t="inlineStr">
        <is>
          <t>Atende</t>
        </is>
      </c>
      <c r="D27" s="5" t="inlineStr">
        <is>
          <t>Vinculada diretamente ao Gabinete ou à autoridade máxima do órgão gestor do sistema penal</t>
        </is>
      </c>
      <c r="E27" s="6" t="inlineStr">
        <is>
          <t>Art. 4º, I; art. 6º, §1º, I.</t>
        </is>
      </c>
      <c r="F27" s="3">
        <f>IF(C27="Atende",3,IF(C27="Parcial",1.5,0))</f>
        <v/>
      </c>
      <c r="G27" s="3" t="inlineStr">
        <is>
          <t>Atende</t>
        </is>
      </c>
      <c r="H27" s="5" t="inlineStr">
        <is>
          <t>Há ouvidor(a) designado(a) formalmente pela autoridade máxima do órgão gestor do sistema penal</t>
        </is>
      </c>
      <c r="I27" s="6" t="inlineStr">
        <is>
          <t>Art. 4º, I; art. 8º, caput.</t>
        </is>
      </c>
      <c r="J27" s="3">
        <f>IF(G27="Atende",3,IF(G27="Parcial",1.5,0))</f>
        <v/>
      </c>
      <c r="K27" s="3" t="inlineStr">
        <is>
          <t>Atende</t>
        </is>
      </c>
      <c r="L27" s="5" t="inlineStr">
        <is>
          <t>Indica a denominação da Ouvidoria de Serviços Penais e sua vinculação na estrutura organizacional do órgão;Define as competências básicas, compreendendo o recebimento, a análise, o encaminhamento e a resposta às manifestações;</t>
        </is>
      </c>
      <c r="M27" s="6" t="inlineStr">
        <is>
          <t>Art. 6º, §1º, III; art. 10, II.</t>
        </is>
      </c>
      <c r="N27" s="3">
        <f>IF(K27="Atende",3,IF(K27="Parcial",1.5,0))</f>
        <v/>
      </c>
      <c r="O27" s="3" t="inlineStr">
        <is>
          <t>Atende</t>
        </is>
      </c>
      <c r="P27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27" s="6" t="inlineStr">
        <is>
          <t>Art. 13, caput e incisos I a V.</t>
        </is>
      </c>
      <c r="R27" s="3">
        <f>IF(O27="Atende",3,IF(O27="Parcial",1.5,0))</f>
        <v/>
      </c>
      <c r="S27" s="3" t="inlineStr">
        <is>
          <t>Atende</t>
        </is>
      </c>
      <c r="T27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27" s="6" t="inlineStr">
        <is>
          <t>Art. 6º, §1º, IV; art. 10, II e IV; art. 13, IV e V.</t>
        </is>
      </c>
      <c r="V27" s="3">
        <f>IF(S27="Atende",3,IF(S27="Parcial",1.5,0))</f>
        <v/>
      </c>
      <c r="W27" s="3">
        <f>SUM(F27,J27,N27,R27,V27)</f>
        <v/>
      </c>
      <c r="X27" s="3" t="inlineStr">
        <is>
          <t>Doc. SEI 37070578</t>
        </is>
      </c>
    </row>
    <row r="28" ht="204" customHeight="1">
      <c r="A28" s="3" t="inlineStr">
        <is>
          <t>RS</t>
        </is>
      </c>
      <c r="B28" s="3" t="inlineStr">
        <is>
          <t>Rio Grande do Sul</t>
        </is>
      </c>
      <c r="C28" s="3" t="inlineStr">
        <is>
          <t>Atende</t>
        </is>
      </c>
      <c r="D28" s="5" t="inlineStr">
        <is>
          <t>Vinculada diretamente ao Gabinete ou à autoridade máxima do órgão gestor do sistema penal</t>
        </is>
      </c>
      <c r="E28" s="6" t="inlineStr">
        <is>
          <t>Art. 4º, I; art. 6º, §1º, I.</t>
        </is>
      </c>
      <c r="F28" s="3">
        <f>IF(C28="Atende",3,IF(C28="Parcial",1.5,0))</f>
        <v/>
      </c>
      <c r="G28" s="3" t="inlineStr">
        <is>
          <t>Não atende</t>
        </is>
      </c>
      <c r="H28" s="5" t="inlineStr">
        <is>
          <t>Há ponto focal informal, sem designação formal</t>
        </is>
      </c>
      <c r="I28" s="6" t="inlineStr">
        <is>
          <t>Art. 4º, I; art. 8º, caput.</t>
        </is>
      </c>
      <c r="J28" s="3">
        <f>IF(G28="Atende",3,IF(G28="Parcial",1.5,0))</f>
        <v/>
      </c>
      <c r="K28" s="3" t="inlineStr">
        <is>
          <t>Atende</t>
        </is>
      </c>
      <c r="L28" s="5" t="inlineStr">
        <is>
          <t>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</t>
        </is>
      </c>
      <c r="M28" s="6" t="inlineStr">
        <is>
          <t>Art. 6º, §1º, III; art. 10, II.</t>
        </is>
      </c>
      <c r="N28" s="3">
        <f>IF(K28="Atende",3,IF(K28="Parcial",1.5,0))</f>
        <v/>
      </c>
      <c r="O28" s="3" t="inlineStr">
        <is>
          <t>Atende</t>
        </is>
      </c>
      <c r="P28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28" s="6" t="inlineStr">
        <is>
          <t>Art. 13, caput e incisos I a V.</t>
        </is>
      </c>
      <c r="R28" s="3">
        <f>IF(O28="Atende",3,IF(O28="Parcial",1.5,0))</f>
        <v/>
      </c>
      <c r="S28" s="3" t="inlineStr">
        <is>
          <t>Atende</t>
        </is>
      </c>
      <c r="T28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28" s="6" t="inlineStr">
        <is>
          <t>Art. 6º, §1º, IV; art. 10, II e IV; art. 13, IV e V.</t>
        </is>
      </c>
      <c r="V28" s="3">
        <f>IF(S28="Atende",3,IF(S28="Parcial",1.5,0))</f>
        <v/>
      </c>
      <c r="W28" s="3">
        <f>SUM(F28,J28,N28,R28,V28)</f>
        <v/>
      </c>
      <c r="X28" s="3" t="inlineStr">
        <is>
          <t>Doc. SEI 37070578</t>
        </is>
      </c>
    </row>
    <row r="29" ht="48" customHeight="1">
      <c r="A29" s="3" t="inlineStr">
        <is>
          <t>RO</t>
        </is>
      </c>
      <c r="B29" s="3" t="inlineStr">
        <is>
          <t>Rondônia</t>
        </is>
      </c>
      <c r="C29" s="3" t="inlineStr">
        <is>
          <t>Sem evidência</t>
        </is>
      </c>
      <c r="D29" s="5" t="inlineStr">
        <is>
          <t>Vinculada diretamente ao Gabinete ou à autoridade máxima do órgão gestor do sistema penal</t>
        </is>
      </c>
      <c r="E29" s="6" t="inlineStr">
        <is>
          <t>Art. 4º, I; art. 6º, §1º, I.</t>
        </is>
      </c>
      <c r="F29" s="3">
        <f>IF(C29="Atende",3,IF(C29="Parcial",1.5,0))</f>
        <v/>
      </c>
      <c r="G29" s="3" t="inlineStr">
        <is>
          <t>Sem evidência</t>
        </is>
      </c>
      <c r="H29" s="5" t="inlineStr">
        <is>
          <t>Há ouvidor(a) designado(a) formalmente pela autoridade máxima do órgão gestor do sistema penal</t>
        </is>
      </c>
      <c r="I29" s="6" t="inlineStr">
        <is>
          <t>Art. 4º, I; art. 8º, caput.</t>
        </is>
      </c>
      <c r="J29" s="3">
        <f>IF(G29="Atende",3,IF(G29="Parcial",1.5,0))</f>
        <v/>
      </c>
      <c r="K29" s="3" t="inlineStr">
        <is>
          <t>Não atende</t>
        </is>
      </c>
      <c r="L29" s="5" t="inlineStr">
        <is>
          <t>Não há normativa;</t>
        </is>
      </c>
      <c r="M29" s="6" t="inlineStr">
        <is>
          <t>Art. 6º, §1º, III; art. 10, II.</t>
        </is>
      </c>
      <c r="N29" s="3">
        <f>IF(K29="Atende",3,IF(K29="Parcial",1.5,0))</f>
        <v/>
      </c>
      <c r="O29" s="3" t="inlineStr">
        <is>
          <t>Sem evidência</t>
        </is>
      </c>
      <c r="P29" s="5" t="inlineStr">
        <is>
          <t>Há fluxo informal (cada caso é tratado de forma diferente, sem padronização)</t>
        </is>
      </c>
      <c r="Q29" s="6" t="inlineStr">
        <is>
          <t>Art. 13, caput e incisos I a V.</t>
        </is>
      </c>
      <c r="R29" s="3">
        <f>IF(O29="Atende",3,IF(O29="Parcial",1.5,0))</f>
        <v/>
      </c>
      <c r="S29" s="3" t="inlineStr">
        <is>
          <t>Sem evidência</t>
        </is>
      </c>
      <c r="T29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29" s="6" t="inlineStr">
        <is>
          <t>Art. 6º, §1º, IV; art. 10, II e IV; art. 13, IV e V.</t>
        </is>
      </c>
      <c r="V29" s="3">
        <f>IF(S29="Atende",3,IF(S29="Parcial",1.5,0))</f>
        <v/>
      </c>
      <c r="W29" s="3">
        <f>SUM(F29,J29,N29,R29,V29)</f>
        <v/>
      </c>
      <c r="X29" s="3" t="inlineStr">
        <is>
          <t>Doc. SEI 37070578</t>
        </is>
      </c>
    </row>
    <row r="30" ht="300" customHeight="1">
      <c r="A30" s="3" t="inlineStr">
        <is>
          <t>RR</t>
        </is>
      </c>
      <c r="B30" s="3" t="inlineStr">
        <is>
          <t>Roraima</t>
        </is>
      </c>
      <c r="C30" s="3" t="inlineStr">
        <is>
          <t>Atende</t>
        </is>
      </c>
      <c r="D30" s="5" t="inlineStr">
        <is>
          <t>Vinculada diretamente ao Gabinete ou à autoridade máxima do órgão gestor do sistema penal</t>
        </is>
      </c>
      <c r="E30" s="6" t="inlineStr">
        <is>
          <t>Art. 4º, I; art. 6º, §1º, I.</t>
        </is>
      </c>
      <c r="F30" s="3">
        <f>IF(C30="Atende",3,IF(C30="Parcial",1.5,0))</f>
        <v/>
      </c>
      <c r="G30" s="3" t="inlineStr">
        <is>
          <t>Atende</t>
        </is>
      </c>
      <c r="H30" s="5" t="inlineStr">
        <is>
          <t>Há ouvidor(a) designado(a) formalmente pela autoridade máxima do órgão gestor do sistema penal</t>
        </is>
      </c>
      <c r="I30" s="6" t="inlineStr">
        <is>
          <t>Art. 4º, I; art. 8º, caput.</t>
        </is>
      </c>
      <c r="J30" s="3">
        <f>IF(G30="Atende",3,IF(G30="Parcial",1.5,0))</f>
        <v/>
      </c>
      <c r="K30" s="3" t="inlineStr">
        <is>
          <t>Atende</t>
        </is>
      </c>
      <c r="L30" s="5" t="inlineStr">
        <is>
      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      </is>
      </c>
      <c r="M30" s="6" t="inlineStr">
        <is>
          <t>Art. 6º, §1º, III; art. 10, II.</t>
        </is>
      </c>
      <c r="N30" s="3">
        <f>IF(K30="Atende",3,IF(K30="Parcial",1.5,0))</f>
        <v/>
      </c>
      <c r="O30" s="3" t="inlineStr">
        <is>
          <t>Atende</t>
        </is>
      </c>
      <c r="P30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30" s="6" t="inlineStr">
        <is>
          <t>Art. 13, caput e incisos I a V.</t>
        </is>
      </c>
      <c r="R30" s="3">
        <f>IF(O30="Atende",3,IF(O30="Parcial",1.5,0))</f>
        <v/>
      </c>
      <c r="S30" s="3" t="inlineStr">
        <is>
          <t>Atende</t>
        </is>
      </c>
      <c r="T30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30" s="6" t="inlineStr">
        <is>
          <t>Art. 6º, §1º, IV; art. 10, II e IV; art. 13, IV e V.</t>
        </is>
      </c>
      <c r="V30" s="3">
        <f>IF(S30="Atende",3,IF(S30="Parcial",1.5,0))</f>
        <v/>
      </c>
      <c r="W30" s="3">
        <f>SUM(F30,J30,N30,R30,V30)</f>
        <v/>
      </c>
      <c r="X30" s="3" t="inlineStr">
        <is>
          <t>Doc. SEI 37070578</t>
        </is>
      </c>
    </row>
    <row r="31" ht="216" customHeight="1">
      <c r="A31" s="3" t="inlineStr">
        <is>
          <t>SC</t>
        </is>
      </c>
      <c r="B31" s="3" t="inlineStr">
        <is>
          <t>Santa Catarina</t>
        </is>
      </c>
      <c r="C31" s="3" t="inlineStr">
        <is>
          <t>Atende</t>
        </is>
      </c>
      <c r="D31" s="5" t="inlineStr">
        <is>
          <t>Vinculada diretamente ao Gabinete ou à autoridade máxima do órgão gestor do sistema penal</t>
        </is>
      </c>
      <c r="E31" s="6" t="inlineStr">
        <is>
          <t>Art. 4º, I; art. 6º, §1º, I.</t>
        </is>
      </c>
      <c r="F31" s="3">
        <f>IF(C31="Atende",3,IF(C31="Parcial",1.5,0))</f>
        <v/>
      </c>
      <c r="G31" s="3" t="inlineStr">
        <is>
          <t>Atende</t>
        </is>
      </c>
      <c r="H31" s="5" t="inlineStr">
        <is>
          <t>Há ouvidor(a) designado(a) formalmente pela autoridade máxima do órgão gestor do sistema penal</t>
        </is>
      </c>
      <c r="I31" s="6" t="inlineStr">
        <is>
          <t>Art. 4º, I; art. 8º, caput.</t>
        </is>
      </c>
      <c r="J31" s="3">
        <f>IF(G31="Atende",3,IF(G31="Parcial",1.5,0))</f>
        <v/>
      </c>
      <c r="K31" s="3" t="inlineStr">
        <is>
          <t>Atende</t>
        </is>
      </c>
      <c r="L31" s="5" t="inlineStr">
        <is>
          <t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respeitosa;Enuncia a finalidade da Ouvidoria de Serviços Penais como instância permanente de interlocução entre cidadãos, pessoas privadas de liberdade, familiares e servidores(as) penais e a administração penitenciária;</t>
        </is>
      </c>
      <c r="M31" s="6" t="inlineStr">
        <is>
          <t>Art. 6º, §1º, III; art. 10, II.</t>
        </is>
      </c>
      <c r="N31" s="3">
        <f>IF(K31="Atende",3,IF(K31="Parcial",1.5,0))</f>
        <v/>
      </c>
      <c r="O31" s="3" t="inlineStr">
        <is>
          <t>Atende</t>
        </is>
      </c>
      <c r="P31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31" s="6" t="inlineStr">
        <is>
          <t>Art. 13, caput e incisos I a V.</t>
        </is>
      </c>
      <c r="R31" s="3">
        <f>IF(O31="Atende",3,IF(O31="Parcial",1.5,0))</f>
        <v/>
      </c>
      <c r="S31" s="3" t="inlineStr">
        <is>
          <t>Atende</t>
        </is>
      </c>
      <c r="T31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31" s="6" t="inlineStr">
        <is>
          <t>Art. 6º, §1º, IV; art. 10, II e IV; art. 13, IV e V.</t>
        </is>
      </c>
      <c r="V31" s="3">
        <f>IF(S31="Atende",3,IF(S31="Parcial",1.5,0))</f>
        <v/>
      </c>
      <c r="W31" s="3">
        <f>SUM(F31,J31,N31,R31,V31)</f>
        <v/>
      </c>
      <c r="X31" s="3" t="inlineStr">
        <is>
          <t>Doc. SEI 37070578</t>
        </is>
      </c>
    </row>
    <row r="32" ht="324" customHeight="1">
      <c r="A32" s="3" t="inlineStr">
        <is>
          <t>SP</t>
        </is>
      </c>
      <c r="B32" s="3" t="inlineStr">
        <is>
          <t>São Paulo</t>
        </is>
      </c>
      <c r="C32" s="3" t="inlineStr">
        <is>
          <t>Atende</t>
        </is>
      </c>
      <c r="D32" s="5" t="inlineStr">
        <is>
          <t>Vinculada diretamente ao Gabinete ou à autoridade máxima do órgão gestor do sistema penal</t>
        </is>
      </c>
      <c r="E32" s="6" t="inlineStr">
        <is>
          <t>Art. 4º, I; art. 6º, §1º, I.</t>
        </is>
      </c>
      <c r="F32" s="3">
        <f>IF(C32="Atende",3,IF(C32="Parcial",1.5,0))</f>
        <v/>
      </c>
      <c r="G32" s="3" t="inlineStr">
        <is>
          <t>Atende</t>
        </is>
      </c>
      <c r="H32" s="5" t="inlineStr">
        <is>
          <t>Há ouvidor(a) designado(a) formalmente pela autoridade máxima do órgão gestor do sistema penal</t>
        </is>
      </c>
      <c r="I32" s="6" t="inlineStr">
        <is>
          <t>Art. 4º, I; art. 8º, caput.</t>
        </is>
      </c>
      <c r="J32" s="3">
        <f>IF(G32="Atende",3,IF(G32="Parcial",1.5,0))</f>
        <v/>
      </c>
      <c r="K32" s="3" t="inlineStr">
        <is>
          <t>Atende</t>
        </is>
      </c>
      <c r="L32" s="5" t="inlineStr">
        <is>
          <t>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manifestante;Prevê que a resposta ao(à) manifestante deve ser prestada em linguagem clara, acessível e respeitosa;Garante a proteção da identidade do(a) manifestante e a confidencialidade das informações;Determina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</t>
        </is>
      </c>
      <c r="M32" s="6" t="inlineStr">
        <is>
          <t>Art. 6º, §1º, III; art. 10, II.</t>
        </is>
      </c>
      <c r="N32" s="3">
        <f>IF(K32="Atende",3,IF(K32="Parcial",1.5,0))</f>
        <v/>
      </c>
      <c r="O32" s="3" t="inlineStr">
        <is>
          <t>Atende</t>
        </is>
      </c>
      <c r="P32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32" s="6" t="inlineStr">
        <is>
          <t>Art. 13, caput e incisos I a V.</t>
        </is>
      </c>
      <c r="R32" s="3">
        <f>IF(O32="Atende",3,IF(O32="Parcial",1.5,0))</f>
        <v/>
      </c>
      <c r="S32" s="3" t="inlineStr">
        <is>
          <t>Atende</t>
        </is>
      </c>
      <c r="T32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32" s="6" t="inlineStr">
        <is>
          <t>Art. 6º, §1º, IV; art. 10, II e IV; art. 13, IV e V.</t>
        </is>
      </c>
      <c r="V32" s="3">
        <f>IF(S32="Atende",3,IF(S32="Parcial",1.5,0))</f>
        <v/>
      </c>
      <c r="W32" s="3">
        <f>SUM(F32,J32,N32,R32,V32)</f>
        <v/>
      </c>
      <c r="X32" s="3" t="inlineStr">
        <is>
          <t>Doc. SEI 37070578</t>
        </is>
      </c>
    </row>
    <row r="33" ht="24" customHeight="1">
      <c r="A33" s="3" t="inlineStr">
        <is>
          <t>SE</t>
        </is>
      </c>
      <c r="B33" s="3" t="inlineStr">
        <is>
          <t>Sergipe</t>
        </is>
      </c>
      <c r="C33" s="3" t="inlineStr">
        <is>
          <t>Sem evidência</t>
        </is>
      </c>
      <c r="D33" s="5" t="inlineStr">
        <is>
          <t>Sem resposta no diagnóstico</t>
        </is>
      </c>
      <c r="E33" s="6" t="inlineStr">
        <is>
          <t>Art. 4º, I; art. 6º, §1º, I.</t>
        </is>
      </c>
      <c r="F33" s="3">
        <f>IF(C33="Atende",3,IF(C33="Parcial",1.5,0))</f>
        <v/>
      </c>
      <c r="G33" s="3" t="inlineStr">
        <is>
          <t>Sem evidência</t>
        </is>
      </c>
      <c r="H33" s="5" t="inlineStr">
        <is>
          <t>Sem resposta no diagnóstico</t>
        </is>
      </c>
      <c r="I33" s="6" t="inlineStr">
        <is>
          <t>Art. 4º, I; art. 8º, caput.</t>
        </is>
      </c>
      <c r="J33" s="3">
        <f>IF(G33="Atende",3,IF(G33="Parcial",1.5,0))</f>
        <v/>
      </c>
      <c r="K33" s="3" t="inlineStr">
        <is>
          <t>Não atende</t>
        </is>
      </c>
      <c r="L33" s="5" t="inlineStr">
        <is>
          <t>Sem resposta no diagnóstico</t>
        </is>
      </c>
      <c r="M33" s="6" t="inlineStr">
        <is>
          <t>Art. 6º, §1º, III; art. 10, II.</t>
        </is>
      </c>
      <c r="N33" s="3">
        <f>IF(K33="Atende",3,IF(K33="Parcial",1.5,0))</f>
        <v/>
      </c>
      <c r="O33" s="3" t="n"/>
      <c r="P33" s="5" t="inlineStr">
        <is>
          <t>Sem resposta no diagnóstico</t>
        </is>
      </c>
      <c r="Q33" s="6" t="inlineStr">
        <is>
          <t>Art. 13, caput e incisos I a V.</t>
        </is>
      </c>
      <c r="R33" s="3">
        <f>IF(O33="Atende",3,IF(O33="Parcial",1.5,0))</f>
        <v/>
      </c>
      <c r="S33" s="3" t="inlineStr">
        <is>
          <t>Não atende</t>
        </is>
      </c>
      <c r="T33" s="5" t="inlineStr">
        <is>
          <t>Sem resposta no diagnóstico</t>
        </is>
      </c>
      <c r="U33" s="6" t="inlineStr">
        <is>
          <t>Art. 6º, §1º, IV; art. 10, II e IV; art. 13, IV e V.</t>
        </is>
      </c>
      <c r="V33" s="3">
        <f>IF(S33="Atende",3,IF(S33="Parcial",1.5,0))</f>
        <v/>
      </c>
      <c r="W33" s="3">
        <f>SUM(F33,J33,N33,R33,V33)</f>
        <v/>
      </c>
      <c r="X33" s="3" t="inlineStr">
        <is>
          <t>Doc. SEI 37070578</t>
        </is>
      </c>
    </row>
    <row r="34" ht="48" customHeight="1">
      <c r="A34" s="3" t="inlineStr">
        <is>
          <t>TO</t>
        </is>
      </c>
      <c r="B34" s="3" t="inlineStr">
        <is>
          <t>Tocantins</t>
        </is>
      </c>
      <c r="C34" s="3" t="inlineStr">
        <is>
          <t>Não atende</t>
        </is>
      </c>
      <c r="D34" s="5" t="inlineStr">
        <is>
          <t>Não se aplica (não há ouvidoria própria prevista)</t>
        </is>
      </c>
      <c r="E34" s="6" t="inlineStr">
        <is>
          <t>Art. 4º, I; art. 6º, §1º, I.</t>
        </is>
      </c>
      <c r="F34" s="3">
        <f>IF(C34="Atende",3,IF(C34="Parcial",1.5,0))</f>
        <v/>
      </c>
      <c r="G34" s="3" t="inlineStr">
        <is>
          <t>Não atende</t>
        </is>
      </c>
      <c r="H34" s="5" t="inlineStr">
        <is>
          <t>Há ouvidor(a) designado(a) formalmente pela autoridade máxima do órgão gestor do sistema penal</t>
        </is>
      </c>
      <c r="I34" s="6" t="inlineStr">
        <is>
          <t>Art. 4º, I; art. 8º, caput.</t>
        </is>
      </c>
      <c r="J34" s="3">
        <f>IF(G34="Atende",3,IF(G34="Parcial",1.5,0))</f>
        <v/>
      </c>
      <c r="K34" s="3" t="inlineStr">
        <is>
          <t>Não atende</t>
        </is>
      </c>
      <c r="L34" s="5" t="inlineStr">
        <is>
          <t>Não há normativa;</t>
        </is>
      </c>
      <c r="M34" s="6" t="inlineStr">
        <is>
          <t>Art. 6º, §1º, III; art. 10, II.</t>
        </is>
      </c>
      <c r="N34" s="3">
        <f>IF(K34="Atende",3,IF(K34="Parcial",1.5,0))</f>
        <v/>
      </c>
      <c r="O34" s="3" t="n"/>
      <c r="P34" s="5" t="inlineStr">
        <is>
          <t>Há fluxo formalizado e efetivamente utilizado, contemplando, no mínimo, recebimento, registro, encaminhamento à área competente, acompanhamento da resposta e devolutiva ao(à) manifestante, quando aplicável</t>
        </is>
      </c>
      <c r="Q34" s="6" t="inlineStr">
        <is>
          <t>Art. 13, caput e incisos I a V.</t>
        </is>
      </c>
      <c r="R34" s="3">
        <f>IF(O34="Atende",3,IF(O34="Parcial",1.5,0))</f>
        <v/>
      </c>
      <c r="S34" s="3" t="n"/>
      <c r="T34" s="5" t="inlineStr">
        <is>
          <t>Há prazos claros e registrados, com monitoramento das respostas das áreas e medidas adotadas em caso de descumprimento (cobrança, reencaminhamento, informação a instâncias superiores etc.)</t>
        </is>
      </c>
      <c r="U34" s="6" t="inlineStr">
        <is>
          <t>Art. 6º, §1º, IV; art. 10, II e IV; art. 13, IV e V.</t>
        </is>
      </c>
      <c r="V34" s="3">
        <f>IF(S34="Atende",3,IF(S34="Parcial",1.5,0))</f>
        <v/>
      </c>
      <c r="W34" s="3">
        <f>SUM(F34,J34,N34,R34,V34)</f>
        <v/>
      </c>
      <c r="X34" s="3" t="inlineStr">
        <is>
          <t>Doc. SEI 37070578</t>
        </is>
      </c>
    </row>
  </sheetData>
  <mergeCells count="7">
    <mergeCell ref="A4:B4"/>
    <mergeCell ref="W4:X4"/>
    <mergeCell ref="C4:J4"/>
    <mergeCell ref="A2:X2"/>
    <mergeCell ref="A1:X1"/>
    <mergeCell ref="K4:V4"/>
    <mergeCell ref="A6:B6"/>
  </mergeCells>
  <conditionalFormatting sqref="C7:C34">
    <cfRule type="expression" priority="1" dxfId="2">
      <formula>C7="Atende"</formula>
    </cfRule>
    <cfRule type="expression" priority="2" dxfId="0">
      <formula>C7="Parcial"</formula>
    </cfRule>
    <cfRule type="expression" priority="3" dxfId="1">
      <formula>OR(C7="Não atende",C7="Sem evidência")</formula>
    </cfRule>
  </conditionalFormatting>
  <conditionalFormatting sqref="G7:G34">
    <cfRule type="expression" priority="4" dxfId="2">
      <formula>G7="Atende"</formula>
    </cfRule>
    <cfRule type="expression" priority="5" dxfId="0">
      <formula>G7="Parcial"</formula>
    </cfRule>
    <cfRule type="expression" priority="6" dxfId="1">
      <formula>OR(G7="Não atende",G7="Sem evidência")</formula>
    </cfRule>
  </conditionalFormatting>
  <conditionalFormatting sqref="K7:K34">
    <cfRule type="expression" priority="7" dxfId="2">
      <formula>K7="Atende"</formula>
    </cfRule>
    <cfRule type="expression" priority="8" dxfId="0">
      <formula>K7="Parcial"</formula>
    </cfRule>
    <cfRule type="expression" priority="9" dxfId="1">
      <formula>OR(K7="Não atende",K7="Sem evidência")</formula>
    </cfRule>
  </conditionalFormatting>
  <conditionalFormatting sqref="O7:O34">
    <cfRule type="expression" priority="10" dxfId="2">
      <formula>O7="Atende"</formula>
    </cfRule>
    <cfRule type="expression" priority="11" dxfId="0">
      <formula>O7="Parcial"</formula>
    </cfRule>
    <cfRule type="expression" priority="12" dxfId="1">
      <formula>OR(O7="Não atende",O7="Sem evidência")</formula>
    </cfRule>
  </conditionalFormatting>
  <conditionalFormatting sqref="S7:S34">
    <cfRule type="expression" priority="13" dxfId="2">
      <formula>S7="Atende"</formula>
    </cfRule>
    <cfRule type="expression" priority="14" dxfId="0">
      <formula>S7="Parcial"</formula>
    </cfRule>
    <cfRule type="expression" priority="15" dxfId="1">
      <formula>OR(S7="Não atende",S7="Sem evidência")</formula>
    </cfRule>
  </conditionalFormatting>
  <dataValidations count="1">
    <dataValidation sqref="C7:C34 G7:G34 K7:K34 O7:O34 S7:S34" showDropDown="0" showInputMessage="0" showErrorMessage="0" allowBlank="0" type="list">
      <formula1>"Atende,Parcial,Não atende,Sem evidência"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4"/>
  <sheetViews>
    <sheetView topLeftCell="A27" zoomScale="80" zoomScaleNormal="80" workbookViewId="0">
      <selection activeCell="G31" sqref="G31"/>
    </sheetView>
  </sheetViews>
  <sheetFormatPr baseColWidth="8" defaultRowHeight="14.4"/>
  <cols>
    <col width="8" customWidth="1" min="1" max="1"/>
    <col width="29" customWidth="1" min="2" max="2"/>
    <col width="31" customWidth="1" min="3" max="3"/>
    <col width="42" customWidth="1" min="4" max="4"/>
    <col width="25" customWidth="1" min="5" max="5"/>
    <col width="8" customWidth="1" min="6" max="6"/>
    <col width="31" customWidth="1" min="7" max="7"/>
    <col width="42" customWidth="1" min="8" max="8"/>
    <col width="25" customWidth="1" min="9" max="9"/>
    <col width="8" customWidth="1" min="10" max="10"/>
    <col width="14" customWidth="1" min="11" max="11"/>
    <col width="31" customWidth="1" min="12" max="12"/>
  </cols>
  <sheetData>
    <row r="1" ht="22.35" customHeight="1">
      <c r="A1" s="8" t="inlineStr">
        <is>
          <t>03 — Imparcialidade, sigilo e proteção</t>
        </is>
      </c>
    </row>
    <row r="2" ht="38.4" customHeight="1">
      <c r="A2" s="9" t="inlineStr">
        <is>
          <t>Peso da dimensão: 15 pontos. Cada pergunta do diagnóstico pertence exclusivamente a uma única dimensão da matriz.</t>
        </is>
      </c>
    </row>
    <row r="4" ht="40.05" customHeight="1">
      <c r="A4" s="10" t="inlineStr">
        <is>
          <t>Identificação</t>
        </is>
      </c>
      <c r="C4" s="10" t="inlineStr">
        <is>
          <t>Item 1 — Proteção e tratamento de denúncias graves e sensíveis</t>
        </is>
      </c>
      <c r="G4" s="10" t="inlineStr">
        <is>
          <t>Item 2 — Confidencialidade e sigilo da equipe</t>
        </is>
      </c>
      <c r="K4" s="10" t="inlineStr">
        <is>
          <t>Resultado da dimensão</t>
        </is>
      </c>
    </row>
    <row r="5" ht="49.65" customHeight="1">
      <c r="A5" s="2" t="inlineStr">
        <is>
          <t>UF</t>
        </is>
      </c>
      <c r="B5" s="2" t="inlineStr">
        <is>
          <t>Unidade Federativa</t>
        </is>
      </c>
      <c r="C5" s="2" t="inlineStr">
        <is>
          <t>M4-69 — Tratamento de denúncias graves e sensíveis</t>
        </is>
      </c>
      <c r="D5" s="2" t="inlineStr">
        <is>
          <t>Resposta do diagnóstico</t>
        </is>
      </c>
      <c r="E5" s="2" t="inlineStr">
        <is>
          <t>Fundamentação na IN nº 75/2026</t>
        </is>
      </c>
      <c r="F5" s="2" t="inlineStr">
        <is>
          <t>8 pts</t>
        </is>
      </c>
      <c r="G5" s="2" t="inlineStr">
        <is>
          <t>M3-63 — Compromisso de sigilo da equipe</t>
        </is>
      </c>
      <c r="H5" s="2" t="inlineStr">
        <is>
          <t>Resposta do diagnóstico</t>
        </is>
      </c>
      <c r="I5" s="2" t="inlineStr">
        <is>
          <t>Fundamentação na IN nº 75/2026</t>
        </is>
      </c>
      <c r="J5" s="2" t="inlineStr">
        <is>
          <t>7 pts</t>
        </is>
      </c>
      <c r="K5" s="2" t="inlineStr">
        <is>
          <t>Pontuação /15</t>
        </is>
      </c>
      <c r="L5" s="2" t="inlineStr">
        <is>
          <t>Evidências / observações</t>
        </is>
      </c>
    </row>
    <row r="6" ht="105.6" customHeight="1">
      <c r="A6" s="7" t="inlineStr">
        <is>
          <t>Como aplicar / resposta / fundamento →</t>
        </is>
      </c>
      <c r="C6" s="4" t="inlineStr">
        <is>
          <t>8 pts: há tratamento específico para denúncias graves/sensíveis, com proteção da identidade, sigilo reforçado ou restrição de acesso e encaminhamento adequado. 4 pts: tratamento diferenciado, mas incompleto. 0 pt: inexistência de proteção específica ou sem evidência.</t>
        </is>
      </c>
      <c r="D6" s="5" t="inlineStr">
        <is>
          <t>Resposta original consolidada do diagnóstico das Ouvidorias Estaduais de Serviços Penais.</t>
        </is>
      </c>
      <c r="E6" s="6" t="inlineStr">
        <is>
          <t>Art. 4º, II e §2º; art. 10, III.</t>
        </is>
      </c>
      <c r="F6" s="9" t="inlineStr">
        <is>
          <t>8 = atende
4 = parcial
0 = não atende / sem evidência</t>
        </is>
      </c>
      <c r="G6" s="4" t="inlineStr">
        <is>
          <t>7 pts: equipe e colaboradores possuem compromisso formal de sigilo. 3,5 pts: compromisso parcial, informal ou não abrangente. 0 pt: inexistente ou sem evidência.</t>
        </is>
      </c>
      <c r="H6" s="5" t="inlineStr">
        <is>
          <t>Resposta original consolidada do diagnóstico das Ouvidorias Estaduais de Serviços Penais.</t>
        </is>
      </c>
      <c r="I6" s="6" t="inlineStr">
        <is>
          <t>Art. 9º, §4º.</t>
        </is>
      </c>
      <c r="J6" s="9" t="inlineStr">
        <is>
          <t>7 = atende
3.5 = parcial
0 = não atende / sem evidência</t>
        </is>
      </c>
      <c r="K6" s="9" t="inlineStr">
        <is>
          <t>Soma automática das perguntas desta dimensão.</t>
        </is>
      </c>
      <c r="L6" s="9" t="inlineStr">
        <is>
          <t>Referência documental geral das respostas: Doc. SEI 37070578.</t>
        </is>
      </c>
    </row>
    <row r="7" ht="24" customHeight="1">
      <c r="A7" s="3" t="inlineStr">
        <is>
          <t>AC</t>
        </is>
      </c>
      <c r="B7" s="3" t="inlineStr">
        <is>
          <t>Acre</t>
        </is>
      </c>
      <c r="C7" s="3" t="inlineStr">
        <is>
          <t>Atende</t>
        </is>
      </c>
      <c r="D7" s="5" t="inlineStr">
        <is>
          <t>Protocolo para situações de risco à vida ou à integridade de pessoas privadas de liberdade;</t>
        </is>
      </c>
      <c r="E7" s="6" t="inlineStr">
        <is>
          <t>Art. 4º, II e §2º; art. 10, III.</t>
        </is>
      </c>
      <c r="F7" s="3">
        <f>IF(C7="Atende",8,IF(C7="Parcial",4,0))</f>
        <v/>
      </c>
      <c r="G7" s="3" t="inlineStr">
        <is>
          <t>Parcial</t>
        </is>
      </c>
      <c r="H7" s="5" t="inlineStr">
        <is>
          <t>Há cláusulas genéricas de sigilo em códigos de ética ou normativos equivalentes</t>
        </is>
      </c>
      <c r="I7" s="6" t="inlineStr">
        <is>
          <t>Art. 9º, §4º.</t>
        </is>
      </c>
      <c r="J7" s="3">
        <f>IF(G7="Atende",7,IF(G7="Parcial",3.5,0))</f>
        <v/>
      </c>
      <c r="K7" s="3">
        <f>SUM(F7,J7)</f>
        <v/>
      </c>
      <c r="L7" s="3" t="inlineStr">
        <is>
          <t>Doc. SEI 37070578</t>
        </is>
      </c>
    </row>
    <row r="8" ht="144" customHeight="1">
      <c r="A8" s="3" t="inlineStr">
        <is>
          <t>AL</t>
        </is>
      </c>
      <c r="B8" s="3" t="inlineStr">
        <is>
          <t>Alagoas</t>
        </is>
      </c>
      <c r="C8" s="3" t="inlineStr">
        <is>
          <t>Atende</t>
        </is>
      </c>
      <c r="D8" s="5" t="inlineStr">
        <is>
      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t>
        </is>
      </c>
      <c r="E8" s="6" t="inlineStr">
        <is>
          <t>Art. 4º, II e §2º; art. 10, III.</t>
        </is>
      </c>
      <c r="F8" s="3">
        <f>IF(C8="Atende",8,IF(C8="Parcial",4,0))</f>
        <v/>
      </c>
      <c r="G8" s="3" t="inlineStr">
        <is>
          <t>Não atende</t>
        </is>
      </c>
      <c r="H8" s="5" t="inlineStr">
        <is>
          <t>Não há qualquer instrumento formal de sigilo para a equipe da Ouvidoria</t>
        </is>
      </c>
      <c r="I8" s="6" t="inlineStr">
        <is>
          <t>Art. 9º, §4º.</t>
        </is>
      </c>
      <c r="J8" s="3">
        <f>IF(G8="Atende",7,IF(G8="Parcial",3.5,0))</f>
        <v/>
      </c>
      <c r="K8" s="3">
        <f>SUM(F8,J8)</f>
        <v/>
      </c>
      <c r="L8" s="3" t="inlineStr">
        <is>
          <t>Doc. SEI 37070578</t>
        </is>
      </c>
    </row>
    <row r="9" ht="60" customHeight="1">
      <c r="A9" s="3" t="inlineStr">
        <is>
          <t>AP</t>
        </is>
      </c>
      <c r="B9" s="3" t="inlineStr">
        <is>
          <t>Amapá</t>
        </is>
      </c>
      <c r="C9" s="3" t="inlineStr">
        <is>
          <t>Atende</t>
        </is>
      </c>
      <c r="D9" s="5" t="inlineStr">
        <is>
          <t>Protocolo para casos de tortura ou tratamento cruel, desumano ou degradante em unidades penais;Protocolo para ameaças, retaliações ou perseguições contra servidores(as) penais em razão de manifestações ou denúncias;</t>
        </is>
      </c>
      <c r="E9" s="6" t="inlineStr">
        <is>
          <t>Art. 4º, II e §2º; art. 10, III.</t>
        </is>
      </c>
      <c r="F9" s="3">
        <f>IF(C9="Atende",8,IF(C9="Parcial",4,0))</f>
        <v/>
      </c>
      <c r="G9" s="3" t="inlineStr">
        <is>
          <t>Atende</t>
        </is>
      </c>
      <c r="H9" s="5" t="inlineStr">
        <is>
          <t>A equipe assina Termo de Compromisso de Manutenção de Sigilo Funcional específico para atuação na Ouvidoria de Serviços Penais</t>
        </is>
      </c>
      <c r="I9" s="6" t="inlineStr">
        <is>
          <t>Art. 9º, §4º.</t>
        </is>
      </c>
      <c r="J9" s="3">
        <f>IF(G9="Atende",7,IF(G9="Parcial",3.5,0))</f>
        <v/>
      </c>
      <c r="K9" s="3">
        <f>SUM(F9,J9)</f>
        <v/>
      </c>
      <c r="L9" s="3" t="inlineStr">
        <is>
          <t>Doc. SEI 37070578</t>
        </is>
      </c>
    </row>
    <row r="10" ht="144" customHeight="1">
      <c r="A10" s="3" t="inlineStr">
        <is>
          <t>AM</t>
        </is>
      </c>
      <c r="B10" s="3" t="inlineStr">
        <is>
          <t>Amazonas</t>
        </is>
      </c>
      <c r="C10" s="3" t="inlineStr">
        <is>
          <t>Atende</t>
        </is>
      </c>
      <c r="D10" s="5" t="inlineStr">
        <is>
      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t>
        </is>
      </c>
      <c r="E10" s="6" t="inlineStr">
        <is>
          <t>Art. 4º, II e §2º; art. 10, III.</t>
        </is>
      </c>
      <c r="F10" s="3">
        <f>IF(C10="Atende",8,IF(C10="Parcial",4,0))</f>
        <v/>
      </c>
      <c r="G10" s="3" t="inlineStr">
        <is>
          <t>Atende</t>
        </is>
      </c>
      <c r="H10" s="5" t="inlineStr">
        <is>
          <t>Além do termo, há rotinas de reforço e capacitação periódica sobre sigilo e proteção de dados pessoais</t>
        </is>
      </c>
      <c r="I10" s="6" t="inlineStr">
        <is>
          <t>Art. 9º, §4º.</t>
        </is>
      </c>
      <c r="J10" s="3">
        <f>IF(G10="Atende",7,IF(G10="Parcial",3.5,0))</f>
        <v/>
      </c>
      <c r="K10" s="3">
        <f>SUM(F10,J10)</f>
        <v/>
      </c>
      <c r="L10" s="3" t="inlineStr">
        <is>
          <t>Doc. SEI 37070578</t>
        </is>
      </c>
    </row>
    <row r="11" ht="108" customHeight="1">
      <c r="A11" s="3" t="inlineStr">
        <is>
          <t>BA</t>
        </is>
      </c>
      <c r="B11" s="3" t="inlineStr">
        <is>
          <t>Bahia</t>
        </is>
      </c>
      <c r="C11" s="3" t="inlineStr">
        <is>
          <t>Atende</t>
        </is>
      </c>
      <c r="D11" s="5" t="inlineStr">
        <is>
          <t>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situações de risco à vida ou à integridade de pessoas privadas de liberdade;Protocolo para casos de tortura ou tratamento cruel, desumano ou degradante em unidades penais;</t>
        </is>
      </c>
      <c r="E11" s="6" t="inlineStr">
        <is>
          <t>Art. 4º, II e §2º; art. 10, III.</t>
        </is>
      </c>
      <c r="F11" s="3">
        <f>IF(C11="Atende",8,IF(C11="Parcial",4,0))</f>
        <v/>
      </c>
      <c r="G11" s="3" t="inlineStr">
        <is>
          <t>Atende</t>
        </is>
      </c>
      <c r="H11" s="5" t="inlineStr">
        <is>
          <t>A equipe assina Termo de Compromisso de Manutenção de Sigilo Funcional específico para atuação na Ouvidoria de Serviços Penais</t>
        </is>
      </c>
      <c r="I11" s="6" t="inlineStr">
        <is>
          <t>Art. 9º, §4º.</t>
        </is>
      </c>
      <c r="J11" s="3">
        <f>IF(G11="Atende",7,IF(G11="Parcial",3.5,0))</f>
        <v/>
      </c>
      <c r="K11" s="3">
        <f>SUM(F11,J11)</f>
        <v/>
      </c>
      <c r="L11" s="3" t="inlineStr">
        <is>
          <t>Doc. SEI 37070578</t>
        </is>
      </c>
    </row>
    <row r="12" ht="24" customHeight="1">
      <c r="A12" s="3" t="inlineStr">
        <is>
          <t>CE</t>
        </is>
      </c>
      <c r="B12" s="3" t="inlineStr">
        <is>
          <t>Ceará</t>
        </is>
      </c>
      <c r="C12" s="3" t="inlineStr">
        <is>
          <t>Atende</t>
        </is>
      </c>
      <c r="D12" s="5" t="inlineStr">
        <is>
          <t>Protocolo para casos de tortura ou tratamento cruel, desumano ou degradante em unidades penais;</t>
        </is>
      </c>
      <c r="E12" s="6" t="inlineStr">
        <is>
          <t>Art. 4º, II e §2º; art. 10, III.</t>
        </is>
      </c>
      <c r="F12" s="3">
        <f>IF(C12="Atende",8,IF(C12="Parcial",4,0))</f>
        <v/>
      </c>
      <c r="G12" s="3" t="inlineStr">
        <is>
          <t>Atende</t>
        </is>
      </c>
      <c r="H12" s="5" t="inlineStr">
        <is>
          <t>Além do termo, há rotinas de reforço e capacitação periódica sobre sigilo e proteção de dados pessoais</t>
        </is>
      </c>
      <c r="I12" s="6" t="inlineStr">
        <is>
          <t>Art. 9º, §4º.</t>
        </is>
      </c>
      <c r="J12" s="3">
        <f>IF(G12="Atende",7,IF(G12="Parcial",3.5,0))</f>
        <v/>
      </c>
      <c r="K12" s="3">
        <f>SUM(F12,J12)</f>
        <v/>
      </c>
      <c r="L12" s="3" t="inlineStr">
        <is>
          <t>Doc. SEI 37070578</t>
        </is>
      </c>
    </row>
    <row r="13" ht="36" customHeight="1">
      <c r="A13" s="3" t="inlineStr">
        <is>
          <t>DF</t>
        </is>
      </c>
      <c r="B13" s="3" t="inlineStr">
        <is>
          <t>Distrito Federal</t>
        </is>
      </c>
      <c r="C13" s="3" t="inlineStr">
        <is>
          <t>Atende</t>
        </is>
      </c>
      <c r="D13" s="5" t="inlineStr">
        <is>
          <t>Procedimentos de sigilo reforçado, restrição de acesso e fluxos de emergência para esses casos;Protocolo para assédio moral ou sexual envolvendo servidores(as) penais;</t>
        </is>
      </c>
      <c r="E13" s="6" t="inlineStr">
        <is>
          <t>Art. 4º, II e §2º; art. 10, III.</t>
        </is>
      </c>
      <c r="F13" s="3">
        <f>IF(C13="Atende",8,IF(C13="Parcial",4,0))</f>
        <v/>
      </c>
      <c r="G13" s="3" t="inlineStr">
        <is>
          <t>Atende</t>
        </is>
      </c>
      <c r="H13" s="5" t="inlineStr">
        <is>
          <t>Além do termo, há rotinas de reforço e capacitação periódica sobre sigilo e proteção de dados pessoais</t>
        </is>
      </c>
      <c r="I13" s="6" t="inlineStr">
        <is>
          <t>Art. 9º, §4º.</t>
        </is>
      </c>
      <c r="J13" s="3">
        <f>IF(G13="Atende",7,IF(G13="Parcial",3.5,0))</f>
        <v/>
      </c>
      <c r="K13" s="3">
        <f>SUM(F13,J13)</f>
        <v/>
      </c>
      <c r="L13" s="3" t="inlineStr">
        <is>
          <t>Doc. SEI 37070578</t>
        </is>
      </c>
    </row>
    <row r="14" ht="144" customHeight="1">
      <c r="A14" s="3" t="inlineStr">
        <is>
          <t>ES</t>
        </is>
      </c>
      <c r="B14" s="3" t="inlineStr">
        <is>
          <t>Espírito Santo — Polícia Penal</t>
        </is>
      </c>
      <c r="C14" s="3" t="inlineStr">
        <is>
          <t>Atende</t>
        </is>
      </c>
      <c r="D14" s="5" t="inlineStr">
        <is>
      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denúncias;Procedimentos de sigilo reforçado, restrição de acesso e fluxos de emergência para esses casos;Protocolo para corrupção e irregularidades graves na gestão dos serviços penais;</t>
        </is>
      </c>
      <c r="E14" s="6" t="inlineStr">
        <is>
          <t>Art. 4º, II e §2º; art. 10, III.</t>
        </is>
      </c>
      <c r="F14" s="3">
        <f>IF(C14="Atende",8,IF(C14="Parcial",4,0))</f>
        <v/>
      </c>
      <c r="G14" s="3" t="inlineStr">
        <is>
          <t>Atende</t>
        </is>
      </c>
      <c r="H14" s="5" t="inlineStr">
        <is>
          <t>Além do termo, há rotinas de reforço e capacitação periódica sobre sigilo e proteção de dados pessoais</t>
        </is>
      </c>
      <c r="I14" s="6" t="inlineStr">
        <is>
          <t>Art. 9º, §4º.</t>
        </is>
      </c>
      <c r="J14" s="3">
        <f>IF(G14="Atende",7,IF(G14="Parcial",3.5,0))</f>
        <v/>
      </c>
      <c r="K14" s="3">
        <f>SUM(F14,J14)</f>
        <v/>
      </c>
      <c r="L14" s="3" t="inlineStr">
        <is>
          <t>Doc. SEI 37070578</t>
        </is>
      </c>
    </row>
    <row r="15" ht="24" customHeight="1">
      <c r="A15" s="3" t="inlineStr">
        <is>
          <t>ES</t>
        </is>
      </c>
      <c r="B15" s="3" t="inlineStr">
        <is>
          <t>Espírito Santo — SEJUS/ES</t>
        </is>
      </c>
      <c r="C15" s="3" t="inlineStr">
        <is>
          <t>Parcial</t>
        </is>
      </c>
      <c r="D15" s="5" t="inlineStr">
        <is>
          <t>Protocolo para assédio moral ou sexual envolvendo servidores(as) penais;</t>
        </is>
      </c>
      <c r="E15" s="6" t="inlineStr">
        <is>
          <t>Art. 4º, II e §2º; art. 10, III.</t>
        </is>
      </c>
      <c r="F15" s="3">
        <f>IF(C15="Atende",8,IF(C15="Parcial",4,0))</f>
        <v/>
      </c>
      <c r="G15" s="3" t="inlineStr">
        <is>
          <t>Parcial</t>
        </is>
      </c>
      <c r="H15" s="5" t="inlineStr">
        <is>
          <t>Há cláusulas genéricas de sigilo em códigos de ética ou normativos equivalentes</t>
        </is>
      </c>
      <c r="I15" s="6" t="inlineStr">
        <is>
          <t>Art. 9º, §4º.</t>
        </is>
      </c>
      <c r="J15" s="3">
        <f>IF(G15="Atende",7,IF(G15="Parcial",3.5,0))</f>
        <v/>
      </c>
      <c r="K15" s="3">
        <f>SUM(F15,J15)</f>
        <v/>
      </c>
      <c r="L15" s="3" t="inlineStr">
        <is>
          <t>Doc. SEI 37070578</t>
        </is>
      </c>
    </row>
    <row r="16" ht="144" customHeight="1">
      <c r="A16" s="3" t="inlineStr">
        <is>
          <t>GO</t>
        </is>
      </c>
      <c r="B16" s="3" t="inlineStr">
        <is>
          <t>Goiás</t>
        </is>
      </c>
      <c r="C16" s="3" t="inlineStr">
        <is>
          <t>Atende</t>
        </is>
      </c>
      <c r="D16" s="5" t="inlineStr">
        <is>
          <t>Procedimentos de sigilo reforçado, restrição de acesso e fluxos de emergência para esses casos;Protocolo para situações de risco à vida ou à integridade de pessoas privadas de liberdade;Protocolo para assédio moral ou sexual envolvendo servidores(as) penais;Protocolo para outras formas de violência institucional em unidades penais;Protocolo para corrupção e irregularidades graves na gestão dos serviços penais;Protocolo para ameaças, retaliações ou perseguições contra servidores(as) penais em razão de manifestações ou denúncias;Protocolo para casos de tortura ou tratamento cruel, desumano ou degradante em unidades penais;</t>
        </is>
      </c>
      <c r="E16" s="6" t="inlineStr">
        <is>
          <t>Art. 4º, II e §2º; art. 10, III.</t>
        </is>
      </c>
      <c r="F16" s="3">
        <f>IF(C16="Atende",8,IF(C16="Parcial",4,0))</f>
        <v/>
      </c>
      <c r="G16" s="3" t="inlineStr">
        <is>
          <t>Atende</t>
        </is>
      </c>
      <c r="H16" s="5" t="inlineStr">
        <is>
          <t>Além do termo, há rotinas de reforço e capacitação periódica sobre sigilo e proteção de dados pessoais</t>
        </is>
      </c>
      <c r="I16" s="6" t="inlineStr">
        <is>
          <t>Art. 9º, §4º.</t>
        </is>
      </c>
      <c r="J16" s="3">
        <f>IF(G16="Atende",7,IF(G16="Parcial",3.5,0))</f>
        <v/>
      </c>
      <c r="K16" s="3">
        <f>SUM(F16,J16)</f>
        <v/>
      </c>
      <c r="L16" s="3" t="inlineStr">
        <is>
          <t>Doc. SEI 37070578</t>
        </is>
      </c>
    </row>
    <row r="17" ht="96" customHeight="1">
      <c r="A17" s="3" t="inlineStr">
        <is>
          <t>MA</t>
        </is>
      </c>
      <c r="B17" s="3" t="inlineStr">
        <is>
          <t>Maranhão</t>
        </is>
      </c>
      <c r="C17" s="3" t="inlineStr">
        <is>
          <t>Atende</t>
        </is>
      </c>
      <c r="D17" s="5" t="inlineStr">
        <is>
      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penais;Procedimentos de sigilo reforçado, restrição de acesso e fluxos de emergência para esses casos;</t>
        </is>
      </c>
      <c r="E17" s="6" t="inlineStr">
        <is>
          <t>Art. 4º, II e §2º; art. 10, III.</t>
        </is>
      </c>
      <c r="F17" s="3">
        <f>IF(C17="Atende",8,IF(C17="Parcial",4,0))</f>
        <v/>
      </c>
      <c r="G17" s="3" t="inlineStr">
        <is>
          <t>Atende</t>
        </is>
      </c>
      <c r="H17" s="5" t="inlineStr">
        <is>
          <t>Há cláusulas genéricas de sigilo em códigos de ética ou normativos equivalentes</t>
        </is>
      </c>
      <c r="I17" s="6" t="inlineStr">
        <is>
          <t>Art. 9º, §4º.</t>
        </is>
      </c>
      <c r="J17" s="3">
        <f>IF(G17="Atende",7,IF(G17="Parcial",3.5,0))</f>
        <v/>
      </c>
      <c r="K17" s="3">
        <f>SUM(F17,J17)</f>
        <v/>
      </c>
      <c r="L17" s="3" t="inlineStr">
        <is>
          <t>Doc. SEI 37070578</t>
        </is>
      </c>
    </row>
    <row r="18" ht="144" customHeight="1">
      <c r="A18" s="3" t="inlineStr">
        <is>
          <t>MT</t>
        </is>
      </c>
      <c r="B18" s="3" t="inlineStr">
        <is>
          <t>Mato Grosso</t>
        </is>
      </c>
      <c r="C18" s="3" t="inlineStr">
        <is>
          <t>Atende</t>
        </is>
      </c>
      <c r="D18" s="5" t="inlineStr">
        <is>
          <t>Procedimentos de sigilo reforçado, restrição de acesso e fluxos de emergência para esses casos;Protocolo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</t>
        </is>
      </c>
      <c r="E18" s="6" t="inlineStr">
        <is>
          <t>Art. 4º, II e §2º; art. 10, III.</t>
        </is>
      </c>
      <c r="F18" s="3">
        <f>IF(C18="Atende",8,IF(C18="Parcial",4,0))</f>
        <v/>
      </c>
      <c r="G18" s="3" t="inlineStr">
        <is>
          <t>Atende</t>
        </is>
      </c>
      <c r="H18" s="5" t="inlineStr">
        <is>
          <t>Há cláusulas genéricas de sigilo em códigos de ética ou normativos equivalentes</t>
        </is>
      </c>
      <c r="I18" s="6" t="inlineStr">
        <is>
          <t>Art. 9º, §4º.</t>
        </is>
      </c>
      <c r="J18" s="3">
        <f>IF(G18="Atende",7,IF(G18="Parcial",3.5,0))</f>
        <v/>
      </c>
      <c r="K18" s="3">
        <f>SUM(F18,J18)</f>
        <v/>
      </c>
      <c r="L18" s="3" t="inlineStr">
        <is>
          <t>Doc. SEI 37070578</t>
        </is>
      </c>
    </row>
    <row r="19" ht="144" customHeight="1">
      <c r="A19" s="3" t="inlineStr">
        <is>
          <t>MS</t>
        </is>
      </c>
      <c r="B19" s="3" t="inlineStr">
        <is>
          <t>Mato Grosso do Sul</t>
        </is>
      </c>
      <c r="C19" s="3" t="inlineStr">
        <is>
          <t>Atende</t>
        </is>
      </c>
      <c r="D19" s="5" t="inlineStr">
        <is>
      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t>
        </is>
      </c>
      <c r="E19" s="6" t="inlineStr">
        <is>
          <t>Art. 4º, II e §2º; art. 10, III.</t>
        </is>
      </c>
      <c r="F19" s="3">
        <f>IF(C19="Atende",8,IF(C19="Parcial",4,0))</f>
        <v/>
      </c>
      <c r="G19" s="3" t="inlineStr">
        <is>
          <t>Não atende</t>
        </is>
      </c>
      <c r="H19" s="5" t="inlineStr">
        <is>
          <t>Não há qualquer instrumento formal de sigilo para a equipe da Ouvidoria</t>
        </is>
      </c>
      <c r="I19" s="6" t="inlineStr">
        <is>
          <t>Art. 9º, §4º.</t>
        </is>
      </c>
      <c r="J19" s="3">
        <f>IF(G19="Atende",7,IF(G19="Parcial",3.5,0))</f>
        <v/>
      </c>
      <c r="K19" s="3">
        <f>SUM(F19,J19)</f>
        <v/>
      </c>
      <c r="L19" s="3" t="inlineStr">
        <is>
          <t>Doc. SEI 37070578</t>
        </is>
      </c>
    </row>
    <row r="20" ht="132" customHeight="1">
      <c r="A20" s="3" t="inlineStr">
        <is>
          <t>MG</t>
        </is>
      </c>
      <c r="B20" s="3" t="inlineStr">
        <is>
          <t>Minas Gerais</t>
        </is>
      </c>
      <c r="C20" s="3" t="inlineStr">
        <is>
          <t>Atende</t>
        </is>
      </c>
      <c r="D20" s="5" t="inlineStr">
        <is>
          <t>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casos;A OGE/MG possui uma Ouvidoria de Prevenção e Combate ao Assédio Moral e Sexual, bem como Ouvidoria de Prevenção e Combate a Corrupção. ;</t>
        </is>
      </c>
      <c r="E20" s="6" t="inlineStr">
        <is>
          <t>Art. 4º, II e §2º; art. 10, III.</t>
        </is>
      </c>
      <c r="F20" s="3">
        <f>IF(C20="Atende",8,IF(C20="Parcial",4,0))</f>
        <v/>
      </c>
      <c r="G20" s="3" t="inlineStr">
        <is>
          <t>Atende</t>
        </is>
      </c>
      <c r="H20" s="5" t="inlineStr">
        <is>
          <t>Além do termo, há rotinas de reforço e capacitação periódica sobre sigilo e proteção de dados pessoais</t>
        </is>
      </c>
      <c r="I20" s="6" t="inlineStr">
        <is>
          <t>Art. 9º, §4º.</t>
        </is>
      </c>
      <c r="J20" s="3">
        <f>IF(G20="Atende",7,IF(G20="Parcial",3.5,0))</f>
        <v/>
      </c>
      <c r="K20" s="3">
        <f>SUM(F20,J20)</f>
        <v/>
      </c>
      <c r="L20" s="3" t="inlineStr">
        <is>
          <t>Doc. SEI 37070578</t>
        </is>
      </c>
    </row>
    <row r="21">
      <c r="A21" s="3" t="inlineStr">
        <is>
          <t>PA</t>
        </is>
      </c>
      <c r="B21" s="3" t="inlineStr">
        <is>
          <t>Pará</t>
        </is>
      </c>
      <c r="C21" s="3" t="inlineStr">
        <is>
          <t>Sem evidência</t>
        </is>
      </c>
      <c r="D21" s="5" t="inlineStr">
        <is>
          <t>Não há Ouvidoria consituída;</t>
        </is>
      </c>
      <c r="E21" s="6" t="inlineStr">
        <is>
          <t>Art. 4º, II e §2º; art. 10, III.</t>
        </is>
      </c>
      <c r="F21" s="3">
        <f>IF(C21="Atende",8,IF(C21="Parcial",4,0))</f>
        <v/>
      </c>
      <c r="G21" s="3" t="inlineStr">
        <is>
          <t>Sem evidência</t>
        </is>
      </c>
      <c r="H21" s="5" t="inlineStr">
        <is>
          <t>Não há equipe</t>
        </is>
      </c>
      <c r="I21" s="6" t="inlineStr">
        <is>
          <t>Art. 9º, §4º.</t>
        </is>
      </c>
      <c r="J21" s="3">
        <f>IF(G21="Atende",7,IF(G21="Parcial",3.5,0))</f>
        <v/>
      </c>
      <c r="K21" s="3">
        <f>SUM(F21,J21)</f>
        <v/>
      </c>
      <c r="L21" s="3" t="inlineStr">
        <is>
          <t>Doc. SEI 37070578</t>
        </is>
      </c>
    </row>
    <row r="22" ht="84" customHeight="1">
      <c r="A22" s="3" t="inlineStr">
        <is>
          <t>PB</t>
        </is>
      </c>
      <c r="B22" s="3" t="inlineStr">
        <is>
          <t>Paraíba</t>
        </is>
      </c>
      <c r="C22" s="3" t="inlineStr">
        <is>
          <t>Atende</t>
        </is>
      </c>
      <c r="D22" s="5" t="inlineStr">
        <is>
          <t>Protocolo para situações de risco à vida ou à integridade de pessoas privadas de liberdade;Protocolo para casos de tortura ou tratamento cruel, desumano ou degradante em unidades penais;Protocolo para assédio moral ou sexual envolvendo servidores(as) penais;Protocolo para ameaças, retaliações ou perseguições contra servidores(as) penais em razão de manifestações ou denúncias;</t>
        </is>
      </c>
      <c r="E22" s="6" t="inlineStr">
        <is>
          <t>Art. 4º, II e §2º; art. 10, III.</t>
        </is>
      </c>
      <c r="F22" s="3">
        <f>IF(C22="Atende",8,IF(C22="Parcial",4,0))</f>
        <v/>
      </c>
      <c r="G22" s="3" t="inlineStr">
        <is>
          <t>Não atende</t>
        </is>
      </c>
      <c r="H22" s="5" t="inlineStr">
        <is>
          <t>Não há qualquer instrumento formal de sigilo para a equipe da Ouvidoria</t>
        </is>
      </c>
      <c r="I22" s="6" t="inlineStr">
        <is>
          <t>Art. 9º, §4º.</t>
        </is>
      </c>
      <c r="J22" s="3">
        <f>IF(G22="Atende",7,IF(G22="Parcial",3.5,0))</f>
        <v/>
      </c>
      <c r="K22" s="3">
        <f>SUM(F22,J22)</f>
        <v/>
      </c>
      <c r="L22" s="3" t="inlineStr">
        <is>
          <t>Doc. SEI 37070578</t>
        </is>
      </c>
    </row>
    <row r="23" ht="144" customHeight="1">
      <c r="A23" s="3" t="inlineStr">
        <is>
          <t>PR</t>
        </is>
      </c>
      <c r="B23" s="3" t="inlineStr">
        <is>
          <t>Paraná</t>
        </is>
      </c>
      <c r="C23" s="3" t="inlineStr">
        <is>
          <t>Atende</t>
        </is>
      </c>
      <c r="D23" s="5" t="inlineStr">
        <is>
          <t>Procedimentos de sigilo reforçado, restrição de acesso e fluxos de emergência para esses casos;Protocolo para corrupção e irregularidades graves na gestão dos serviços penais;Protocolo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casos de tortura ou tratamento cruel, desumano ou degradante em unidades penais;Protocolo para situações de risco à vida ou à integridade de pessoas privadas de liberdade;</t>
        </is>
      </c>
      <c r="E23" s="6" t="inlineStr">
        <is>
          <t>Art. 4º, II e §2º; art. 10, III.</t>
        </is>
      </c>
      <c r="F23" s="3">
        <f>IF(C23="Atende",8,IF(C23="Parcial",4,0))</f>
        <v/>
      </c>
      <c r="G23" s="3" t="inlineStr">
        <is>
          <t>Atende</t>
        </is>
      </c>
      <c r="H23" s="5" t="inlineStr">
        <is>
          <t>A equipe assina Termo de Compromisso de Manutenção de Sigilo Funcional específico para atuação na Ouvidoria de Serviços Penais</t>
        </is>
      </c>
      <c r="I23" s="6" t="inlineStr">
        <is>
          <t>Art. 9º, §4º.</t>
        </is>
      </c>
      <c r="J23" s="3">
        <f>IF(G23="Atende",7,IF(G23="Parcial",3.5,0))</f>
        <v/>
      </c>
      <c r="K23" s="3">
        <f>SUM(F23,J23)</f>
        <v/>
      </c>
      <c r="L23" s="3" t="inlineStr">
        <is>
          <t>Doc. SEI 37070578</t>
        </is>
      </c>
    </row>
    <row r="24" ht="144" customHeight="1">
      <c r="A24" s="3" t="inlineStr">
        <is>
          <t>PE</t>
        </is>
      </c>
      <c r="B24" s="3" t="inlineStr">
        <is>
          <t>Pernambuco</t>
        </is>
      </c>
      <c r="C24" s="3" t="inlineStr">
        <is>
          <t>Atende</t>
        </is>
      </c>
      <c r="D24" s="5" t="inlineStr">
        <is>
      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t>
        </is>
      </c>
      <c r="E24" s="6" t="inlineStr">
        <is>
          <t>Art. 4º, II e §2º; art. 10, III.</t>
        </is>
      </c>
      <c r="F24" s="3">
        <f>IF(C24="Atende",8,IF(C24="Parcial",4,0))</f>
        <v/>
      </c>
      <c r="G24" s="3" t="inlineStr">
        <is>
          <t>Atende</t>
        </is>
      </c>
      <c r="H24" s="5" t="inlineStr">
        <is>
          <t>Além do termo, há rotinas de reforço e capacitação periódica sobre sigilo e proteção de dados pessoais</t>
        </is>
      </c>
      <c r="I24" s="6" t="inlineStr">
        <is>
          <t>Art. 9º, §4º.</t>
        </is>
      </c>
      <c r="J24" s="3">
        <f>IF(G24="Atende",7,IF(G24="Parcial",3.5,0))</f>
        <v/>
      </c>
      <c r="K24" s="3">
        <f>SUM(F24,J24)</f>
        <v/>
      </c>
      <c r="L24" s="3" t="inlineStr">
        <is>
          <t>Doc. SEI 37070578</t>
        </is>
      </c>
    </row>
    <row r="25" ht="60" customHeight="1">
      <c r="A25" s="3" t="inlineStr">
        <is>
          <t>PI</t>
        </is>
      </c>
      <c r="B25" s="3" t="inlineStr">
        <is>
          <t>Piauí</t>
        </is>
      </c>
      <c r="C25" s="3" t="inlineStr">
        <is>
          <t>Atende</t>
        </is>
      </c>
      <c r="D25" s="5" t="inlineStr">
        <is>
          <t>Protocolo para situações de risco à vida ou à integridade de pessoas privadas de liberdade;Protocolo para casos de tortura ou tratamento cruel, desumano ou degradante em unidades penais;Protocolo para assédio moral ou sexual envolvendo servidores(as) penais;</t>
        </is>
      </c>
      <c r="E25" s="6" t="inlineStr">
        <is>
          <t>Art. 4º, II e §2º; art. 10, III.</t>
        </is>
      </c>
      <c r="F25" s="3">
        <f>IF(C25="Atende",8,IF(C25="Parcial",4,0))</f>
        <v/>
      </c>
      <c r="G25" s="3" t="inlineStr">
        <is>
          <t>Parcial</t>
        </is>
      </c>
      <c r="H25" s="5" t="inlineStr">
        <is>
          <t>Há cláusulas genéricas de sigilo em códigos de ética ou normativos equivalentes</t>
        </is>
      </c>
      <c r="I25" s="6" t="inlineStr">
        <is>
          <t>Art. 9º, §4º.</t>
        </is>
      </c>
      <c r="J25" s="3">
        <f>IF(G25="Atende",7,IF(G25="Parcial",3.5,0))</f>
        <v/>
      </c>
      <c r="K25" s="3">
        <f>SUM(F25,J25)</f>
        <v/>
      </c>
      <c r="L25" s="3" t="inlineStr">
        <is>
          <t>Doc. SEI 37070578</t>
        </is>
      </c>
    </row>
    <row r="26" ht="144" customHeight="1">
      <c r="A26" s="3" t="inlineStr">
        <is>
          <t>RJ</t>
        </is>
      </c>
      <c r="B26" s="3" t="inlineStr">
        <is>
          <t>Rio de Janeiro</t>
        </is>
      </c>
      <c r="C26" s="3" t="inlineStr">
        <is>
          <t>Atende</t>
        </is>
      </c>
      <c r="D26" s="5" t="inlineStr">
        <is>
          <t>Protocolo para situações de risco à vida ou à integridade de pessoas privadas de liberdade;Protocolo para ameaças, retaliações ou perseguições contra servidores(as) penais em razão de manifestações ou denúncias;Protocolo para assédio moral ou sexual envolvendo servidores(as) penais;Protocolo para corrupção e irregularidades graves na gestão dos serviços penais;Procedimentos de sigilo reforçado, restrição de acesso e fluxos de emergência para esses casos;Protocolo para casos de tortura ou tratamento cruel, desumano ou degradante em unidades penais;Protocolo para outras formas de violência institucional em unidades penais;</t>
        </is>
      </c>
      <c r="E26" s="6" t="inlineStr">
        <is>
          <t>Art. 4º, II e §2º; art. 10, III.</t>
        </is>
      </c>
      <c r="F26" s="3">
        <f>IF(C26="Atende",8,IF(C26="Parcial",4,0))</f>
        <v/>
      </c>
      <c r="G26" s="3" t="inlineStr">
        <is>
          <t>Atende</t>
        </is>
      </c>
      <c r="H26" s="5" t="inlineStr">
        <is>
          <t>Além do termo, há rotinas de reforço e capacitação periódica sobre sigilo e proteção de dados pessoais</t>
        </is>
      </c>
      <c r="I26" s="6" t="inlineStr">
        <is>
          <t>Art. 9º, §4º.</t>
        </is>
      </c>
      <c r="J26" s="3">
        <f>IF(G26="Atende",7,IF(G26="Parcial",3.5,0))</f>
        <v/>
      </c>
      <c r="K26" s="3">
        <f>SUM(F26,J26)</f>
        <v/>
      </c>
      <c r="L26" s="3" t="inlineStr">
        <is>
          <t>Doc. SEI 37070578</t>
        </is>
      </c>
    </row>
    <row r="27" ht="144" customHeight="1">
      <c r="A27" s="3" t="inlineStr">
        <is>
          <t>RN</t>
        </is>
      </c>
      <c r="B27" s="3" t="inlineStr">
        <is>
          <t>Rio Grande do Norte</t>
        </is>
      </c>
      <c r="C27" s="3" t="inlineStr">
        <is>
          <t>Atende</t>
        </is>
      </c>
      <c r="D27" s="5" t="inlineStr">
        <is>
      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denúncias;Procedimentos de sigilo reforçado, restrição de acesso e fluxos de emergência para esses casos;Protocolo para corrupção e irregularidades graves na gestão dos serviços penais;</t>
        </is>
      </c>
      <c r="E27" s="6" t="inlineStr">
        <is>
          <t>Art. 4º, II e §2º; art. 10, III.</t>
        </is>
      </c>
      <c r="F27" s="3">
        <f>IF(C27="Atende",8,IF(C27="Parcial",4,0))</f>
        <v/>
      </c>
      <c r="G27" s="3" t="inlineStr">
        <is>
          <t>Parcial</t>
        </is>
      </c>
      <c r="H27" s="5" t="inlineStr">
        <is>
          <t>Há cláusulas genéricas de sigilo em códigos de ética ou normativos equivalentes</t>
        </is>
      </c>
      <c r="I27" s="6" t="inlineStr">
        <is>
          <t>Art. 9º, §4º.</t>
        </is>
      </c>
      <c r="J27" s="3">
        <f>IF(G27="Atende",7,IF(G27="Parcial",3.5,0))</f>
        <v/>
      </c>
      <c r="K27" s="3">
        <f>SUM(F27,J27)</f>
        <v/>
      </c>
      <c r="L27" s="3" t="inlineStr">
        <is>
          <t>Doc. SEI 37070578</t>
        </is>
      </c>
    </row>
    <row r="28" ht="48" customHeight="1">
      <c r="A28" s="3" t="inlineStr">
        <is>
          <t>RS</t>
        </is>
      </c>
      <c r="B28" s="3" t="inlineStr">
        <is>
          <t>Rio Grande do Sul</t>
        </is>
      </c>
      <c r="C28" s="3" t="inlineStr">
        <is>
          <t>Atende</t>
        </is>
      </c>
      <c r="D28" s="5" t="inlineStr">
        <is>
          <t>Procedimentos de sigilo reforçado, restrição de acesso e fluxos de emergência para esses casos;Protocolo para corrupção e irregularidades graves na gestão dos serviços penais;</t>
        </is>
      </c>
      <c r="E28" s="6" t="inlineStr">
        <is>
          <t>Art. 4º, II e §2º; art. 10, III.</t>
        </is>
      </c>
      <c r="F28" s="3">
        <f>IF(C28="Atende",8,IF(C28="Parcial",4,0))</f>
        <v/>
      </c>
      <c r="G28" s="3" t="inlineStr">
        <is>
          <t>Parcial</t>
        </is>
      </c>
      <c r="H28" s="5" t="inlineStr">
        <is>
          <t>Há cláusulas genéricas de sigilo em códigos de ética ou normativos equivalentes</t>
        </is>
      </c>
      <c r="I28" s="6" t="inlineStr">
        <is>
          <t>Art. 9º, §4º.</t>
        </is>
      </c>
      <c r="J28" s="3">
        <f>IF(G28="Atende",7,IF(G28="Parcial",3.5,0))</f>
        <v/>
      </c>
      <c r="K28" s="3">
        <f>SUM(F28,J28)</f>
        <v/>
      </c>
      <c r="L28" s="3" t="inlineStr">
        <is>
          <t>Doc. SEI 37070578</t>
        </is>
      </c>
    </row>
    <row r="29" ht="84" customHeight="1">
      <c r="A29" s="3" t="inlineStr">
        <is>
          <t>RO</t>
        </is>
      </c>
      <c r="B29" s="3" t="inlineStr">
        <is>
          <t>Rondônia</t>
        </is>
      </c>
      <c r="C29" s="3" t="inlineStr">
        <is>
          <t>Sem evidência</t>
        </is>
      </c>
      <c r="D29" s="5" t="inlineStr">
        <is>
          <t>Protocolo para situações de risco à vida ou à integridade de pessoas privadas de liberdade;Protocolo para casos de tortura ou tratamento cruel, desumano ou degradante em unidades penais;Protocolo para assédio moral ou sexual envolvendo servidores(as) penais;Procedimentos de sigilo reforçado, restrição de acesso e fluxos de emergência para esses casos;</t>
        </is>
      </c>
      <c r="E29" s="6" t="inlineStr">
        <is>
          <t>Art. 4º, II e §2º; art. 10, III.</t>
        </is>
      </c>
      <c r="F29" s="3">
        <f>IF(C29="Atende",8,IF(C29="Parcial",4,0))</f>
        <v/>
      </c>
      <c r="G29" s="3" t="inlineStr">
        <is>
          <t>Sem evidência</t>
        </is>
      </c>
      <c r="H29" s="5" t="inlineStr">
        <is>
          <t>Não há qualquer instrumento formal de sigilo para a equipe da Ouvidoria</t>
        </is>
      </c>
      <c r="I29" s="6" t="inlineStr">
        <is>
          <t>Art. 9º, §4º.</t>
        </is>
      </c>
      <c r="J29" s="3">
        <f>IF(G29="Atende",7,IF(G29="Parcial",3.5,0))</f>
        <v/>
      </c>
      <c r="K29" s="3">
        <f>SUM(F29,J29)</f>
        <v/>
      </c>
      <c r="L29" s="3" t="inlineStr">
        <is>
          <t>Doc. SEI 37070578</t>
        </is>
      </c>
    </row>
    <row r="30" ht="144" customHeight="1">
      <c r="A30" s="3" t="inlineStr">
        <is>
          <t>RR</t>
        </is>
      </c>
      <c r="B30" s="3" t="inlineStr">
        <is>
          <t>Roraima</t>
        </is>
      </c>
      <c r="C30" s="3" t="inlineStr">
        <is>
          <t>Atende</t>
        </is>
      </c>
      <c r="D30" s="5" t="inlineStr">
        <is>
      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t>
        </is>
      </c>
      <c r="E30" s="6" t="inlineStr">
        <is>
          <t>Art. 4º, II e §2º; art. 10, III.</t>
        </is>
      </c>
      <c r="F30" s="3">
        <f>IF(C30="Atende",8,IF(C30="Parcial",4,0))</f>
        <v/>
      </c>
      <c r="G30" s="3" t="inlineStr">
        <is>
          <t>Parcial</t>
        </is>
      </c>
      <c r="H30" s="5" t="inlineStr">
        <is>
          <t>Há cláusulas genéricas de sigilo em códigos de ética ou normativos equivalentes</t>
        </is>
      </c>
      <c r="I30" s="6" t="inlineStr">
        <is>
          <t>Art. 9º, §4º.</t>
        </is>
      </c>
      <c r="J30" s="3">
        <f>IF(G30="Atende",7,IF(G30="Parcial",3.5,0))</f>
        <v/>
      </c>
      <c r="K30" s="3">
        <f>SUM(F30,J30)</f>
        <v/>
      </c>
      <c r="L30" s="3" t="inlineStr">
        <is>
          <t>Doc. SEI 37070578</t>
        </is>
      </c>
    </row>
    <row r="31" ht="36" customHeight="1">
      <c r="A31" s="3" t="inlineStr">
        <is>
          <t>SC</t>
        </is>
      </c>
      <c r="B31" s="3" t="inlineStr">
        <is>
          <t>Santa Catarina</t>
        </is>
      </c>
      <c r="C31" s="3" t="inlineStr">
        <is>
          <t>Atende</t>
        </is>
      </c>
      <c r="D31" s="5" t="inlineStr">
        <is>
          <t>Procedimentos de sigilo reforçado, restrição de acesso e fluxos de emergência para esses casos;Protocolo para assédio moral ou sexual envolvendo servidores(as) penais;</t>
        </is>
      </c>
      <c r="E31" s="6" t="inlineStr">
        <is>
          <t>Art. 4º, II e §2º; art. 10, III.</t>
        </is>
      </c>
      <c r="F31" s="3">
        <f>IF(C31="Atende",8,IF(C31="Parcial",4,0))</f>
        <v/>
      </c>
      <c r="G31" s="3" t="inlineStr">
        <is>
          <t>Atende</t>
        </is>
      </c>
      <c r="H31" s="5" t="inlineStr">
        <is>
          <t>Além do termo, há rotinas de reforço e capacitação periódica sobre sigilo e proteção de dados pessoais</t>
        </is>
      </c>
      <c r="I31" s="6" t="inlineStr">
        <is>
          <t>Art. 9º, §4º.</t>
        </is>
      </c>
      <c r="J31" s="3">
        <f>IF(G31="Atende",7,IF(G31="Parcial",3.5,0))</f>
        <v/>
      </c>
      <c r="K31" s="3">
        <f>SUM(F31,J31)</f>
        <v/>
      </c>
      <c r="L31" s="3" t="inlineStr">
        <is>
          <t>Doc. SEI 37070578</t>
        </is>
      </c>
    </row>
    <row r="32" ht="72" customHeight="1">
      <c r="A32" s="3" t="inlineStr">
        <is>
          <t>SP</t>
        </is>
      </c>
      <c r="B32" s="3" t="inlineStr">
        <is>
          <t>São Paulo</t>
        </is>
      </c>
      <c r="C32" s="3" t="inlineStr">
        <is>
          <t>Atende</t>
        </is>
      </c>
      <c r="D32" s="5" t="inlineStr">
        <is>
          <t>Protocolo para situações de risco à vida ou à integridade de pessoas privadas de liberdade;Protocolo para casos de tortura ou tratamento cruel, desumano ou degradante em unidades penais;Protocolo para assédio moral ou sexual envolvendo servidores(as) penais;Protocolo para outras formas de violência institucional em unidades penais;</t>
        </is>
      </c>
      <c r="E32" s="6" t="inlineStr">
        <is>
          <t>Art. 4º, II e §2º; art. 10, III.</t>
        </is>
      </c>
      <c r="F32" s="3">
        <f>IF(C32="Atende",8,IF(C32="Parcial",4,0))</f>
        <v/>
      </c>
      <c r="G32" s="3" t="inlineStr">
        <is>
          <t>Atende</t>
        </is>
      </c>
      <c r="H32" s="5" t="inlineStr">
        <is>
          <t>A equipe assina Termo de Compromisso de Manutenção de Sigilo Funcional específico para atuação na Ouvidoria de Serviços Penais</t>
        </is>
      </c>
      <c r="I32" s="6" t="inlineStr">
        <is>
          <t>Art. 9º, §4º.</t>
        </is>
      </c>
      <c r="J32" s="3">
        <f>IF(G32="Atende",7,IF(G32="Parcial",3.5,0))</f>
        <v/>
      </c>
      <c r="K32" s="3">
        <f>SUM(F32,J32)</f>
        <v/>
      </c>
      <c r="L32" s="3" t="inlineStr">
        <is>
          <t>Doc. SEI 37070578</t>
        </is>
      </c>
    </row>
    <row r="33">
      <c r="A33" s="3" t="inlineStr">
        <is>
          <t>SE</t>
        </is>
      </c>
      <c r="B33" s="3" t="inlineStr">
        <is>
          <t>Sergipe</t>
        </is>
      </c>
      <c r="C33" s="3" t="inlineStr">
        <is>
          <t>Sem evidência</t>
        </is>
      </c>
      <c r="D33" s="5" t="inlineStr">
        <is>
          <t>Sem resposta no diagnóstico</t>
        </is>
      </c>
      <c r="E33" s="6" t="inlineStr">
        <is>
          <t>Art. 4º, II e §2º; art. 10, III.</t>
        </is>
      </c>
      <c r="F33" s="3">
        <f>IF(C33="Atende",8,IF(C33="Parcial",4,0))</f>
        <v/>
      </c>
      <c r="G33" s="3" t="inlineStr">
        <is>
          <t>Sem evidência</t>
        </is>
      </c>
      <c r="H33" s="5" t="inlineStr">
        <is>
          <t>Sem resposta no diagnóstico</t>
        </is>
      </c>
      <c r="I33" s="6" t="inlineStr">
        <is>
          <t>Art. 9º, §4º.</t>
        </is>
      </c>
      <c r="J33" s="3">
        <f>IF(G33="Atende",7,IF(G33="Parcial",3.5,0))</f>
        <v/>
      </c>
      <c r="K33" s="3">
        <f>SUM(F33,J33)</f>
        <v/>
      </c>
      <c r="L33" s="3" t="inlineStr">
        <is>
          <t>Doc. SEI 37070578</t>
        </is>
      </c>
    </row>
    <row r="34" ht="144" customHeight="1">
      <c r="A34" s="3" t="inlineStr">
        <is>
          <t>TO</t>
        </is>
      </c>
      <c r="B34" s="3" t="inlineStr">
        <is>
          <t>Tocantins</t>
        </is>
      </c>
      <c r="C34" s="3" t="inlineStr">
        <is>
          <t>Sem evidência</t>
        </is>
      </c>
      <c r="D34" s="5" t="inlineStr">
        <is>
          <t>Procedimentos de sigilo reforçado, restrição de acesso e fluxos de emergência para esses casos;Protocolo para corrupção e irregularidades graves na gestão dos serviços penais;Protocolo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casos de tortura ou tratamento cruel, desumano ou degradante em unidades penais;Protocolo para situações de risco à vida ou à integridade de pessoas privadas de liberdade;</t>
        </is>
      </c>
      <c r="E34" s="6" t="inlineStr">
        <is>
          <t>Art. 4º, II e §2º; art. 10, III.</t>
        </is>
      </c>
      <c r="F34" s="3">
        <f>IF(C34="Atende",8,IF(C34="Parcial",4,0))</f>
        <v/>
      </c>
      <c r="G34" s="3" t="inlineStr">
        <is>
          <t>Sem evidência</t>
        </is>
      </c>
      <c r="H34" s="5" t="inlineStr">
        <is>
          <t>A equipe assina Termo de Compromisso de Manutenção de Sigilo Funcional específico para atuação na Ouvidoria de Serviços Penais</t>
        </is>
      </c>
      <c r="I34" s="6" t="inlineStr">
        <is>
          <t>Art. 9º, §4º.</t>
        </is>
      </c>
      <c r="J34" s="3">
        <f>IF(G34="Atende",7,IF(G34="Parcial",3.5,0))</f>
        <v/>
      </c>
      <c r="K34" s="3">
        <f>SUM(F34,J34)</f>
        <v/>
      </c>
      <c r="L34" s="3" t="inlineStr">
        <is>
          <t>Doc. SEI 37070578</t>
        </is>
      </c>
    </row>
  </sheetData>
  <mergeCells count="7">
    <mergeCell ref="A4:B4"/>
    <mergeCell ref="A2:L2"/>
    <mergeCell ref="C4:F4"/>
    <mergeCell ref="G4:J4"/>
    <mergeCell ref="A1:L1"/>
    <mergeCell ref="K4:L4"/>
    <mergeCell ref="A6:B6"/>
  </mergeCells>
  <conditionalFormatting sqref="C7:C34">
    <cfRule type="expression" priority="1" dxfId="2">
      <formula>C7="Atende"</formula>
    </cfRule>
    <cfRule type="expression" priority="2" dxfId="0">
      <formula>C7="Parcial"</formula>
    </cfRule>
    <cfRule type="expression" priority="3" dxfId="1">
      <formula>OR(C7="Não atende",C7="Sem evidência")</formula>
    </cfRule>
  </conditionalFormatting>
  <conditionalFormatting sqref="G7:G34">
    <cfRule type="expression" priority="4" dxfId="2">
      <formula>G7="Atende"</formula>
    </cfRule>
    <cfRule type="expression" priority="5" dxfId="0">
      <formula>G7="Parcial"</formula>
    </cfRule>
    <cfRule type="expression" priority="6" dxfId="1">
      <formula>OR(G7="Não atende",G7="Sem evidência")</formula>
    </cfRule>
  </conditionalFormatting>
  <dataValidations count="1">
    <dataValidation sqref="C7:C34 G7:G34" showDropDown="0" showInputMessage="0" showErrorMessage="0" allowBlank="0" type="list">
      <formula1>"Atende,Parcial,Não atende,Sem evidência"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34"/>
  <sheetViews>
    <sheetView topLeftCell="A27" zoomScale="80" zoomScaleNormal="80" workbookViewId="0">
      <selection activeCell="W31" sqref="W31"/>
    </sheetView>
  </sheetViews>
  <sheetFormatPr baseColWidth="8" defaultRowHeight="14.4"/>
  <cols>
    <col width="8" customWidth="1" min="1" max="1"/>
    <col width="29" customWidth="1" min="2" max="2"/>
    <col width="31" customWidth="1" min="3" max="3"/>
    <col width="42" customWidth="1" min="4" max="4"/>
    <col width="25" customWidth="1" min="5" max="5"/>
    <col width="8" customWidth="1" min="6" max="6"/>
    <col width="31" customWidth="1" min="7" max="7"/>
    <col width="42" customWidth="1" min="8" max="8"/>
    <col width="25" customWidth="1" min="9" max="9"/>
    <col width="8" customWidth="1" min="10" max="10"/>
    <col width="31" customWidth="1" min="11" max="11"/>
    <col width="42" customWidth="1" min="12" max="12"/>
    <col width="25" customWidth="1" min="13" max="13"/>
    <col width="8" customWidth="1" min="14" max="14"/>
    <col width="31" customWidth="1" min="15" max="15"/>
    <col width="42" customWidth="1" min="16" max="16"/>
    <col width="25" customWidth="1" min="17" max="17"/>
    <col width="8" customWidth="1" min="18" max="18"/>
    <col width="31" customWidth="1" min="19" max="19"/>
    <col width="42" customWidth="1" min="20" max="20"/>
    <col width="25" customWidth="1" min="21" max="21"/>
    <col width="8" customWidth="1" min="22" max="22"/>
    <col width="31" customWidth="1" min="23" max="23"/>
    <col width="42" customWidth="1" min="24" max="24"/>
    <col width="25" customWidth="1" min="25" max="25"/>
    <col width="8" customWidth="1" min="26" max="26"/>
    <col width="14" customWidth="1" min="27" max="27"/>
    <col width="31" customWidth="1" min="28" max="28"/>
  </cols>
  <sheetData>
    <row r="1" ht="22.35" customHeight="1">
      <c r="A1" s="8" t="inlineStr">
        <is>
          <t>04 — Acessibilidade e atendimento humanizado</t>
        </is>
      </c>
    </row>
    <row r="2" ht="38.4" customHeight="1">
      <c r="A2" s="9" t="inlineStr">
        <is>
          <t>Peso da dimensão: 15 pontos. Cada pergunta do diagnóstico pertence exclusivamente a uma única dimensão da matriz.</t>
        </is>
      </c>
    </row>
    <row r="4" ht="40.05" customHeight="1">
      <c r="A4" s="10" t="inlineStr">
        <is>
          <t>Identificação</t>
        </is>
      </c>
      <c r="C4" s="10" t="inlineStr">
        <is>
          <t>Item 1 — Canais institucionais acessíveis</t>
        </is>
      </c>
      <c r="O4" s="10" t="inlineStr">
        <is>
          <t>Item 2 — Condições de atendimento reservado e acessível</t>
        </is>
      </c>
      <c r="S4" s="10" t="inlineStr">
        <is>
          <t>Item 3 — Alcance dos públicos dos serviços penais</t>
        </is>
      </c>
      <c r="AA4" s="10" t="inlineStr">
        <is>
          <t>Resultado da dimensão</t>
        </is>
      </c>
    </row>
    <row r="5" ht="49.65" customHeight="1">
      <c r="A5" s="2" t="inlineStr">
        <is>
          <t>UF</t>
        </is>
      </c>
      <c r="B5" s="2" t="inlineStr">
        <is>
          <t>Unidade Federativa</t>
        </is>
      </c>
      <c r="C5" s="2" t="inlineStr">
        <is>
          <t>M2-41 — E-mail institucional exclusivo</t>
        </is>
      </c>
      <c r="D5" s="2" t="inlineStr">
        <is>
          <t>Resposta do diagnóstico</t>
        </is>
      </c>
      <c r="E5" s="2" t="inlineStr">
        <is>
          <t>Fundamentação na IN nº 75/2026</t>
        </is>
      </c>
      <c r="F5" s="2" t="inlineStr">
        <is>
          <t>2 pts</t>
        </is>
      </c>
      <c r="G5" s="2" t="inlineStr">
        <is>
          <t>M2-43 — Linha telefônica funcional de uso restrito</t>
        </is>
      </c>
      <c r="H5" s="2" t="inlineStr">
        <is>
          <t>Resposta do diagnóstico</t>
        </is>
      </c>
      <c r="I5" s="2" t="inlineStr">
        <is>
          <t>Fundamentação na IN nº 75/2026</t>
        </is>
      </c>
      <c r="J5" s="2" t="inlineStr">
        <is>
          <t>2 pts</t>
        </is>
      </c>
      <c r="K5" s="2" t="inlineStr">
        <is>
          <t>M2-47 — Endereço postal próprio ou referência clara</t>
        </is>
      </c>
      <c r="L5" s="2" t="inlineStr">
        <is>
          <t>Resposta do diagnóstico</t>
        </is>
      </c>
      <c r="M5" s="2" t="inlineStr">
        <is>
          <t>Fundamentação na IN nº 75/2026</t>
        </is>
      </c>
      <c r="N5" s="2" t="inlineStr">
        <is>
          <t>2 pts</t>
        </is>
      </c>
      <c r="O5" s="2" t="inlineStr">
        <is>
          <t>M2-16 — Espaço físico da Ouvidoria</t>
        </is>
      </c>
      <c r="P5" s="2" t="inlineStr">
        <is>
          <t>Resposta do diagnóstico</t>
        </is>
      </c>
      <c r="Q5" s="2" t="inlineStr">
        <is>
          <t>Fundamentação na IN nº 75/2026</t>
        </is>
      </c>
      <c r="R5" s="2" t="inlineStr">
        <is>
          <t>3 pts</t>
        </is>
      </c>
      <c r="S5" s="2" t="inlineStr">
        <is>
          <t>M1-13 — Públicos atendidos no plano normativo</t>
        </is>
      </c>
      <c r="T5" s="2" t="inlineStr">
        <is>
          <t>Resposta do diagnóstico</t>
        </is>
      </c>
      <c r="U5" s="2" t="inlineStr">
        <is>
          <t>Fundamentação na IN nº 75/2026</t>
        </is>
      </c>
      <c r="V5" s="2" t="inlineStr">
        <is>
          <t>3 pts</t>
        </is>
      </c>
      <c r="W5" s="2" t="inlineStr">
        <is>
          <t>M4-64 — Públicos atendidos na prática</t>
        </is>
      </c>
      <c r="X5" s="2" t="inlineStr">
        <is>
          <t>Resposta do diagnóstico</t>
        </is>
      </c>
      <c r="Y5" s="2" t="inlineStr">
        <is>
          <t>Fundamentação na IN nº 75/2026</t>
        </is>
      </c>
      <c r="Z5" s="2" t="inlineStr">
        <is>
          <t>3 pts</t>
        </is>
      </c>
      <c r="AA5" s="2" t="inlineStr">
        <is>
          <t>Pontuação /15</t>
        </is>
      </c>
      <c r="AB5" s="2" t="inlineStr">
        <is>
          <t>Evidências / observações</t>
        </is>
      </c>
    </row>
    <row r="6" ht="105.6" customHeight="1">
      <c r="A6" s="7" t="inlineStr">
        <is>
          <t>Como aplicar / resposta / fundamento →</t>
        </is>
      </c>
      <c r="C6" s="4" t="inlineStr">
        <is>
          <t>2 pts: possui e-mail institucional exclusivo ativo. 1 pt: e-mail institucional não exclusivo ou com limitação relevante. 0 pt: inexistente ou sem evidência.</t>
        </is>
      </c>
      <c r="D6" s="5" t="inlineStr">
        <is>
          <t>Resposta original consolidada do diagnóstico das Ouvidorias Estaduais de Serviços Penais.</t>
        </is>
      </c>
      <c r="E6" s="6" t="inlineStr">
        <is>
          <t>Art. 7º, §2º, I.</t>
        </is>
      </c>
      <c r="F6" s="9" t="inlineStr">
        <is>
          <t>2 = atende
1 = parcial
0 = não atende / sem evidência</t>
        </is>
      </c>
      <c r="G6" s="4" t="inlineStr">
        <is>
          <t>2 pts: possui telefone/ramal funcional de uso restrito. 1 pt: telefone compartilhado ou limitado. 0 pt: inexistente ou sem evidência.</t>
        </is>
      </c>
      <c r="H6" s="5" t="inlineStr">
        <is>
          <t>Resposta original consolidada do diagnóstico das Ouvidorias Estaduais de Serviços Penais.</t>
        </is>
      </c>
      <c r="I6" s="6" t="inlineStr">
        <is>
          <t>Art. 7º, §2º, II.</t>
        </is>
      </c>
      <c r="J6" s="9" t="inlineStr">
        <is>
          <t>2 = atende
1 = parcial
0 = não atende / sem evidência</t>
        </is>
      </c>
      <c r="K6" s="4" t="inlineStr">
        <is>
          <t>2 pts: existe endereço postal próprio ou referência institucional clara. 1 pt: referência indireta/compartilhada que ainda permite recebimento. 0 pt: inexistente ou sem evidência.</t>
        </is>
      </c>
      <c r="L6" s="5" t="inlineStr">
        <is>
          <t>Resposta original consolidada do diagnóstico das Ouvidorias Estaduais de Serviços Penais.</t>
        </is>
      </c>
      <c r="M6" s="6" t="inlineStr">
        <is>
          <t>Art. 7º, §2º, IV.</t>
        </is>
      </c>
      <c r="N6" s="9" t="inlineStr">
        <is>
          <t>2 = atende
1 = parcial
0 = não atende / sem evidência</t>
        </is>
      </c>
      <c r="O6" s="4" t="inlineStr">
        <is>
          <t>3 pts: espaço com privacidade, confidencialidade e condições de acessibilidade/atendimento. 1,5 pt: espaço existente com limitações relevantes. 0 pt: sem espaço adequado ou sem evidência.</t>
        </is>
      </c>
      <c r="P6" s="5" t="inlineStr">
        <is>
          <t>Resposta original consolidada do diagnóstico das Ouvidorias Estaduais de Serviços Penais.</t>
        </is>
      </c>
      <c r="Q6" s="6" t="inlineStr">
        <is>
          <t>Art. 7º, §1º, I e II.</t>
        </is>
      </c>
      <c r="R6" s="9" t="inlineStr">
        <is>
          <t>3 = atende
1.5 = parcial
0 = não atende / sem evidência</t>
        </is>
      </c>
      <c r="S6" s="4" t="inlineStr">
        <is>
          <t>3 pts: previsão normativa contempla amplamente os públicos dos serviços penais. 1,5 pt: contempla apenas parte relevante dos públicos. 0 pt: previsão restrita/inexistente ou sem evidência.</t>
        </is>
      </c>
      <c r="T6" s="5" t="inlineStr">
        <is>
          <t>Resposta original consolidada do diagnóstico das Ouvidorias Estaduais de Serviços Penais.</t>
        </is>
      </c>
      <c r="U6" s="6" t="inlineStr">
        <is>
          <t>Art. 4º, III; art. 10, I.</t>
        </is>
      </c>
      <c r="V6" s="9" t="inlineStr">
        <is>
          <t>3 = atende
1.5 = parcial
0 = não atende / sem evidência</t>
        </is>
      </c>
      <c r="W6" s="4" t="inlineStr">
        <is>
          <t>3 pts: atendimento alcança de forma ampla os principais públicos dos serviços penais. 1,5 pt: alcance parcial ou com barreiras relevantes. 0 pt: alcance muito restrito ou sem evidência.</t>
        </is>
      </c>
      <c r="X6" s="5" t="inlineStr">
        <is>
          <t>Resposta original consolidada do diagnóstico das Ouvidorias Estaduais de Serviços Penais.</t>
        </is>
      </c>
      <c r="Y6" s="6" t="inlineStr">
        <is>
          <t>Art. 4º, III; art. 10, I.</t>
        </is>
      </c>
      <c r="Z6" s="9" t="inlineStr">
        <is>
          <t>3 = atende
1.5 = parcial
0 = não atende / sem evidência</t>
        </is>
      </c>
      <c r="AA6" s="9" t="inlineStr">
        <is>
          <t>Soma automática das perguntas desta dimensão.</t>
        </is>
      </c>
      <c r="AB6" s="9" t="inlineStr">
        <is>
          <t>Referência documental geral das respostas: Doc. SEI 37070578.</t>
        </is>
      </c>
    </row>
    <row r="7" ht="84" customHeight="1">
      <c r="A7" s="3" t="inlineStr">
        <is>
          <t>AC</t>
        </is>
      </c>
      <c r="B7" s="3" t="inlineStr">
        <is>
          <t>Acre</t>
        </is>
      </c>
      <c r="C7" s="3" t="inlineStr">
        <is>
          <t>Atende</t>
        </is>
      </c>
      <c r="D7" s="5" t="inlineStr">
        <is>
          <t>Sim</t>
        </is>
      </c>
      <c r="E7" s="6" t="inlineStr">
        <is>
          <t>Art. 7º, §2º, I.</t>
        </is>
      </c>
      <c r="F7" s="3">
        <f>IF(C7="Atende",2,IF(C7="Parcial",1,0))</f>
        <v/>
      </c>
      <c r="G7" s="3" t="inlineStr">
        <is>
          <t>Não atende</t>
        </is>
      </c>
      <c r="H7" s="5" t="inlineStr">
        <is>
          <t>Não</t>
        </is>
      </c>
      <c r="I7" s="6" t="inlineStr">
        <is>
          <t>Art. 7º, §2º, II.</t>
        </is>
      </c>
      <c r="J7" s="3">
        <f>IF(G7="Atende",2,IF(G7="Parcial",1,0))</f>
        <v/>
      </c>
      <c r="K7" s="3" t="inlineStr">
        <is>
          <t>Atende</t>
        </is>
      </c>
      <c r="L7" s="5" t="inlineStr">
        <is>
          <t>Sim</t>
        </is>
      </c>
      <c r="M7" s="6" t="inlineStr">
        <is>
          <t>Art. 7º, §2º, IV.</t>
        </is>
      </c>
      <c r="N7" s="3">
        <f>IF(K7="Atende",2,IF(K7="Parcial",1,0))</f>
        <v/>
      </c>
      <c r="O7" s="3" t="inlineStr">
        <is>
          <t>Atende</t>
        </is>
      </c>
      <c r="P7" s="5" t="inlineStr">
        <is>
          <t>Possui instalação física própria, com privacidade, acessibilidade e condições adequadas de atendimento</t>
        </is>
      </c>
      <c r="Q7" s="6" t="inlineStr">
        <is>
          <t>Art. 7º, §1º, I e II.</t>
        </is>
      </c>
      <c r="R7" s="3">
        <f>IF(O7="Atende",3,IF(O7="Parcial",1.5,0))</f>
        <v/>
      </c>
      <c r="S7" s="3" t="inlineStr">
        <is>
          <t>Atende</t>
        </is>
      </c>
      <c r="T7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7" s="6" t="inlineStr">
        <is>
          <t>Art. 4º, III; art. 10, I.</t>
        </is>
      </c>
      <c r="V7" s="3">
        <f>IF(S7="Atende",3,IF(S7="Parcial",1.5,0))</f>
        <v/>
      </c>
      <c r="W7" s="3" t="inlineStr">
        <is>
          <t>Atende</t>
        </is>
      </c>
      <c r="X7" s="5" t="inlineStr">
        <is>
          <t>Pessoas privadas de liberdade: Nunca recebe manifestações desse público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      </is>
      </c>
      <c r="Y7" s="6" t="inlineStr">
        <is>
          <t>Art. 4º, III; art. 10, I.</t>
        </is>
      </c>
      <c r="Z7" s="3">
        <f>IF(W7="Atende",3,IF(W7="Parcial",1.5,0))</f>
        <v/>
      </c>
      <c r="AA7" s="3">
        <f>SUM(F7,J7,N7,R7,V7,Z7)</f>
        <v/>
      </c>
      <c r="AB7" s="3" t="inlineStr">
        <is>
          <t>Doc. SEI 37070578</t>
        </is>
      </c>
    </row>
    <row r="8" ht="72" customHeight="1">
      <c r="A8" s="3" t="inlineStr">
        <is>
          <t>AL</t>
        </is>
      </c>
      <c r="B8" s="3" t="inlineStr">
        <is>
          <t>Alagoas</t>
        </is>
      </c>
      <c r="C8" s="3" t="inlineStr">
        <is>
          <t>Atende</t>
        </is>
      </c>
      <c r="D8" s="5" t="inlineStr">
        <is>
          <t>Sim</t>
        </is>
      </c>
      <c r="E8" s="6" t="inlineStr">
        <is>
          <t>Art. 7º, §2º, I.</t>
        </is>
      </c>
      <c r="F8" s="3">
        <f>IF(C8="Atende",2,IF(C8="Parcial",1,0))</f>
        <v/>
      </c>
      <c r="G8" s="3" t="inlineStr">
        <is>
          <t>Atende</t>
        </is>
      </c>
      <c r="H8" s="5" t="inlineStr">
        <is>
          <t>Sim</t>
        </is>
      </c>
      <c r="I8" s="6" t="inlineStr">
        <is>
          <t>Art. 7º, §2º, II.</t>
        </is>
      </c>
      <c r="J8" s="3">
        <f>IF(G8="Atende",2,IF(G8="Parcial",1,0))</f>
        <v/>
      </c>
      <c r="K8" s="3" t="inlineStr">
        <is>
          <t>Atende</t>
        </is>
      </c>
      <c r="L8" s="5" t="inlineStr">
        <is>
          <t>Sim</t>
        </is>
      </c>
      <c r="M8" s="6" t="inlineStr">
        <is>
          <t>Art. 7º, §2º, IV.</t>
        </is>
      </c>
      <c r="N8" s="3">
        <f>IF(K8="Atende",2,IF(K8="Parcial",1,0))</f>
        <v/>
      </c>
      <c r="O8" s="3" t="inlineStr">
        <is>
          <t>Atende</t>
        </is>
      </c>
      <c r="P8" s="5" t="inlineStr">
        <is>
          <t>Possui instalação física própria, com privacidade, acessibilidade e condições adequadas de atendimento</t>
        </is>
      </c>
      <c r="Q8" s="6" t="inlineStr">
        <is>
          <t>Art. 7º, §1º, I e II.</t>
        </is>
      </c>
      <c r="R8" s="3">
        <f>IF(O8="Atende",3,IF(O8="Parcial",1.5,0))</f>
        <v/>
      </c>
      <c r="S8" s="3" t="inlineStr">
        <is>
          <t>Não atende</t>
        </is>
      </c>
      <c r="T8" s="5" t="inlineStr">
        <is>
          <t>Não existe normativa;</t>
        </is>
      </c>
      <c r="U8" s="6" t="inlineStr">
        <is>
          <t>Art. 4º, III; art. 10, I.</t>
        </is>
      </c>
      <c r="V8" s="3">
        <f>IF(S8="Atende",3,IF(S8="Parcial",1.5,0))</f>
        <v/>
      </c>
      <c r="W8" s="3" t="inlineStr">
        <is>
          <t>Atende</t>
        </is>
      </c>
      <c r="X8" s="5" t="inlineStr">
        <is>
      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raramente</t>
        </is>
      </c>
      <c r="Y8" s="6" t="inlineStr">
        <is>
          <t>Art. 4º, III; art. 10, I.</t>
        </is>
      </c>
      <c r="Z8" s="3">
        <f>IF(W8="Atende",3,IF(W8="Parcial",1.5,0))</f>
        <v/>
      </c>
      <c r="AA8" s="3">
        <f>SUM(F8,J8,N8,R8,V8,Z8)</f>
        <v/>
      </c>
      <c r="AB8" s="3" t="inlineStr">
        <is>
          <t>Doc. SEI 37070578</t>
        </is>
      </c>
    </row>
    <row r="9" ht="84" customHeight="1">
      <c r="A9" s="3" t="inlineStr">
        <is>
          <t>AP</t>
        </is>
      </c>
      <c r="B9" s="3" t="inlineStr">
        <is>
          <t>Amapá</t>
        </is>
      </c>
      <c r="C9" s="3" t="inlineStr">
        <is>
          <t>Atende</t>
        </is>
      </c>
      <c r="D9" s="5" t="inlineStr">
        <is>
          <t>Sim</t>
        </is>
      </c>
      <c r="E9" s="6" t="inlineStr">
        <is>
          <t>Art. 7º, §2º, I.</t>
        </is>
      </c>
      <c r="F9" s="3">
        <f>IF(C9="Atende",2,IF(C9="Parcial",1,0))</f>
        <v/>
      </c>
      <c r="G9" s="3" t="inlineStr">
        <is>
          <t>Atende</t>
        </is>
      </c>
      <c r="H9" s="5" t="inlineStr">
        <is>
          <t>Sim</t>
        </is>
      </c>
      <c r="I9" s="6" t="inlineStr">
        <is>
          <t>Art. 7º, §2º, II.</t>
        </is>
      </c>
      <c r="J9" s="3">
        <f>IF(G9="Atende",2,IF(G9="Parcial",1,0))</f>
        <v/>
      </c>
      <c r="K9" s="3" t="inlineStr">
        <is>
          <t>Atende</t>
        </is>
      </c>
      <c r="L9" s="5" t="inlineStr">
        <is>
          <t>Sim</t>
        </is>
      </c>
      <c r="M9" s="6" t="inlineStr">
        <is>
          <t>Art. 7º, §2º, IV.</t>
        </is>
      </c>
      <c r="N9" s="3">
        <f>IF(K9="Atende",2,IF(K9="Parcial",1,0))</f>
        <v/>
      </c>
      <c r="O9" s="3" t="inlineStr">
        <is>
          <t>Parcial</t>
        </is>
      </c>
      <c r="P9" s="5" t="inlineStr">
        <is>
          <t>Possui sala definida, mas com limitações relevantes (privacidade, acessibilidade, mobiliário)</t>
        </is>
      </c>
      <c r="Q9" s="6" t="inlineStr">
        <is>
          <t>Art. 7º, §1º, I e II.</t>
        </is>
      </c>
      <c r="R9" s="3">
        <f>IF(O9="Atende",3,IF(O9="Parcial",1.5,0))</f>
        <v/>
      </c>
      <c r="S9" s="3" t="inlineStr">
        <is>
          <t>Atende</t>
        </is>
      </c>
      <c r="T9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9" s="6" t="inlineStr">
        <is>
          <t>Art. 4º, III; art. 10, I.</t>
        </is>
      </c>
      <c r="V9" s="3">
        <f>IF(S9="Atende",3,IF(S9="Parcial",1.5,0))</f>
        <v/>
      </c>
      <c r="W9" s="3" t="inlineStr">
        <is>
          <t>Atende</t>
        </is>
      </c>
      <c r="X9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      </is>
      </c>
      <c r="Y9" s="6" t="inlineStr">
        <is>
          <t>Art. 4º, III; art. 10, I.</t>
        </is>
      </c>
      <c r="Z9" s="3">
        <f>IF(W9="Atende",3,IF(W9="Parcial",1.5,0))</f>
        <v/>
      </c>
      <c r="AA9" s="3">
        <f>SUM(F9,J9,N9,R9,V9,Z9)</f>
        <v/>
      </c>
      <c r="AB9" s="3" t="inlineStr">
        <is>
          <t>Doc. SEI 37070578</t>
        </is>
      </c>
    </row>
    <row r="10" ht="84" customHeight="1">
      <c r="A10" s="3" t="inlineStr">
        <is>
          <t>AM</t>
        </is>
      </c>
      <c r="B10" s="3" t="inlineStr">
        <is>
          <t>Amazonas</t>
        </is>
      </c>
      <c r="C10" s="3" t="inlineStr">
        <is>
          <t>Atende</t>
        </is>
      </c>
      <c r="D10" s="5" t="inlineStr">
        <is>
          <t>Sim</t>
        </is>
      </c>
      <c r="E10" s="6" t="inlineStr">
        <is>
          <t>Art. 7º, §2º, I.</t>
        </is>
      </c>
      <c r="F10" s="3">
        <f>IF(C10="Atende",2,IF(C10="Parcial",1,0))</f>
        <v/>
      </c>
      <c r="G10" s="3" t="inlineStr">
        <is>
          <t>Não atende</t>
        </is>
      </c>
      <c r="H10" s="5" t="inlineStr">
        <is>
          <t>Não</t>
        </is>
      </c>
      <c r="I10" s="6" t="inlineStr">
        <is>
          <t>Art. 7º, §2º, II.</t>
        </is>
      </c>
      <c r="J10" s="3">
        <f>IF(G10="Atende",2,IF(G10="Parcial",1,0))</f>
        <v/>
      </c>
      <c r="K10" s="3" t="inlineStr">
        <is>
          <t>Atende</t>
        </is>
      </c>
      <c r="L10" s="5" t="inlineStr">
        <is>
          <t>Sim</t>
        </is>
      </c>
      <c r="M10" s="6" t="inlineStr">
        <is>
          <t>Art. 7º, §2º, IV.</t>
        </is>
      </c>
      <c r="N10" s="3">
        <f>IF(K10="Atende",2,IF(K10="Parcial",1,0))</f>
        <v/>
      </c>
      <c r="O10" s="3" t="inlineStr">
        <is>
          <t>Parcial</t>
        </is>
      </c>
      <c r="P10" s="5" t="inlineStr">
        <is>
          <t>Possui sala definida, mas com limitações relevantes (privacidade, acessibilidade, mobiliário)</t>
        </is>
      </c>
      <c r="Q10" s="6" t="inlineStr">
        <is>
          <t>Art. 7º, §1º, I e II.</t>
        </is>
      </c>
      <c r="R10" s="3">
        <f>IF(O10="Atende",3,IF(O10="Parcial",1.5,0))</f>
        <v/>
      </c>
      <c r="S10" s="3" t="inlineStr">
        <is>
          <t>Atende</t>
        </is>
      </c>
      <c r="T10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10" s="6" t="inlineStr">
        <is>
          <t>Art. 4º, III; art. 10, I.</t>
        </is>
      </c>
      <c r="V10" s="3">
        <f>IF(S10="Atende",3,IF(S10="Parcial",1.5,0))</f>
        <v/>
      </c>
      <c r="W10" s="3" t="inlineStr">
        <is>
          <t>Atende</t>
        </is>
      </c>
      <c r="X10" s="5" t="inlineStr">
        <is>
          <t>Pessoas privadas de liberdade: Recebe com alguma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      </is>
      </c>
      <c r="Y10" s="6" t="inlineStr">
        <is>
          <t>Art. 4º, III; art. 10, I.</t>
        </is>
      </c>
      <c r="Z10" s="3">
        <f>IF(W10="Atende",3,IF(W10="Parcial",1.5,0))</f>
        <v/>
      </c>
      <c r="AA10" s="3">
        <f>SUM(F10,J10,N10,R10,V10,Z10)</f>
        <v/>
      </c>
      <c r="AB10" s="3" t="inlineStr">
        <is>
          <t>Doc. SEI 37070578</t>
        </is>
      </c>
    </row>
    <row r="11" ht="84" customHeight="1">
      <c r="A11" s="3" t="inlineStr">
        <is>
          <t>BA</t>
        </is>
      </c>
      <c r="B11" s="3" t="inlineStr">
        <is>
          <t>Bahia</t>
        </is>
      </c>
      <c r="C11" s="3" t="inlineStr">
        <is>
          <t>Atende</t>
        </is>
      </c>
      <c r="D11" s="5" t="inlineStr">
        <is>
          <t>Sim</t>
        </is>
      </c>
      <c r="E11" s="6" t="inlineStr">
        <is>
          <t>Art. 7º, §2º, I.</t>
        </is>
      </c>
      <c r="F11" s="3">
        <f>IF(C11="Atende",2,IF(C11="Parcial",1,0))</f>
        <v/>
      </c>
      <c r="G11" s="3" t="inlineStr">
        <is>
          <t>Não atende</t>
        </is>
      </c>
      <c r="H11" s="5" t="inlineStr">
        <is>
          <t>Não</t>
        </is>
      </c>
      <c r="I11" s="6" t="inlineStr">
        <is>
          <t>Art. 7º, §2º, II.</t>
        </is>
      </c>
      <c r="J11" s="3">
        <f>IF(G11="Atende",2,IF(G11="Parcial",1,0))</f>
        <v/>
      </c>
      <c r="K11" s="3" t="inlineStr">
        <is>
          <t>Atende</t>
        </is>
      </c>
      <c r="L11" s="5" t="inlineStr">
        <is>
          <t>Sim</t>
        </is>
      </c>
      <c r="M11" s="6" t="inlineStr">
        <is>
          <t>Art. 7º, §2º, IV.</t>
        </is>
      </c>
      <c r="N11" s="3">
        <f>IF(K11="Atende",2,IF(K11="Parcial",1,0))</f>
        <v/>
      </c>
      <c r="O11" s="3" t="inlineStr">
        <is>
          <t>Parcial</t>
        </is>
      </c>
      <c r="P11" s="5" t="inlineStr">
        <is>
          <t>Possui sala definida, mas com limitações relevantes (privacidade, acessibilidade, mobiliário)</t>
        </is>
      </c>
      <c r="Q11" s="6" t="inlineStr">
        <is>
          <t>Art. 7º, §1º, I e II.</t>
        </is>
      </c>
      <c r="R11" s="3">
        <f>IF(O11="Atende",3,IF(O11="Parcial",1.5,0))</f>
        <v/>
      </c>
      <c r="S11" s="3" t="inlineStr">
        <is>
          <t>Atende</t>
        </is>
      </c>
      <c r="T11" s="5" t="inlineStr">
        <is>
          <t>Demais cidadãos e usuários de serviços relacionados ao sistema penal;</t>
        </is>
      </c>
      <c r="U11" s="6" t="inlineStr">
        <is>
          <t>Art. 4º, III; art. 10, I.</t>
        </is>
      </c>
      <c r="V11" s="3">
        <f>IF(S11="Atende",3,IF(S11="Parcial",1.5,0))</f>
        <v/>
      </c>
      <c r="W11" s="3" t="inlineStr">
        <is>
          <t>Atende</t>
        </is>
      </c>
      <c r="X11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      </is>
      </c>
      <c r="Y11" s="6" t="inlineStr">
        <is>
          <t>Art. 4º, III; art. 10, I.</t>
        </is>
      </c>
      <c r="Z11" s="3">
        <f>IF(W11="Atende",3,IF(W11="Parcial",1.5,0))</f>
        <v/>
      </c>
      <c r="AA11" s="3">
        <f>SUM(F11,J11,N11,R11,V11,Z11)</f>
        <v/>
      </c>
      <c r="AB11" s="3" t="inlineStr">
        <is>
          <t>Doc. SEI 37070578</t>
        </is>
      </c>
    </row>
    <row r="12" ht="84" customHeight="1">
      <c r="A12" s="3" t="inlineStr">
        <is>
          <t>CE</t>
        </is>
      </c>
      <c r="B12" s="3" t="inlineStr">
        <is>
          <t>Ceará</t>
        </is>
      </c>
      <c r="C12" s="3" t="inlineStr">
        <is>
          <t>Atende</t>
        </is>
      </c>
      <c r="D12" s="5" t="inlineStr">
        <is>
          <t>Sim</t>
        </is>
      </c>
      <c r="E12" s="6" t="inlineStr">
        <is>
          <t>Art. 7º, §2º, I.</t>
        </is>
      </c>
      <c r="F12" s="3">
        <f>IF(C12="Atende",2,IF(C12="Parcial",1,0))</f>
        <v/>
      </c>
      <c r="G12" s="3" t="inlineStr">
        <is>
          <t>Atende</t>
        </is>
      </c>
      <c r="H12" s="5" t="inlineStr">
        <is>
          <t>Sim</t>
        </is>
      </c>
      <c r="I12" s="6" t="inlineStr">
        <is>
          <t>Art. 7º, §2º, II.</t>
        </is>
      </c>
      <c r="J12" s="3">
        <f>IF(G12="Atende",2,IF(G12="Parcial",1,0))</f>
        <v/>
      </c>
      <c r="K12" s="3" t="inlineStr">
        <is>
          <t>Atende</t>
        </is>
      </c>
      <c r="L12" s="5" t="inlineStr">
        <is>
          <t>Sim</t>
        </is>
      </c>
      <c r="M12" s="6" t="inlineStr">
        <is>
          <t>Art. 7º, §2º, IV.</t>
        </is>
      </c>
      <c r="N12" s="3">
        <f>IF(K12="Atende",2,IF(K12="Parcial",1,0))</f>
        <v/>
      </c>
      <c r="O12" s="3" t="inlineStr">
        <is>
          <t>Atende</t>
        </is>
      </c>
      <c r="P12" s="5" t="inlineStr">
        <is>
          <t>Possui instalação física própria, com privacidade, acessibilidade e condições adequadas de atendimento</t>
        </is>
      </c>
      <c r="Q12" s="6" t="inlineStr">
        <is>
          <t>Art. 7º, §1º, I e II.</t>
        </is>
      </c>
      <c r="R12" s="3">
        <f>IF(O12="Atende",3,IF(O12="Parcial",1.5,0))</f>
        <v/>
      </c>
      <c r="S12" s="3" t="inlineStr">
        <is>
          <t>Atende</t>
        </is>
      </c>
      <c r="T12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12" s="6" t="inlineStr">
        <is>
          <t>Art. 4º, III; art. 10, I.</t>
        </is>
      </c>
      <c r="V12" s="3">
        <f>IF(S12="Atende",3,IF(S12="Parcial",1.5,0))</f>
        <v/>
      </c>
      <c r="W12" s="3" t="inlineStr">
        <is>
          <t>Atende</t>
        </is>
      </c>
      <c r="X12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      </is>
      </c>
      <c r="Y12" s="6" t="inlineStr">
        <is>
          <t>Art. 4º, III; art. 10, I.</t>
        </is>
      </c>
      <c r="Z12" s="3">
        <f>IF(W12="Atende",3,IF(W12="Parcial",1.5,0))</f>
        <v/>
      </c>
      <c r="AA12" s="3">
        <f>SUM(F12,J12,N12,R12,V12,Z12)</f>
        <v/>
      </c>
      <c r="AB12" s="3" t="inlineStr">
        <is>
          <t>Doc. SEI 37070578</t>
        </is>
      </c>
    </row>
    <row r="13" ht="84" customHeight="1">
      <c r="A13" s="3" t="inlineStr">
        <is>
          <t>DF</t>
        </is>
      </c>
      <c r="B13" s="3" t="inlineStr">
        <is>
          <t>Distrito Federal</t>
        </is>
      </c>
      <c r="C13" s="3" t="inlineStr">
        <is>
          <t>Atende</t>
        </is>
      </c>
      <c r="D13" s="5" t="inlineStr">
        <is>
          <t>Sim</t>
        </is>
      </c>
      <c r="E13" s="6" t="inlineStr">
        <is>
          <t>Art. 7º, §2º, I.</t>
        </is>
      </c>
      <c r="F13" s="3">
        <f>IF(C13="Atende",2,IF(C13="Parcial",1,0))</f>
        <v/>
      </c>
      <c r="G13" s="3" t="inlineStr">
        <is>
          <t>Atende</t>
        </is>
      </c>
      <c r="H13" s="5" t="inlineStr">
        <is>
          <t>Sim</t>
        </is>
      </c>
      <c r="I13" s="6" t="inlineStr">
        <is>
          <t>Art. 7º, §2º, II.</t>
        </is>
      </c>
      <c r="J13" s="3">
        <f>IF(G13="Atende",2,IF(G13="Parcial",1,0))</f>
        <v/>
      </c>
      <c r="K13" s="3" t="inlineStr">
        <is>
          <t>Não atende</t>
        </is>
      </c>
      <c r="L13" s="5" t="inlineStr">
        <is>
          <t>Não</t>
        </is>
      </c>
      <c r="M13" s="6" t="inlineStr">
        <is>
          <t>Art. 7º, §2º, IV.</t>
        </is>
      </c>
      <c r="N13" s="3">
        <f>IF(K13="Atende",2,IF(K13="Parcial",1,0))</f>
        <v/>
      </c>
      <c r="O13" s="3" t="inlineStr">
        <is>
          <t>Parcial</t>
        </is>
      </c>
      <c r="P13" s="5" t="inlineStr">
        <is>
          <t>Possui sala definida, mas com limitações relevantes (privacidade, acessibilidade, mobiliário)</t>
        </is>
      </c>
      <c r="Q13" s="6" t="inlineStr">
        <is>
          <t>Art. 7º, §1º, I e II.</t>
        </is>
      </c>
      <c r="R13" s="3">
        <f>IF(O13="Atende",3,IF(O13="Parcial",1.5,0))</f>
        <v/>
      </c>
      <c r="S13" s="3" t="inlineStr">
        <is>
          <t>Não atende</t>
        </is>
      </c>
      <c r="T13" s="5" t="inlineStr">
        <is>
          <t>Não existe normativa;</t>
        </is>
      </c>
      <c r="U13" s="6" t="inlineStr">
        <is>
          <t>Art. 4º, III; art. 10, I.</t>
        </is>
      </c>
      <c r="V13" s="3">
        <f>IF(S13="Atende",3,IF(S13="Parcial",1.5,0))</f>
        <v/>
      </c>
      <c r="W13" s="3" t="inlineStr">
        <is>
          <t>Atende</t>
        </is>
      </c>
      <c r="X13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      </is>
      </c>
      <c r="Y13" s="6" t="inlineStr">
        <is>
          <t>Art. 4º, III; art. 10, I.</t>
        </is>
      </c>
      <c r="Z13" s="3">
        <f>IF(W13="Atende",3,IF(W13="Parcial",1.5,0))</f>
        <v/>
      </c>
      <c r="AA13" s="3">
        <f>SUM(F13,J13,N13,R13,V13,Z13)</f>
        <v/>
      </c>
      <c r="AB13" s="3" t="inlineStr">
        <is>
          <t>Doc. SEI 37070578</t>
        </is>
      </c>
    </row>
    <row r="14" ht="84" customHeight="1">
      <c r="A14" s="3" t="inlineStr">
        <is>
          <t>ES</t>
        </is>
      </c>
      <c r="B14" s="3" t="inlineStr">
        <is>
          <t>Espírito Santo — Polícia Penal</t>
        </is>
      </c>
      <c r="C14" s="3" t="inlineStr">
        <is>
          <t>Atende</t>
        </is>
      </c>
      <c r="D14" s="5" t="inlineStr">
        <is>
          <t>Sim</t>
        </is>
      </c>
      <c r="E14" s="6" t="inlineStr">
        <is>
          <t>Art. 7º, §2º, I.</t>
        </is>
      </c>
      <c r="F14" s="3">
        <f>IF(C14="Atende",2,IF(C14="Parcial",1,0))</f>
        <v/>
      </c>
      <c r="G14" s="3" t="inlineStr">
        <is>
          <t>Atende</t>
        </is>
      </c>
      <c r="H14" s="5" t="inlineStr">
        <is>
          <t>Sim</t>
        </is>
      </c>
      <c r="I14" s="6" t="inlineStr">
        <is>
          <t>Art. 7º, §2º, II.</t>
        </is>
      </c>
      <c r="J14" s="3">
        <f>IF(G14="Atende",2,IF(G14="Parcial",1,0))</f>
        <v/>
      </c>
      <c r="K14" s="3" t="inlineStr">
        <is>
          <t>Atende</t>
        </is>
      </c>
      <c r="L14" s="5" t="inlineStr">
        <is>
          <t>Sim</t>
        </is>
      </c>
      <c r="M14" s="6" t="inlineStr">
        <is>
          <t>Art. 7º, §2º, IV.</t>
        </is>
      </c>
      <c r="N14" s="3">
        <f>IF(K14="Atende",2,IF(K14="Parcial",1,0))</f>
        <v/>
      </c>
      <c r="O14" s="3" t="inlineStr">
        <is>
          <t>Atende</t>
        </is>
      </c>
      <c r="P14" s="5" t="inlineStr">
        <is>
          <t>Possui instalação física própria, com privacidade, acessibilidade e condições adequadas de atendimento</t>
        </is>
      </c>
      <c r="Q14" s="6" t="inlineStr">
        <is>
          <t>Art. 7º, §1º, I e II.</t>
        </is>
      </c>
      <c r="R14" s="3">
        <f>IF(O14="Atende",3,IF(O14="Parcial",1.5,0))</f>
        <v/>
      </c>
      <c r="S14" s="3" t="inlineStr">
        <is>
          <t>Atende</t>
        </is>
      </c>
      <c r="T14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14" s="6" t="inlineStr">
        <is>
          <t>Art. 4º, III; art. 10, I.</t>
        </is>
      </c>
      <c r="V14" s="3">
        <f>IF(S14="Atende",3,IF(S14="Parcial",1.5,0))</f>
        <v/>
      </c>
      <c r="W14" s="3" t="inlineStr">
        <is>
          <t>Atende</t>
        </is>
      </c>
      <c r="X14" s="5" t="inlineStr">
        <is>
          <t>Pessoas privadas de liberdade: Recebe raramente | Familiares / pessoas de referência de pessoas privadas de liberdade: Recebe com alguma frequência | Servidores(as) penais e demais trabalhadores(as) dos serviços penais: Recebe com alguma frequência | Outros cidadãos e usuários de serviços relacionados ao sistema penal: Recebe com alguma frequência</t>
        </is>
      </c>
      <c r="Y14" s="6" t="inlineStr">
        <is>
          <t>Art. 4º, III; art. 10, I.</t>
        </is>
      </c>
      <c r="Z14" s="3">
        <f>IF(W14="Atende",3,IF(W14="Parcial",1.5,0))</f>
        <v/>
      </c>
      <c r="AA14" s="3">
        <f>SUM(F14,J14,N14,R14,V14,Z14)</f>
        <v/>
      </c>
      <c r="AB14" s="3" t="inlineStr">
        <is>
          <t>Doc. SEI 37070578</t>
        </is>
      </c>
    </row>
    <row r="15" ht="84" customHeight="1">
      <c r="A15" s="3" t="inlineStr">
        <is>
          <t>ES</t>
        </is>
      </c>
      <c r="B15" s="3" t="inlineStr">
        <is>
          <t>Espírito Santo — SEJUS/ES</t>
        </is>
      </c>
      <c r="C15" s="3" t="inlineStr">
        <is>
          <t>Atende</t>
        </is>
      </c>
      <c r="D15" s="5" t="inlineStr">
        <is>
          <t>Sim</t>
        </is>
      </c>
      <c r="E15" s="6" t="inlineStr">
        <is>
          <t>Art. 7º, §2º, I.</t>
        </is>
      </c>
      <c r="F15" s="3">
        <f>IF(C15="Atende",2,IF(C15="Parcial",1,0))</f>
        <v/>
      </c>
      <c r="G15" s="3" t="inlineStr">
        <is>
          <t>Não atende</t>
        </is>
      </c>
      <c r="H15" s="5" t="inlineStr">
        <is>
          <t>Não</t>
        </is>
      </c>
      <c r="I15" s="6" t="inlineStr">
        <is>
          <t>Art. 7º, §2º, II.</t>
        </is>
      </c>
      <c r="J15" s="3">
        <f>IF(G15="Atende",2,IF(G15="Parcial",1,0))</f>
        <v/>
      </c>
      <c r="K15" s="3" t="inlineStr">
        <is>
          <t>Não atende</t>
        </is>
      </c>
      <c r="L15" s="5" t="inlineStr">
        <is>
          <t>Não</t>
        </is>
      </c>
      <c r="M15" s="6" t="inlineStr">
        <is>
          <t>Art. 7º, §2º, IV.</t>
        </is>
      </c>
      <c r="N15" s="3">
        <f>IF(K15="Atende",2,IF(K15="Parcial",1,0))</f>
        <v/>
      </c>
      <c r="O15" s="3" t="inlineStr">
        <is>
          <t>Não atende</t>
        </is>
      </c>
      <c r="P15" s="5" t="inlineStr">
        <is>
          <t>Não há espaço físico identificado</t>
        </is>
      </c>
      <c r="Q15" s="6" t="inlineStr">
        <is>
          <t>Art. 7º, §1º, I e II.</t>
        </is>
      </c>
      <c r="R15" s="3">
        <f>IF(O15="Atende",3,IF(O15="Parcial",1.5,0))</f>
        <v/>
      </c>
      <c r="S15" s="3" t="inlineStr">
        <is>
          <t>Atende</t>
        </is>
      </c>
      <c r="T15" s="5" t="inlineStr">
        <is>
          <t>Demais cidadãos e usuários de serviços relacionados ao sistema penal;Servidores(as) penais e demais trabalhadores(as) dos serviços penais;Familiares / pessoas de referência de pessoas privadas de liberdade;Pessoas privadas de liberdade;</t>
        </is>
      </c>
      <c r="U15" s="6" t="inlineStr">
        <is>
          <t>Art. 4º, III; art. 10, I.</t>
        </is>
      </c>
      <c r="V15" s="3">
        <f>IF(S15="Atende",3,IF(S15="Parcial",1.5,0))</f>
        <v/>
      </c>
      <c r="W15" s="3" t="inlineStr">
        <is>
          <t>Atende</t>
        </is>
      </c>
      <c r="X15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      </is>
      </c>
      <c r="Y15" s="6" t="inlineStr">
        <is>
          <t>Art. 4º, III; art. 10, I.</t>
        </is>
      </c>
      <c r="Z15" s="3">
        <f>IF(W15="Atende",3,IF(W15="Parcial",1.5,0))</f>
        <v/>
      </c>
      <c r="AA15" s="3">
        <f>SUM(F15,J15,N15,R15,V15,Z15)</f>
        <v/>
      </c>
      <c r="AB15" s="3" t="inlineStr">
        <is>
          <t>Doc. SEI 37070578</t>
        </is>
      </c>
    </row>
    <row r="16" ht="84" customHeight="1">
      <c r="A16" s="3" t="inlineStr">
        <is>
          <t>GO</t>
        </is>
      </c>
      <c r="B16" s="3" t="inlineStr">
        <is>
          <t>Goiás</t>
        </is>
      </c>
      <c r="C16" s="3" t="inlineStr">
        <is>
          <t>Atende</t>
        </is>
      </c>
      <c r="D16" s="5" t="inlineStr">
        <is>
          <t>Sim</t>
        </is>
      </c>
      <c r="E16" s="6" t="inlineStr">
        <is>
          <t>Art. 7º, §2º, I.</t>
        </is>
      </c>
      <c r="F16" s="3">
        <f>IF(C16="Atende",2,IF(C16="Parcial",1,0))</f>
        <v/>
      </c>
      <c r="G16" s="3" t="inlineStr">
        <is>
          <t>Atende</t>
        </is>
      </c>
      <c r="H16" s="5" t="inlineStr">
        <is>
          <t>Sim</t>
        </is>
      </c>
      <c r="I16" s="6" t="inlineStr">
        <is>
          <t>Art. 7º, §2º, II.</t>
        </is>
      </c>
      <c r="J16" s="3">
        <f>IF(G16="Atende",2,IF(G16="Parcial",1,0))</f>
        <v/>
      </c>
      <c r="K16" s="3" t="inlineStr">
        <is>
          <t>Atende</t>
        </is>
      </c>
      <c r="L16" s="5" t="inlineStr">
        <is>
          <t>Sim</t>
        </is>
      </c>
      <c r="M16" s="6" t="inlineStr">
        <is>
          <t>Art. 7º, §2º, IV.</t>
        </is>
      </c>
      <c r="N16" s="3">
        <f>IF(K16="Atende",2,IF(K16="Parcial",1,0))</f>
        <v/>
      </c>
      <c r="O16" s="3" t="inlineStr">
        <is>
          <t>Atende</t>
        </is>
      </c>
      <c r="P16" s="5" t="inlineStr">
        <is>
          <t>Possui instalação física própria, com privacidade, acessibilidade e condições adequadas de atendimento</t>
        </is>
      </c>
      <c r="Q16" s="6" t="inlineStr">
        <is>
          <t>Art. 7º, §1º, I e II.</t>
        </is>
      </c>
      <c r="R16" s="3">
        <f>IF(O16="Atende",3,IF(O16="Parcial",1.5,0))</f>
        <v/>
      </c>
      <c r="S16" s="3" t="inlineStr">
        <is>
          <t>Atende</t>
        </is>
      </c>
      <c r="T16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16" s="6" t="inlineStr">
        <is>
          <t>Art. 4º, III; art. 10, I.</t>
        </is>
      </c>
      <c r="V16" s="3">
        <f>IF(S16="Atende",3,IF(S16="Parcial",1.5,0))</f>
        <v/>
      </c>
      <c r="W16" s="3" t="inlineStr">
        <is>
          <t>Atende</t>
        </is>
      </c>
      <c r="X16" s="5" t="inlineStr">
        <is>
          <t>Pessoas privadas de liberdade: Nunca recebe manifestações desse público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      </is>
      </c>
      <c r="Y16" s="6" t="inlineStr">
        <is>
          <t>Art. 4º, III; art. 10, I.</t>
        </is>
      </c>
      <c r="Z16" s="3">
        <f>IF(W16="Atende",3,IF(W16="Parcial",1.5,0))</f>
        <v/>
      </c>
      <c r="AA16" s="3">
        <f>SUM(F16,J16,N16,R16,V16,Z16)</f>
        <v/>
      </c>
      <c r="AB16" s="3" t="inlineStr">
        <is>
          <t>Doc. SEI 37070578</t>
        </is>
      </c>
    </row>
    <row r="17" ht="84" customHeight="1">
      <c r="A17" s="3" t="inlineStr">
        <is>
          <t>MA</t>
        </is>
      </c>
      <c r="B17" s="3" t="inlineStr">
        <is>
          <t>Maranhão</t>
        </is>
      </c>
      <c r="C17" s="3" t="inlineStr">
        <is>
          <t>Atende</t>
        </is>
      </c>
      <c r="D17" s="5" t="inlineStr">
        <is>
          <t>Sim</t>
        </is>
      </c>
      <c r="E17" s="6" t="inlineStr">
        <is>
          <t>Art. 7º, §2º, I.</t>
        </is>
      </c>
      <c r="F17" s="3">
        <f>IF(C17="Atende",2,IF(C17="Parcial",1,0))</f>
        <v/>
      </c>
      <c r="G17" s="3" t="inlineStr">
        <is>
          <t>Atende</t>
        </is>
      </c>
      <c r="H17" s="5" t="inlineStr">
        <is>
          <t>Sim</t>
        </is>
      </c>
      <c r="I17" s="6" t="inlineStr">
        <is>
          <t>Art. 7º, §2º, II.</t>
        </is>
      </c>
      <c r="J17" s="3">
        <f>IF(G17="Atende",2,IF(G17="Parcial",1,0))</f>
        <v/>
      </c>
      <c r="K17" s="3" t="inlineStr">
        <is>
          <t>Não atende</t>
        </is>
      </c>
      <c r="L17" s="5" t="inlineStr">
        <is>
          <t>Não</t>
        </is>
      </c>
      <c r="M17" s="6" t="inlineStr">
        <is>
          <t>Art. 7º, §2º, IV.</t>
        </is>
      </c>
      <c r="N17" s="3">
        <f>IF(K17="Atende",2,IF(K17="Parcial",1,0))</f>
        <v/>
      </c>
      <c r="O17" s="3" t="inlineStr">
        <is>
          <t>Atende</t>
        </is>
      </c>
      <c r="P17" s="5" t="inlineStr">
        <is>
          <t>Possui instalação física própria, com privacidade, acessibilidade e condições adequadas de atendimento</t>
        </is>
      </c>
      <c r="Q17" s="6" t="inlineStr">
        <is>
          <t>Art. 7º, §1º, I e II.</t>
        </is>
      </c>
      <c r="R17" s="3">
        <f>IF(O17="Atende",3,IF(O17="Parcial",1.5,0))</f>
        <v/>
      </c>
      <c r="S17" s="3" t="inlineStr">
        <is>
          <t>Atende</t>
        </is>
      </c>
      <c r="T17" s="5" t="inlineStr">
        <is>
          <t>Demais cidadãos e usuários de serviços relacionados ao sistema penal;</t>
        </is>
      </c>
      <c r="U17" s="6" t="inlineStr">
        <is>
          <t>Art. 4º, III; art. 10, I.</t>
        </is>
      </c>
      <c r="V17" s="3">
        <f>IF(S17="Atende",3,IF(S17="Parcial",1.5,0))</f>
        <v/>
      </c>
      <c r="W17" s="3" t="inlineStr">
        <is>
          <t>Atende</t>
        </is>
      </c>
      <c r="X17" s="5" t="inlineStr">
        <is>
          <t>Pessoas privadas de liberdade: Recebe com alguma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      </is>
      </c>
      <c r="Y17" s="6" t="inlineStr">
        <is>
          <t>Art. 4º, III; art. 10, I.</t>
        </is>
      </c>
      <c r="Z17" s="3">
        <f>IF(W17="Atende",3,IF(W17="Parcial",1.5,0))</f>
        <v/>
      </c>
      <c r="AA17" s="3">
        <f>SUM(F17,J17,N17,R17,V17,Z17)</f>
        <v/>
      </c>
      <c r="AB17" s="3" t="inlineStr">
        <is>
          <t>Doc. SEI 37070578</t>
        </is>
      </c>
    </row>
    <row r="18" ht="84" customHeight="1">
      <c r="A18" s="3" t="inlineStr">
        <is>
          <t>MT</t>
        </is>
      </c>
      <c r="B18" s="3" t="inlineStr">
        <is>
          <t>Mato Grosso</t>
        </is>
      </c>
      <c r="C18" s="3" t="inlineStr">
        <is>
          <t>Atende</t>
        </is>
      </c>
      <c r="D18" s="5" t="inlineStr">
        <is>
          <t>Sim</t>
        </is>
      </c>
      <c r="E18" s="6" t="inlineStr">
        <is>
          <t>Art. 7º, §2º, I.</t>
        </is>
      </c>
      <c r="F18" s="3">
        <f>IF(C18="Atende",2,IF(C18="Parcial",1,0))</f>
        <v/>
      </c>
      <c r="G18" s="3" t="inlineStr">
        <is>
          <t>Não atende</t>
        </is>
      </c>
      <c r="H18" s="5" t="inlineStr">
        <is>
          <t>Não</t>
        </is>
      </c>
      <c r="I18" s="6" t="inlineStr">
        <is>
          <t>Art. 7º, §2º, II.</t>
        </is>
      </c>
      <c r="J18" s="3">
        <f>IF(G18="Atende",2,IF(G18="Parcial",1,0))</f>
        <v/>
      </c>
      <c r="K18" s="3" t="inlineStr">
        <is>
          <t>Atende</t>
        </is>
      </c>
      <c r="L18" s="5" t="inlineStr">
        <is>
          <t>Sim</t>
        </is>
      </c>
      <c r="M18" s="6" t="inlineStr">
        <is>
          <t>Art. 7º, §2º, IV.</t>
        </is>
      </c>
      <c r="N18" s="3">
        <f>IF(K18="Atende",2,IF(K18="Parcial",1,0))</f>
        <v/>
      </c>
      <c r="O18" s="3" t="inlineStr">
        <is>
          <t>Atende</t>
        </is>
      </c>
      <c r="P18" s="5" t="inlineStr">
        <is>
          <t>Possui instalação física própria, com privacidade, acessibilidade e condições adequadas de atendimento</t>
        </is>
      </c>
      <c r="Q18" s="6" t="inlineStr">
        <is>
          <t>Art. 7º, §1º, I e II.</t>
        </is>
      </c>
      <c r="R18" s="3">
        <f>IF(O18="Atende",3,IF(O18="Parcial",1.5,0))</f>
        <v/>
      </c>
      <c r="S18" s="3" t="inlineStr">
        <is>
          <t>Atende</t>
        </is>
      </c>
      <c r="T18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18" s="6" t="inlineStr">
        <is>
          <t>Art. 4º, III; art. 10, I.</t>
        </is>
      </c>
      <c r="V18" s="3">
        <f>IF(S18="Atende",3,IF(S18="Parcial",1.5,0))</f>
        <v/>
      </c>
      <c r="W18" s="3" t="inlineStr">
        <is>
          <t>Atende</t>
        </is>
      </c>
      <c r="X18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      </is>
      </c>
      <c r="Y18" s="6" t="inlineStr">
        <is>
          <t>Art. 4º, III; art. 10, I.</t>
        </is>
      </c>
      <c r="Z18" s="3">
        <f>IF(W18="Atende",3,IF(W18="Parcial",1.5,0))</f>
        <v/>
      </c>
      <c r="AA18" s="3">
        <f>SUM(F18,J18,N18,R18,V18,Z18)</f>
        <v/>
      </c>
      <c r="AB18" s="3" t="inlineStr">
        <is>
          <t>Doc. SEI 37070578</t>
        </is>
      </c>
    </row>
    <row r="19" ht="84" customHeight="1">
      <c r="A19" s="3" t="inlineStr">
        <is>
          <t>MS</t>
        </is>
      </c>
      <c r="B19" s="3" t="inlineStr">
        <is>
          <t>Mato Grosso do Sul</t>
        </is>
      </c>
      <c r="C19" s="3" t="inlineStr">
        <is>
          <t>Atende</t>
        </is>
      </c>
      <c r="D19" s="5" t="inlineStr">
        <is>
          <t>Sim</t>
        </is>
      </c>
      <c r="E19" s="6" t="inlineStr">
        <is>
          <t>Art. 7º, §2º, I.</t>
        </is>
      </c>
      <c r="F19" s="3">
        <f>IF(C19="Atende",2,IF(C19="Parcial",1,0))</f>
        <v/>
      </c>
      <c r="G19" s="3" t="inlineStr">
        <is>
          <t>Atende</t>
        </is>
      </c>
      <c r="H19" s="5" t="inlineStr">
        <is>
          <t>Sim</t>
        </is>
      </c>
      <c r="I19" s="6" t="inlineStr">
        <is>
          <t>Art. 7º, §2º, II.</t>
        </is>
      </c>
      <c r="J19" s="3">
        <f>IF(G19="Atende",2,IF(G19="Parcial",1,0))</f>
        <v/>
      </c>
      <c r="K19" s="3" t="inlineStr">
        <is>
          <t>Atende</t>
        </is>
      </c>
      <c r="L19" s="5" t="inlineStr">
        <is>
          <t>Sim</t>
        </is>
      </c>
      <c r="M19" s="6" t="inlineStr">
        <is>
          <t>Art. 7º, §2º, IV.</t>
        </is>
      </c>
      <c r="N19" s="3">
        <f>IF(K19="Atende",2,IF(K19="Parcial",1,0))</f>
        <v/>
      </c>
      <c r="O19" s="3" t="inlineStr">
        <is>
          <t>Parcial</t>
        </is>
      </c>
      <c r="P19" s="5" t="inlineStr">
        <is>
          <t>Possui sala definida, mas com limitações relevantes (privacidade, acessibilidade, mobiliário)</t>
        </is>
      </c>
      <c r="Q19" s="6" t="inlineStr">
        <is>
          <t>Art. 7º, §1º, I e II.</t>
        </is>
      </c>
      <c r="R19" s="3">
        <f>IF(O19="Atende",3,IF(O19="Parcial",1.5,0))</f>
        <v/>
      </c>
      <c r="S19" s="3" t="inlineStr">
        <is>
          <t>Não atende</t>
        </is>
      </c>
      <c r="T19" s="5" t="inlineStr">
        <is>
          <t>Não existe normativa;</t>
        </is>
      </c>
      <c r="U19" s="6" t="inlineStr">
        <is>
          <t>Art. 4º, III; art. 10, I.</t>
        </is>
      </c>
      <c r="V19" s="3">
        <f>IF(S19="Atende",3,IF(S19="Parcial",1.5,0))</f>
        <v/>
      </c>
      <c r="W19" s="3" t="inlineStr">
        <is>
          <t>Atende</t>
        </is>
      </c>
      <c r="X19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      </is>
      </c>
      <c r="Y19" s="6" t="inlineStr">
        <is>
          <t>Art. 4º, III; art. 10, I.</t>
        </is>
      </c>
      <c r="Z19" s="3">
        <f>IF(W19="Atende",3,IF(W19="Parcial",1.5,0))</f>
        <v/>
      </c>
      <c r="AA19" s="3">
        <f>SUM(F19,J19,N19,R19,V19,Z19)</f>
        <v/>
      </c>
      <c r="AB19" s="3" t="inlineStr">
        <is>
          <t>Doc. SEI 37070578</t>
        </is>
      </c>
    </row>
    <row r="20" ht="84" customHeight="1">
      <c r="A20" s="3" t="inlineStr">
        <is>
          <t>MG</t>
        </is>
      </c>
      <c r="B20" s="3" t="inlineStr">
        <is>
          <t>Minas Gerais</t>
        </is>
      </c>
      <c r="C20" s="3" t="inlineStr">
        <is>
          <t>Atende</t>
        </is>
      </c>
      <c r="D20" s="5" t="inlineStr">
        <is>
          <t>Sim</t>
        </is>
      </c>
      <c r="E20" s="6" t="inlineStr">
        <is>
          <t>Art. 7º, §2º, I.</t>
        </is>
      </c>
      <c r="F20" s="3">
        <f>IF(C20="Atende",2,IF(C20="Parcial",1,0))</f>
        <v/>
      </c>
      <c r="G20" s="3" t="inlineStr">
        <is>
          <t>Atende</t>
        </is>
      </c>
      <c r="H20" s="5" t="inlineStr">
        <is>
          <t>Sim</t>
        </is>
      </c>
      <c r="I20" s="6" t="inlineStr">
        <is>
          <t>Art. 7º, §2º, II.</t>
        </is>
      </c>
      <c r="J20" s="3">
        <f>IF(G20="Atende",2,IF(G20="Parcial",1,0))</f>
        <v/>
      </c>
      <c r="K20" s="3" t="inlineStr">
        <is>
          <t>Atende</t>
        </is>
      </c>
      <c r="L20" s="5" t="inlineStr">
        <is>
          <t>Sim</t>
        </is>
      </c>
      <c r="M20" s="6" t="inlineStr">
        <is>
          <t>Art. 7º, §2º, IV.</t>
        </is>
      </c>
      <c r="N20" s="3">
        <f>IF(K20="Atende",2,IF(K20="Parcial",1,0))</f>
        <v/>
      </c>
      <c r="O20" s="3" t="inlineStr">
        <is>
          <t>Parcial</t>
        </is>
      </c>
      <c r="P20" s="5" t="inlineStr">
        <is>
          <t>Possui sala definida, mas com limitações relevantes (privacidade, acessibilidade, mobiliário)</t>
        </is>
      </c>
      <c r="Q20" s="6" t="inlineStr">
        <is>
          <t>Art. 7º, §1º, I e II.</t>
        </is>
      </c>
      <c r="R20" s="3">
        <f>IF(O20="Atende",3,IF(O20="Parcial",1.5,0))</f>
        <v/>
      </c>
      <c r="S20" s="3" t="inlineStr">
        <is>
          <t>Atende</t>
        </is>
      </c>
      <c r="T20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20" s="6" t="inlineStr">
        <is>
          <t>Art. 4º, III; art. 10, I.</t>
        </is>
      </c>
      <c r="V20" s="3">
        <f>IF(S20="Atende",3,IF(S20="Parcial",1.5,0))</f>
        <v/>
      </c>
      <c r="W20" s="3" t="inlineStr">
        <is>
          <t>Atende</t>
        </is>
      </c>
      <c r="X20" s="5" t="inlineStr">
        <is>
      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      </is>
      </c>
      <c r="Y20" s="6" t="inlineStr">
        <is>
          <t>Art. 4º, III; art. 10, I.</t>
        </is>
      </c>
      <c r="Z20" s="3">
        <f>IF(W20="Atende",3,IF(W20="Parcial",1.5,0))</f>
        <v/>
      </c>
      <c r="AA20" s="3">
        <f>SUM(F20,J20,N20,R20,V20,Z20)</f>
        <v/>
      </c>
      <c r="AB20" s="3" t="inlineStr">
        <is>
          <t>Doc. SEI 37070578</t>
        </is>
      </c>
    </row>
    <row r="21" ht="96" customHeight="1">
      <c r="A21" s="3" t="inlineStr">
        <is>
          <t>PA</t>
        </is>
      </c>
      <c r="B21" s="3" t="inlineStr">
        <is>
          <t>Pará</t>
        </is>
      </c>
      <c r="C21" s="3" t="inlineStr">
        <is>
          <t>Não atende</t>
        </is>
      </c>
      <c r="D21" s="5" t="inlineStr">
        <is>
          <t>Não</t>
        </is>
      </c>
      <c r="E21" s="6" t="inlineStr">
        <is>
          <t>Art. 7º, §2º, I.</t>
        </is>
      </c>
      <c r="F21" s="3">
        <f>IF(C21="Atende",2,IF(C21="Parcial",1,0))</f>
        <v/>
      </c>
      <c r="G21" s="3" t="inlineStr">
        <is>
          <t>Não atende</t>
        </is>
      </c>
      <c r="H21" s="5" t="inlineStr">
        <is>
          <t>Não</t>
        </is>
      </c>
      <c r="I21" s="6" t="inlineStr">
        <is>
          <t>Art. 7º, §2º, II.</t>
        </is>
      </c>
      <c r="J21" s="3">
        <f>IF(G21="Atende",2,IF(G21="Parcial",1,0))</f>
        <v/>
      </c>
      <c r="K21" s="3" t="inlineStr">
        <is>
          <t>Não atende</t>
        </is>
      </c>
      <c r="L21" s="5" t="inlineStr">
        <is>
          <t>Não</t>
        </is>
      </c>
      <c r="M21" s="6" t="inlineStr">
        <is>
          <t>Art. 7º, §2º, IV.</t>
        </is>
      </c>
      <c r="N21" s="3">
        <f>IF(K21="Atende",2,IF(K21="Parcial",1,0))</f>
        <v/>
      </c>
      <c r="O21" s="3" t="inlineStr">
        <is>
          <t>Não atende</t>
        </is>
      </c>
      <c r="P21" s="5" t="inlineStr">
        <is>
          <t>Não há Ouvidoria constituída na Secretaria</t>
        </is>
      </c>
      <c r="Q21" s="6" t="inlineStr">
        <is>
          <t>Art. 7º, §1º, I e II.</t>
        </is>
      </c>
      <c r="R21" s="3">
        <f>IF(O21="Atende",3,IF(O21="Parcial",1.5,0))</f>
        <v/>
      </c>
      <c r="S21" s="3" t="inlineStr">
        <is>
          <t>Não atende</t>
        </is>
      </c>
      <c r="T21" s="5" t="inlineStr">
        <is>
          <t>Não há Ouvidoria constituída na Secretaria;</t>
        </is>
      </c>
      <c r="U21" s="6" t="inlineStr">
        <is>
          <t>Art. 4º, III; art. 10, I.</t>
        </is>
      </c>
      <c r="V21" s="3">
        <f>IF(S21="Atende",3,IF(S21="Parcial",1.5,0))</f>
        <v/>
      </c>
      <c r="W21" s="3" t="inlineStr">
        <is>
          <t>Sem evidência</t>
        </is>
      </c>
      <c r="X21" s="5" t="inlineStr">
        <is>
          <t>Pessoas privadas de liberdade: Nunca recebe manifestações desse público | Familiares / pessoas de referência de pessoas privadas de liberdade: Nunca recebe manifestações desse público | Servidores(as) penais e demais trabalhadores(as) dos serviços penais: Nunca recebe manifestações desse público | Outros cidadãos e usuários de serviços relacionados ao sistema penal: Nunca recebe manifestações desse público</t>
        </is>
      </c>
      <c r="Y21" s="6" t="inlineStr">
        <is>
          <t>Art. 4º, III; art. 10, I.</t>
        </is>
      </c>
      <c r="Z21" s="3">
        <f>IF(W21="Atende",3,IF(W21="Parcial",1.5,0))</f>
        <v/>
      </c>
      <c r="AA21" s="3">
        <f>SUM(F21,J21,N21,R21,V21,Z21)</f>
        <v/>
      </c>
      <c r="AB21" s="3" t="inlineStr">
        <is>
          <t>Doc. SEI 37070578</t>
        </is>
      </c>
    </row>
    <row r="22" ht="84" customHeight="1">
      <c r="A22" s="3" t="inlineStr">
        <is>
          <t>PB</t>
        </is>
      </c>
      <c r="B22" s="3" t="inlineStr">
        <is>
          <t>Paraíba</t>
        </is>
      </c>
      <c r="C22" s="3" t="inlineStr">
        <is>
          <t>Atende</t>
        </is>
      </c>
      <c r="D22" s="5" t="inlineStr">
        <is>
          <t>Sim</t>
        </is>
      </c>
      <c r="E22" s="6" t="inlineStr">
        <is>
          <t>Art. 7º, §2º, I.</t>
        </is>
      </c>
      <c r="F22" s="3">
        <f>IF(C22="Atende",2,IF(C22="Parcial",1,0))</f>
        <v/>
      </c>
      <c r="G22" s="3" t="inlineStr">
        <is>
          <t>Atende</t>
        </is>
      </c>
      <c r="H22" s="5" t="inlineStr">
        <is>
          <t>Sim</t>
        </is>
      </c>
      <c r="I22" s="6" t="inlineStr">
        <is>
          <t>Art. 7º, §2º, II.</t>
        </is>
      </c>
      <c r="J22" s="3">
        <f>IF(G22="Atende",2,IF(G22="Parcial",1,0))</f>
        <v/>
      </c>
      <c r="K22" s="3" t="inlineStr">
        <is>
          <t>Atende</t>
        </is>
      </c>
      <c r="L22" s="5" t="inlineStr">
        <is>
          <t>Não</t>
        </is>
      </c>
      <c r="M22" s="6" t="inlineStr">
        <is>
          <t>Art. 7º, §2º, IV.</t>
        </is>
      </c>
      <c r="N22" s="3">
        <f>IF(K22="Atende",2,IF(K22="Parcial",1,0))</f>
        <v/>
      </c>
      <c r="O22" s="3" t="inlineStr">
        <is>
          <t>Atende</t>
        </is>
      </c>
      <c r="P22" s="5" t="inlineStr">
        <is>
          <t>Possui instalação física própria, com privacidade, acessibilidade e condições adequadas de atendimento</t>
        </is>
      </c>
      <c r="Q22" s="6" t="inlineStr">
        <is>
          <t>Art. 7º, §1º, I e II.</t>
        </is>
      </c>
      <c r="R22" s="3">
        <f>IF(O22="Atende",3,IF(O22="Parcial",1.5,0))</f>
        <v/>
      </c>
      <c r="S22" s="3" t="inlineStr">
        <is>
          <t>Atende</t>
        </is>
      </c>
      <c r="T22" s="5" t="inlineStr">
        <is>
          <t>Pessoas privadas de liberdade;Familiares / pessoas de referência de pessoas privadas de liberdade;</t>
        </is>
      </c>
      <c r="U22" s="6" t="inlineStr">
        <is>
          <t>Art. 4º, III; art. 10, I.</t>
        </is>
      </c>
      <c r="V22" s="3">
        <f>IF(S22="Atende",3,IF(S22="Parcial",1.5,0))</f>
        <v/>
      </c>
      <c r="W22" s="3" t="inlineStr">
        <is>
          <t>Atende</t>
        </is>
      </c>
      <c r="X22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      </is>
      </c>
      <c r="Y22" s="6" t="inlineStr">
        <is>
          <t>Art. 4º, III; art. 10, I.</t>
        </is>
      </c>
      <c r="Z22" s="3">
        <f>IF(W22="Atende",3,IF(W22="Parcial",1.5,0))</f>
        <v/>
      </c>
      <c r="AA22" s="3">
        <f>SUM(F22,J22,N22,R22,V22,Z22)</f>
        <v/>
      </c>
      <c r="AB22" s="3" t="inlineStr">
        <is>
          <t>Doc. SEI 37070578</t>
        </is>
      </c>
    </row>
    <row r="23" ht="84" customHeight="1">
      <c r="A23" s="3" t="inlineStr">
        <is>
          <t>PR</t>
        </is>
      </c>
      <c r="B23" s="3" t="inlineStr">
        <is>
          <t>Paraná</t>
        </is>
      </c>
      <c r="C23" s="3" t="inlineStr">
        <is>
          <t>Atende</t>
        </is>
      </c>
      <c r="D23" s="5" t="inlineStr">
        <is>
          <t>Sim</t>
        </is>
      </c>
      <c r="E23" s="6" t="inlineStr">
        <is>
          <t>Art. 7º, §2º, I.</t>
        </is>
      </c>
      <c r="F23" s="3">
        <f>IF(C23="Atende",2,IF(C23="Parcial",1,0))</f>
        <v/>
      </c>
      <c r="G23" s="3" t="inlineStr">
        <is>
          <t>Atende</t>
        </is>
      </c>
      <c r="H23" s="5" t="inlineStr">
        <is>
          <t>Sim</t>
        </is>
      </c>
      <c r="I23" s="6" t="inlineStr">
        <is>
          <t>Art. 7º, §2º, II.</t>
        </is>
      </c>
      <c r="J23" s="3">
        <f>IF(G23="Atende",2,IF(G23="Parcial",1,0))</f>
        <v/>
      </c>
      <c r="K23" s="3" t="inlineStr">
        <is>
          <t>Atende</t>
        </is>
      </c>
      <c r="L23" s="5" t="inlineStr">
        <is>
          <t>Sim</t>
        </is>
      </c>
      <c r="M23" s="6" t="inlineStr">
        <is>
          <t>Art. 7º, §2º, IV.</t>
        </is>
      </c>
      <c r="N23" s="3">
        <f>IF(K23="Atende",2,IF(K23="Parcial",1,0))</f>
        <v/>
      </c>
      <c r="O23" s="3" t="inlineStr">
        <is>
          <t>Parcial</t>
        </is>
      </c>
      <c r="P23" s="5" t="inlineStr">
        <is>
          <t>Possui sala definida, mas com limitações relevantes (privacidade, acessibilidade, mobiliário)</t>
        </is>
      </c>
      <c r="Q23" s="6" t="inlineStr">
        <is>
          <t>Art. 7º, §1º, I e II.</t>
        </is>
      </c>
      <c r="R23" s="3">
        <f>IF(O23="Atende",3,IF(O23="Parcial",1.5,0))</f>
        <v/>
      </c>
      <c r="S23" s="3" t="inlineStr">
        <is>
          <t>Não atende</t>
        </is>
      </c>
      <c r="T23" s="5" t="inlineStr">
        <is>
          <t>Não existe normativa;</t>
        </is>
      </c>
      <c r="U23" s="6" t="inlineStr">
        <is>
          <t>Art. 4º, III; art. 10, I.</t>
        </is>
      </c>
      <c r="V23" s="3">
        <f>IF(S23="Atende",3,IF(S23="Parcial",1.5,0))</f>
        <v/>
      </c>
      <c r="W23" s="3" t="inlineStr">
        <is>
          <t>Atende</t>
        </is>
      </c>
      <c r="X23" s="5" t="inlineStr">
        <is>
          <t>Pessoas privadas de liberdade: Recebe com alguma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      </is>
      </c>
      <c r="Y23" s="6" t="inlineStr">
        <is>
          <t>Art. 4º, III; art. 10, I.</t>
        </is>
      </c>
      <c r="Z23" s="3">
        <f>IF(W23="Atende",3,IF(W23="Parcial",1.5,0))</f>
        <v/>
      </c>
      <c r="AA23" s="3">
        <f>SUM(F23,J23,N23,R23,V23,Z23)</f>
        <v/>
      </c>
      <c r="AB23" s="3" t="inlineStr">
        <is>
          <t>Doc. SEI 37070578</t>
        </is>
      </c>
    </row>
    <row r="24" ht="84" customHeight="1">
      <c r="A24" s="3" t="inlineStr">
        <is>
          <t>PE</t>
        </is>
      </c>
      <c r="B24" s="3" t="inlineStr">
        <is>
          <t>Pernambuco</t>
        </is>
      </c>
      <c r="C24" s="3" t="inlineStr">
        <is>
          <t>Atende</t>
        </is>
      </c>
      <c r="D24" s="5" t="inlineStr">
        <is>
          <t>Sim</t>
        </is>
      </c>
      <c r="E24" s="6" t="inlineStr">
        <is>
          <t>Art. 7º, §2º, I.</t>
        </is>
      </c>
      <c r="F24" s="3">
        <f>IF(C24="Atende",2,IF(C24="Parcial",1,0))</f>
        <v/>
      </c>
      <c r="G24" s="3" t="inlineStr">
        <is>
          <t>Atende</t>
        </is>
      </c>
      <c r="H24" s="5" t="inlineStr">
        <is>
          <t>Sim</t>
        </is>
      </c>
      <c r="I24" s="6" t="inlineStr">
        <is>
          <t>Art. 7º, §2º, II.</t>
        </is>
      </c>
      <c r="J24" s="3">
        <f>IF(G24="Atende",2,IF(G24="Parcial",1,0))</f>
        <v/>
      </c>
      <c r="K24" s="3" t="inlineStr">
        <is>
          <t>Atende</t>
        </is>
      </c>
      <c r="L24" s="5" t="inlineStr">
        <is>
          <t>Sim</t>
        </is>
      </c>
      <c r="M24" s="6" t="inlineStr">
        <is>
          <t>Art. 7º, §2º, IV.</t>
        </is>
      </c>
      <c r="N24" s="3">
        <f>IF(K24="Atende",2,IF(K24="Parcial",1,0))</f>
        <v/>
      </c>
      <c r="O24" s="3" t="inlineStr">
        <is>
          <t>Parcial</t>
        </is>
      </c>
      <c r="P24" s="5" t="inlineStr">
        <is>
          <t>Possui sala definida, mas com limitações relevantes (privacidade, acessibilidade, mobiliário)</t>
        </is>
      </c>
      <c r="Q24" s="6" t="inlineStr">
        <is>
          <t>Art. 7º, §1º, I e II.</t>
        </is>
      </c>
      <c r="R24" s="3">
        <f>IF(O24="Atende",3,IF(O24="Parcial",1.5,0))</f>
        <v/>
      </c>
      <c r="S24" s="3" t="inlineStr">
        <is>
          <t>Não atende</t>
        </is>
      </c>
      <c r="T24" s="5" t="inlineStr">
        <is>
          <t>Não existe normativa;</t>
        </is>
      </c>
      <c r="U24" s="6" t="inlineStr">
        <is>
          <t>Art. 4º, III; art. 10, I.</t>
        </is>
      </c>
      <c r="V24" s="3">
        <f>IF(S24="Atende",3,IF(S24="Parcial",1.5,0))</f>
        <v/>
      </c>
      <c r="W24" s="3" t="inlineStr">
        <is>
          <t>Atende</t>
        </is>
      </c>
      <c r="X24" s="5" t="inlineStr">
        <is>
          <t>Pessoas privadas de liberdade: Recebe com alta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      </is>
      </c>
      <c r="Y24" s="6" t="inlineStr">
        <is>
          <t>Art. 4º, III; art. 10, I.</t>
        </is>
      </c>
      <c r="Z24" s="3">
        <f>IF(W24="Atende",3,IF(W24="Parcial",1.5,0))</f>
        <v/>
      </c>
      <c r="AA24" s="3">
        <f>SUM(F24,J24,N24,R24,V24,Z24)</f>
        <v/>
      </c>
      <c r="AB24" s="3" t="inlineStr">
        <is>
          <t>Doc. SEI 37070578</t>
        </is>
      </c>
    </row>
    <row r="25" ht="84" customHeight="1">
      <c r="A25" s="3" t="inlineStr">
        <is>
          <t>PI</t>
        </is>
      </c>
      <c r="B25" s="3" t="inlineStr">
        <is>
          <t>Piauí</t>
        </is>
      </c>
      <c r="C25" s="3" t="inlineStr">
        <is>
          <t>Atende</t>
        </is>
      </c>
      <c r="D25" s="5" t="inlineStr">
        <is>
          <t>Sim</t>
        </is>
      </c>
      <c r="E25" s="6" t="inlineStr">
        <is>
          <t>Art. 7º, §2º, I.</t>
        </is>
      </c>
      <c r="F25" s="3">
        <f>IF(C25="Atende",2,IF(C25="Parcial",1,0))</f>
        <v/>
      </c>
      <c r="G25" s="3" t="inlineStr">
        <is>
          <t>Não atende</t>
        </is>
      </c>
      <c r="H25" s="5" t="inlineStr">
        <is>
          <t>Não</t>
        </is>
      </c>
      <c r="I25" s="6" t="inlineStr">
        <is>
          <t>Art. 7º, §2º, II.</t>
        </is>
      </c>
      <c r="J25" s="3">
        <f>IF(G25="Atende",2,IF(G25="Parcial",1,0))</f>
        <v/>
      </c>
      <c r="K25" s="3" t="inlineStr">
        <is>
          <t>Não atende</t>
        </is>
      </c>
      <c r="L25" s="5" t="inlineStr">
        <is>
          <t>Não</t>
        </is>
      </c>
      <c r="M25" s="6" t="inlineStr">
        <is>
          <t>Art. 7º, §2º, IV.</t>
        </is>
      </c>
      <c r="N25" s="3">
        <f>IF(K25="Atende",2,IF(K25="Parcial",1,0))</f>
        <v/>
      </c>
      <c r="O25" s="3" t="inlineStr">
        <is>
          <t>Parcial</t>
        </is>
      </c>
      <c r="P25" s="5" t="inlineStr">
        <is>
          <t>Possui sala definida, mas com limitações relevantes (privacidade, acessibilidade, mobiliário)</t>
        </is>
      </c>
      <c r="Q25" s="6" t="inlineStr">
        <is>
          <t>Art. 7º, §1º, I e II.</t>
        </is>
      </c>
      <c r="R25" s="3">
        <f>IF(O25="Atende",3,IF(O25="Parcial",1.5,0))</f>
        <v/>
      </c>
      <c r="S25" s="3" t="inlineStr">
        <is>
          <t>Atende</t>
        </is>
      </c>
      <c r="T25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25" s="6" t="inlineStr">
        <is>
          <t>Art. 4º, III; art. 10, I.</t>
        </is>
      </c>
      <c r="V25" s="3">
        <f>IF(S25="Atende",3,IF(S25="Parcial",1.5,0))</f>
        <v/>
      </c>
      <c r="W25" s="3" t="inlineStr">
        <is>
          <t>Atende</t>
        </is>
      </c>
      <c r="X25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      </is>
      </c>
      <c r="Y25" s="6" t="inlineStr">
        <is>
          <t>Art. 4º, III; art. 10, I.</t>
        </is>
      </c>
      <c r="Z25" s="3">
        <f>IF(W25="Atende",3,IF(W25="Parcial",1.5,0))</f>
        <v/>
      </c>
      <c r="AA25" s="3">
        <f>SUM(F25,J25,N25,R25,V25,Z25)</f>
        <v/>
      </c>
      <c r="AB25" s="3" t="inlineStr">
        <is>
          <t>Doc. SEI 37070578</t>
        </is>
      </c>
    </row>
    <row r="26" ht="84" customHeight="1">
      <c r="A26" s="3" t="inlineStr">
        <is>
          <t>RJ</t>
        </is>
      </c>
      <c r="B26" s="3" t="inlineStr">
        <is>
          <t>Rio de Janeiro</t>
        </is>
      </c>
      <c r="C26" s="3" t="inlineStr">
        <is>
          <t>Atende</t>
        </is>
      </c>
      <c r="D26" s="5" t="inlineStr">
        <is>
          <t>Sim</t>
        </is>
      </c>
      <c r="E26" s="6" t="inlineStr">
        <is>
          <t>Art. 7º, §2º, I.</t>
        </is>
      </c>
      <c r="F26" s="3">
        <f>IF(C26="Atende",2,IF(C26="Parcial",1,0))</f>
        <v/>
      </c>
      <c r="G26" s="3" t="inlineStr">
        <is>
          <t>Atende</t>
        </is>
      </c>
      <c r="H26" s="5" t="inlineStr">
        <is>
          <t>Sim</t>
        </is>
      </c>
      <c r="I26" s="6" t="inlineStr">
        <is>
          <t>Art. 7º, §2º, II.</t>
        </is>
      </c>
      <c r="J26" s="3">
        <f>IF(G26="Atende",2,IF(G26="Parcial",1,0))</f>
        <v/>
      </c>
      <c r="K26" s="3" t="inlineStr">
        <is>
          <t>Atende</t>
        </is>
      </c>
      <c r="L26" s="5" t="inlineStr">
        <is>
          <t>Sim</t>
        </is>
      </c>
      <c r="M26" s="6" t="inlineStr">
        <is>
          <t>Art. 7º, §2º, IV.</t>
        </is>
      </c>
      <c r="N26" s="3">
        <f>IF(K26="Atende",2,IF(K26="Parcial",1,0))</f>
        <v/>
      </c>
      <c r="O26" s="3" t="inlineStr">
        <is>
          <t>Atende</t>
        </is>
      </c>
      <c r="P26" s="5" t="inlineStr">
        <is>
          <t>Possui instalação física própria, com privacidade, acessibilidade e condições adequadas de atendimento</t>
        </is>
      </c>
      <c r="Q26" s="6" t="inlineStr">
        <is>
          <t>Art. 7º, §1º, I e II.</t>
        </is>
      </c>
      <c r="R26" s="3">
        <f>IF(O26="Atende",3,IF(O26="Parcial",1.5,0))</f>
        <v/>
      </c>
      <c r="S26" s="3" t="inlineStr">
        <is>
          <t>Atende</t>
        </is>
      </c>
      <c r="T26" s="5" t="inlineStr">
        <is>
          <t>Demais cidadãos e usuários de serviços relacionados ao sistema penal;</t>
        </is>
      </c>
      <c r="U26" s="6" t="inlineStr">
        <is>
          <t>Art. 4º, III; art. 10, I.</t>
        </is>
      </c>
      <c r="V26" s="3">
        <f>IF(S26="Atende",3,IF(S26="Parcial",1.5,0))</f>
        <v/>
      </c>
      <c r="W26" s="3" t="inlineStr">
        <is>
          <t>Atende</t>
        </is>
      </c>
      <c r="X26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      </is>
      </c>
      <c r="Y26" s="6" t="inlineStr">
        <is>
          <t>Art. 4º, III; art. 10, I.</t>
        </is>
      </c>
      <c r="Z26" s="3">
        <f>IF(W26="Atende",3,IF(W26="Parcial",1.5,0))</f>
        <v/>
      </c>
      <c r="AA26" s="3">
        <f>SUM(F26,J26,N26,R26,V26,Z26)</f>
        <v/>
      </c>
      <c r="AB26" s="3" t="inlineStr">
        <is>
          <t>Doc. SEI 37070578</t>
        </is>
      </c>
    </row>
    <row r="27" ht="84" customHeight="1">
      <c r="A27" s="3" t="inlineStr">
        <is>
          <t>RN</t>
        </is>
      </c>
      <c r="B27" s="3" t="inlineStr">
        <is>
          <t>Rio Grande do Norte</t>
        </is>
      </c>
      <c r="C27" s="3" t="inlineStr">
        <is>
          <t>Atende</t>
        </is>
      </c>
      <c r="D27" s="5" t="inlineStr">
        <is>
          <t>Sim</t>
        </is>
      </c>
      <c r="E27" s="6" t="inlineStr">
        <is>
          <t>Art. 7º, §2º, I.</t>
        </is>
      </c>
      <c r="F27" s="3">
        <f>IF(C27="Atende",2,IF(C27="Parcial",1,0))</f>
        <v/>
      </c>
      <c r="G27" s="3" t="inlineStr">
        <is>
          <t>Atende</t>
        </is>
      </c>
      <c r="H27" s="5" t="inlineStr">
        <is>
          <t>Sim</t>
        </is>
      </c>
      <c r="I27" s="6" t="inlineStr">
        <is>
          <t>Art. 7º, §2º, II.</t>
        </is>
      </c>
      <c r="J27" s="3">
        <f>IF(G27="Atende",2,IF(G27="Parcial",1,0))</f>
        <v/>
      </c>
      <c r="K27" s="3" t="inlineStr">
        <is>
          <t>Não atende</t>
        </is>
      </c>
      <c r="L27" s="5" t="inlineStr">
        <is>
          <t>Não</t>
        </is>
      </c>
      <c r="M27" s="6" t="inlineStr">
        <is>
          <t>Art. 7º, §2º, IV.</t>
        </is>
      </c>
      <c r="N27" s="3">
        <f>IF(K27="Atende",2,IF(K27="Parcial",1,0))</f>
        <v/>
      </c>
      <c r="O27" s="3" t="inlineStr">
        <is>
          <t>Parcial</t>
        </is>
      </c>
      <c r="P27" s="5" t="inlineStr">
        <is>
          <t>Possui sala definida, mas com limitações relevantes (privacidade, acessibilidade, mobiliário)</t>
        </is>
      </c>
      <c r="Q27" s="6" t="inlineStr">
        <is>
          <t>Art. 7º, §1º, I e II.</t>
        </is>
      </c>
      <c r="R27" s="3">
        <f>IF(O27="Atende",3,IF(O27="Parcial",1.5,0))</f>
        <v/>
      </c>
      <c r="S27" s="3" t="inlineStr">
        <is>
          <t>Atende</t>
        </is>
      </c>
      <c r="T27" s="5" t="inlineStr">
        <is>
          <t>Demais cidadãos e usuários de serviços relacionados ao sistema penal;</t>
        </is>
      </c>
      <c r="U27" s="6" t="inlineStr">
        <is>
          <t>Art. 4º, III; art. 10, I.</t>
        </is>
      </c>
      <c r="V27" s="3">
        <f>IF(S27="Atende",3,IF(S27="Parcial",1.5,0))</f>
        <v/>
      </c>
      <c r="W27" s="3" t="inlineStr">
        <is>
          <t>Atende</t>
        </is>
      </c>
      <c r="X27" s="5" t="inlineStr">
        <is>
          <t>Pessoas privadas de liberdade: Recebe com alta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      </is>
      </c>
      <c r="Y27" s="6" t="inlineStr">
        <is>
          <t>Art. 4º, III; art. 10, I.</t>
        </is>
      </c>
      <c r="Z27" s="3">
        <f>IF(W27="Atende",3,IF(W27="Parcial",1.5,0))</f>
        <v/>
      </c>
      <c r="AA27" s="3">
        <f>SUM(F27,J27,N27,R27,V27,Z27)</f>
        <v/>
      </c>
      <c r="AB27" s="3" t="inlineStr">
        <is>
          <t>Doc. SEI 37070578</t>
        </is>
      </c>
    </row>
    <row r="28" ht="84" customHeight="1">
      <c r="A28" s="3" t="inlineStr">
        <is>
          <t>RS</t>
        </is>
      </c>
      <c r="B28" s="3" t="inlineStr">
        <is>
          <t>Rio Grande do Sul</t>
        </is>
      </c>
      <c r="C28" s="3" t="inlineStr">
        <is>
          <t>Atende</t>
        </is>
      </c>
      <c r="D28" s="5" t="inlineStr">
        <is>
          <t>Não</t>
        </is>
      </c>
      <c r="E28" s="6" t="inlineStr">
        <is>
          <t>Art. 7º, §2º, I.</t>
        </is>
      </c>
      <c r="F28" s="3">
        <f>IF(C28="Atende",2,IF(C28="Parcial",1,0))</f>
        <v/>
      </c>
      <c r="G28" s="3" t="inlineStr">
        <is>
          <t>Não atende</t>
        </is>
      </c>
      <c r="H28" s="5" t="inlineStr">
        <is>
          <t>Não</t>
        </is>
      </c>
      <c r="I28" s="6" t="inlineStr">
        <is>
          <t>Art. 7º, §2º, II.</t>
        </is>
      </c>
      <c r="J28" s="3">
        <f>IF(G28="Atende",2,IF(G28="Parcial",1,0))</f>
        <v/>
      </c>
      <c r="K28" s="3" t="inlineStr">
        <is>
          <t>Atende</t>
        </is>
      </c>
      <c r="L28" s="5" t="inlineStr">
        <is>
          <t>Sim</t>
        </is>
      </c>
      <c r="M28" s="6" t="inlineStr">
        <is>
          <t>Art. 7º, §2º, IV.</t>
        </is>
      </c>
      <c r="N28" s="3">
        <f>IF(K28="Atende",2,IF(K28="Parcial",1,0))</f>
        <v/>
      </c>
      <c r="O28" s="3" t="inlineStr">
        <is>
          <t>Atende</t>
        </is>
      </c>
      <c r="P28" s="5" t="inlineStr">
        <is>
          <t>Possui instalação física própria, com privacidade, acessibilidade e condições adequadas de atendimento</t>
        </is>
      </c>
      <c r="Q28" s="6" t="inlineStr">
        <is>
          <t>Art. 7º, §1º, I e II.</t>
        </is>
      </c>
      <c r="R28" s="3">
        <f>IF(O28="Atende",3,IF(O28="Parcial",1.5,0))</f>
        <v/>
      </c>
      <c r="S28" s="3" t="inlineStr">
        <is>
          <t>Atende</t>
        </is>
      </c>
      <c r="T28" s="5" t="inlineStr">
        <is>
          <t>Demais cidadãos e usuários de serviços relacionados ao sistema penal;</t>
        </is>
      </c>
      <c r="U28" s="6" t="inlineStr">
        <is>
          <t>Art. 4º, III; art. 10, I.</t>
        </is>
      </c>
      <c r="V28" s="3">
        <f>IF(S28="Atende",3,IF(S28="Parcial",1.5,0))</f>
        <v/>
      </c>
      <c r="W28" s="3" t="inlineStr">
        <is>
          <t>Atende</t>
        </is>
      </c>
      <c r="X28" s="5" t="inlineStr">
        <is>
      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      </is>
      </c>
      <c r="Y28" s="6" t="inlineStr">
        <is>
          <t>Art. 4º, III; art. 10, I.</t>
        </is>
      </c>
      <c r="Z28" s="3">
        <f>IF(W28="Atende",3,IF(W28="Parcial",1.5,0))</f>
        <v/>
      </c>
      <c r="AA28" s="3">
        <f>SUM(F28,J28,N28,R28,V28,Z28)</f>
        <v/>
      </c>
      <c r="AB28" s="3" t="inlineStr">
        <is>
          <t>Doc. SEI 37070578</t>
        </is>
      </c>
    </row>
    <row r="29" ht="84" customHeight="1">
      <c r="A29" s="3" t="inlineStr">
        <is>
          <t>RO</t>
        </is>
      </c>
      <c r="B29" s="3" t="inlineStr">
        <is>
          <t>Rondônia</t>
        </is>
      </c>
      <c r="C29" s="3" t="inlineStr">
        <is>
          <t>Sem evidência</t>
        </is>
      </c>
      <c r="D29" s="5" t="inlineStr">
        <is>
          <t>Sim</t>
        </is>
      </c>
      <c r="E29" s="6" t="inlineStr">
        <is>
          <t>Art. 7º, §2º, I.</t>
        </is>
      </c>
      <c r="F29" s="3">
        <f>IF(C29="Atende",2,IF(C29="Parcial",1,0))</f>
        <v/>
      </c>
      <c r="G29" s="3" t="inlineStr">
        <is>
          <t>Atende</t>
        </is>
      </c>
      <c r="H29" s="5" t="inlineStr">
        <is>
          <t>Sim</t>
        </is>
      </c>
      <c r="I29" s="6" t="inlineStr">
        <is>
          <t>Art. 7º, §2º, II.</t>
        </is>
      </c>
      <c r="J29" s="3">
        <f>IF(G29="Atende",2,IF(G29="Parcial",1,0))</f>
        <v/>
      </c>
      <c r="K29" s="3" t="inlineStr">
        <is>
          <t>Não atende</t>
        </is>
      </c>
      <c r="L29" s="5" t="inlineStr">
        <is>
          <t>Não</t>
        </is>
      </c>
      <c r="M29" s="6" t="inlineStr">
        <is>
          <t>Art. 7º, §2º, IV.</t>
        </is>
      </c>
      <c r="N29" s="3">
        <f>IF(K29="Atende",2,IF(K29="Parcial",1,0))</f>
        <v/>
      </c>
      <c r="O29" s="3" t="inlineStr">
        <is>
          <t>Sem evidência</t>
        </is>
      </c>
      <c r="P29" s="5" t="inlineStr">
        <is>
          <t>Possui sala definida, mas com limitações relevantes (privacidade, acessibilidade, mobiliário)</t>
        </is>
      </c>
      <c r="Q29" s="6" t="inlineStr">
        <is>
          <t>Art. 7º, §1º, I e II.</t>
        </is>
      </c>
      <c r="R29" s="3">
        <f>IF(O29="Atende",3,IF(O29="Parcial",1.5,0))</f>
        <v/>
      </c>
      <c r="S29" s="3" t="inlineStr">
        <is>
          <t>Sem evidência</t>
        </is>
      </c>
      <c r="T29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29" s="6" t="inlineStr">
        <is>
          <t>Art. 4º, III; art. 10, I.</t>
        </is>
      </c>
      <c r="V29" s="3">
        <f>IF(S29="Atende",3,IF(S29="Parcial",1.5,0))</f>
        <v/>
      </c>
      <c r="W29" s="3" t="inlineStr">
        <is>
          <t>Sem evidência</t>
        </is>
      </c>
      <c r="X29" s="5" t="inlineStr">
        <is>
          <t>Pessoas privadas de liberdade: Recebe com alta frequência | Familiares / pessoas de referência de pessoas privadas de liberdade: Recebe com alguma frequência | Servidores(as) penais e demais trabalhadores(as) dos serviços penais: Recebe com alguma frequência | Outros cidadãos e usuários de serviços relacionados ao sistema penal: Recebe raramente</t>
        </is>
      </c>
      <c r="Y29" s="6" t="inlineStr">
        <is>
          <t>Art. 4º, III; art. 10, I.</t>
        </is>
      </c>
      <c r="Z29" s="3">
        <f>IF(W29="Atende",3,IF(W29="Parcial",1.5,0))</f>
        <v/>
      </c>
      <c r="AA29" s="3">
        <f>SUM(F29,J29,N29,R29,V29,Z29)</f>
        <v/>
      </c>
      <c r="AB29" s="3" t="inlineStr">
        <is>
          <t>Doc. SEI 37070578</t>
        </is>
      </c>
    </row>
    <row r="30" ht="84" customHeight="1">
      <c r="A30" s="3" t="inlineStr">
        <is>
          <t>RR</t>
        </is>
      </c>
      <c r="B30" s="3" t="inlineStr">
        <is>
          <t>Roraima</t>
        </is>
      </c>
      <c r="C30" s="3" t="inlineStr">
        <is>
          <t>Atende</t>
        </is>
      </c>
      <c r="D30" s="5" t="inlineStr">
        <is>
          <t>Sim</t>
        </is>
      </c>
      <c r="E30" s="6" t="inlineStr">
        <is>
          <t>Art. 7º, §2º, I.</t>
        </is>
      </c>
      <c r="F30" s="3">
        <f>IF(C30="Atende",2,IF(C30="Parcial",1,0))</f>
        <v/>
      </c>
      <c r="G30" s="3" t="inlineStr">
        <is>
          <t>Não atende</t>
        </is>
      </c>
      <c r="H30" s="5" t="inlineStr">
        <is>
          <t>Não</t>
        </is>
      </c>
      <c r="I30" s="6" t="inlineStr">
        <is>
          <t>Art. 7º, §2º, II.</t>
        </is>
      </c>
      <c r="J30" s="3">
        <f>IF(G30="Atende",2,IF(G30="Parcial",1,0))</f>
        <v/>
      </c>
      <c r="K30" s="3" t="inlineStr">
        <is>
          <t>Atende</t>
        </is>
      </c>
      <c r="L30" s="5" t="inlineStr">
        <is>
          <t>Sim</t>
        </is>
      </c>
      <c r="M30" s="6" t="inlineStr">
        <is>
          <t>Art. 7º, §2º, IV.</t>
        </is>
      </c>
      <c r="N30" s="3">
        <f>IF(K30="Atende",2,IF(K30="Parcial",1,0))</f>
        <v/>
      </c>
      <c r="O30" s="3" t="inlineStr">
        <is>
          <t>Atende</t>
        </is>
      </c>
      <c r="P30" s="5" t="inlineStr">
        <is>
          <t>Possui instalação física própria, com privacidade, acessibilidade e condições adequadas de atendimento</t>
        </is>
      </c>
      <c r="Q30" s="6" t="inlineStr">
        <is>
          <t>Art. 7º, §1º, I e II.</t>
        </is>
      </c>
      <c r="R30" s="3">
        <f>IF(O30="Atende",3,IF(O30="Parcial",1.5,0))</f>
        <v/>
      </c>
      <c r="S30" s="3" t="inlineStr">
        <is>
          <t>Atende</t>
        </is>
      </c>
      <c r="T30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30" s="6" t="inlineStr">
        <is>
          <t>Art. 4º, III; art. 10, I.</t>
        </is>
      </c>
      <c r="V30" s="3">
        <f>IF(S30="Atende",3,IF(S30="Parcial",1.5,0))</f>
        <v/>
      </c>
      <c r="W30" s="3" t="inlineStr">
        <is>
          <t>Atende</t>
        </is>
      </c>
      <c r="X30" s="5" t="inlineStr">
        <is>
      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      </is>
      </c>
      <c r="Y30" s="6" t="inlineStr">
        <is>
          <t>Art. 4º, III; art. 10, I.</t>
        </is>
      </c>
      <c r="Z30" s="3">
        <f>IF(W30="Atende",3,IF(W30="Parcial",1.5,0))</f>
        <v/>
      </c>
      <c r="AA30" s="3">
        <f>SUM(F30,J30,N30,R30,V30,Z30)</f>
        <v/>
      </c>
      <c r="AB30" s="3" t="inlineStr">
        <is>
          <t>Doc. SEI 37070578</t>
        </is>
      </c>
    </row>
    <row r="31" ht="72" customHeight="1">
      <c r="A31" s="3" t="inlineStr">
        <is>
          <t>SC</t>
        </is>
      </c>
      <c r="B31" s="3" t="inlineStr">
        <is>
          <t>Santa Catarina</t>
        </is>
      </c>
      <c r="C31" s="3" t="inlineStr">
        <is>
          <t>Atende</t>
        </is>
      </c>
      <c r="D31" s="5" t="inlineStr">
        <is>
          <t>Sim</t>
        </is>
      </c>
      <c r="E31" s="6" t="inlineStr">
        <is>
          <t>Art. 7º, §2º, I.</t>
        </is>
      </c>
      <c r="F31" s="3">
        <f>IF(C31="Atende",2,IF(C31="Parcial",1,0))</f>
        <v/>
      </c>
      <c r="G31" s="3" t="inlineStr">
        <is>
          <t>Atende</t>
        </is>
      </c>
      <c r="H31" s="5" t="inlineStr">
        <is>
          <t>Sim</t>
        </is>
      </c>
      <c r="I31" s="6" t="inlineStr">
        <is>
          <t>Art. 7º, §2º, II.</t>
        </is>
      </c>
      <c r="J31" s="3">
        <f>IF(G31="Atende",2,IF(G31="Parcial",1,0))</f>
        <v/>
      </c>
      <c r="K31" s="3" t="inlineStr">
        <is>
          <t>Atende</t>
        </is>
      </c>
      <c r="L31" s="5" t="inlineStr">
        <is>
          <t>Sim</t>
        </is>
      </c>
      <c r="M31" s="6" t="inlineStr">
        <is>
          <t>Art. 7º, §2º, IV.</t>
        </is>
      </c>
      <c r="N31" s="3">
        <f>IF(K31="Atende",2,IF(K31="Parcial",1,0))</f>
        <v/>
      </c>
      <c r="O31" s="3" t="inlineStr">
        <is>
          <t>Parcial</t>
        </is>
      </c>
      <c r="P31" s="5" t="inlineStr">
        <is>
          <t>Possui sala definida, mas com limitações relevantes (privacidade, acessibilidade, mobiliário)</t>
        </is>
      </c>
      <c r="Q31" s="6" t="inlineStr">
        <is>
          <t>Art. 7º, §1º, I e II.</t>
        </is>
      </c>
      <c r="R31" s="3">
        <f>IF(O31="Atende",3,IF(O31="Parcial",1.5,0))</f>
        <v/>
      </c>
      <c r="S31" s="3" t="inlineStr">
        <is>
          <t>Atende</t>
        </is>
      </c>
      <c r="T31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31" s="6" t="inlineStr">
        <is>
          <t>Art. 4º, III; art. 10, I.</t>
        </is>
      </c>
      <c r="V31" s="3">
        <f>IF(S31="Atende",3,IF(S31="Parcial",1.5,0))</f>
        <v/>
      </c>
      <c r="W31" s="3" t="inlineStr">
        <is>
          <t>Atende</t>
        </is>
      </c>
      <c r="X31" s="5" t="inlineStr">
        <is>
          <t>Pessoas privadas de liberdade: Recebe raramente | Familiares / pessoas de referência de pessoas privadas de liberdade: Recebe raramente | Servidores(as) penais e demais trabalhadores(as) dos serviços penais: Recebe com alguma frequência | Outros cidadãos e usuários de serviços relacionados ao sistema penal: Recebe raramente</t>
        </is>
      </c>
      <c r="Y31" s="6" t="inlineStr">
        <is>
          <t>Art. 4º, III; art. 10, I.</t>
        </is>
      </c>
      <c r="Z31" s="3">
        <f>IF(W31="Atende",3,IF(W31="Parcial",1.5,0))</f>
        <v/>
      </c>
      <c r="AA31" s="3">
        <f>SUM(F31,J31,N31,R31,V31,Z31)</f>
        <v/>
      </c>
      <c r="AB31" s="3" t="inlineStr">
        <is>
          <t>Doc. SEI 37070578</t>
        </is>
      </c>
    </row>
    <row r="32" ht="84" customHeight="1">
      <c r="A32" s="3" t="inlineStr">
        <is>
          <t>SP</t>
        </is>
      </c>
      <c r="B32" s="3" t="inlineStr">
        <is>
          <t>São Paulo</t>
        </is>
      </c>
      <c r="C32" s="3" t="inlineStr">
        <is>
          <t>Atende</t>
        </is>
      </c>
      <c r="D32" s="5" t="inlineStr">
        <is>
          <t>Sim</t>
        </is>
      </c>
      <c r="E32" s="6" t="inlineStr">
        <is>
          <t>Art. 7º, §2º, I.</t>
        </is>
      </c>
      <c r="F32" s="3">
        <f>IF(C32="Atende",2,IF(C32="Parcial",1,0))</f>
        <v/>
      </c>
      <c r="G32" s="3" t="inlineStr">
        <is>
          <t>Atende</t>
        </is>
      </c>
      <c r="H32" s="5" t="inlineStr">
        <is>
          <t>Sim</t>
        </is>
      </c>
      <c r="I32" s="6" t="inlineStr">
        <is>
          <t>Art. 7º, §2º, II.</t>
        </is>
      </c>
      <c r="J32" s="3">
        <f>IF(G32="Atende",2,IF(G32="Parcial",1,0))</f>
        <v/>
      </c>
      <c r="K32" s="3" t="inlineStr">
        <is>
          <t>Atende</t>
        </is>
      </c>
      <c r="L32" s="5" t="inlineStr">
        <is>
          <t>Sim</t>
        </is>
      </c>
      <c r="M32" s="6" t="inlineStr">
        <is>
          <t>Art. 7º, §2º, IV.</t>
        </is>
      </c>
      <c r="N32" s="3">
        <f>IF(K32="Atende",2,IF(K32="Parcial",1,0))</f>
        <v/>
      </c>
      <c r="O32" s="3" t="inlineStr">
        <is>
          <t>Atende</t>
        </is>
      </c>
      <c r="P32" s="5" t="inlineStr">
        <is>
          <t>Possui instalação física própria, com privacidade, acessibilidade e condições adequadas de atendimento</t>
        </is>
      </c>
      <c r="Q32" s="6" t="inlineStr">
        <is>
          <t>Art. 7º, §1º, I e II.</t>
        </is>
      </c>
      <c r="R32" s="3">
        <f>IF(O32="Atende",3,IF(O32="Parcial",1.5,0))</f>
        <v/>
      </c>
      <c r="S32" s="3" t="inlineStr">
        <is>
          <t>Atende</t>
        </is>
      </c>
      <c r="T32" s="5" t="inlineStr">
        <is>
          <t>Pessoas privadas de liberdade;Familiares / pessoas de referência de pessoas privadas de liberdade;Servidores(as) penais e demais trabalhadores(as) dos serviços penais;Demais cidadãos e usuários de serviços relacionados ao sistema penal;</t>
        </is>
      </c>
      <c r="U32" s="6" t="inlineStr">
        <is>
          <t>Art. 4º, III; art. 10, I.</t>
        </is>
      </c>
      <c r="V32" s="3">
        <f>IF(S32="Atende",3,IF(S32="Parcial",1.5,0))</f>
        <v/>
      </c>
      <c r="W32" s="3" t="inlineStr">
        <is>
          <t>Atende</t>
        </is>
      </c>
      <c r="X32" s="5" t="inlineStr">
        <is>
      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      </is>
      </c>
      <c r="Y32" s="6" t="inlineStr">
        <is>
          <t>Art. 4º, III; art. 10, I.</t>
        </is>
      </c>
      <c r="Z32" s="3">
        <f>IF(W32="Atende",3,IF(W32="Parcial",1.5,0))</f>
        <v/>
      </c>
      <c r="AA32" s="3">
        <f>SUM(F32,J32,N32,R32,V32,Z32)</f>
        <v/>
      </c>
      <c r="AB32" s="3" t="inlineStr">
        <is>
          <t>Doc. SEI 37070578</t>
        </is>
      </c>
    </row>
    <row r="33">
      <c r="A33" s="3" t="inlineStr">
        <is>
          <t>SE</t>
        </is>
      </c>
      <c r="B33" s="3" t="inlineStr">
        <is>
          <t>Sergipe</t>
        </is>
      </c>
      <c r="C33" s="3" t="inlineStr">
        <is>
          <t>Sem evidência</t>
        </is>
      </c>
      <c r="D33" s="5" t="inlineStr">
        <is>
          <t>Sem resposta no diagnóstico</t>
        </is>
      </c>
      <c r="E33" s="6" t="inlineStr">
        <is>
          <t>Art. 7º, §2º, I.</t>
        </is>
      </c>
      <c r="F33" s="3">
        <f>IF(C33="Atende",2,IF(C33="Parcial",1,0))</f>
        <v/>
      </c>
      <c r="G33" s="3" t="inlineStr">
        <is>
          <t>Sem evidência</t>
        </is>
      </c>
      <c r="H33" s="5" t="inlineStr">
        <is>
          <t>Sem resposta no diagnóstico</t>
        </is>
      </c>
      <c r="I33" s="6" t="inlineStr">
        <is>
          <t>Art. 7º, §2º, II.</t>
        </is>
      </c>
      <c r="J33" s="3">
        <f>IF(G33="Atende",2,IF(G33="Parcial",1,0))</f>
        <v/>
      </c>
      <c r="K33" s="3" t="inlineStr">
        <is>
          <t>Sem evidência</t>
        </is>
      </c>
      <c r="L33" s="5" t="inlineStr">
        <is>
          <t>Sem resposta no diagnóstico</t>
        </is>
      </c>
      <c r="M33" s="6" t="inlineStr">
        <is>
          <t>Art. 7º, §2º, IV.</t>
        </is>
      </c>
      <c r="N33" s="3">
        <f>IF(K33="Atende",2,IF(K33="Parcial",1,0))</f>
        <v/>
      </c>
      <c r="O33" s="3" t="inlineStr">
        <is>
          <t>Sem evidência</t>
        </is>
      </c>
      <c r="P33" s="5" t="inlineStr">
        <is>
          <t>Sem resposta no diagnóstico</t>
        </is>
      </c>
      <c r="Q33" s="6" t="inlineStr">
        <is>
          <t>Art. 7º, §1º, I e II.</t>
        </is>
      </c>
      <c r="R33" s="3">
        <f>IF(O33="Atende",3,IF(O33="Parcial",1.5,0))</f>
        <v/>
      </c>
      <c r="S33" s="3" t="inlineStr">
        <is>
          <t>Sem evidência</t>
        </is>
      </c>
      <c r="T33" s="5" t="inlineStr">
        <is>
          <t>Sem resposta no diagnóstico</t>
        </is>
      </c>
      <c r="U33" s="6" t="inlineStr">
        <is>
          <t>Art. 4º, III; art. 10, I.</t>
        </is>
      </c>
      <c r="V33" s="3">
        <f>IF(S33="Atende",3,IF(S33="Parcial",1.5,0))</f>
        <v/>
      </c>
      <c r="W33" s="3" t="inlineStr">
        <is>
          <t>Sem evidência</t>
        </is>
      </c>
      <c r="X33" s="5" t="inlineStr">
        <is>
          <t>Sem resposta no diagnóstico</t>
        </is>
      </c>
      <c r="Y33" s="6" t="inlineStr">
        <is>
          <t>Art. 4º, III; art. 10, I.</t>
        </is>
      </c>
      <c r="Z33" s="3">
        <f>IF(W33="Atende",3,IF(W33="Parcial",1.5,0))</f>
        <v/>
      </c>
      <c r="AA33" s="3">
        <f>SUM(F33,J33,N33,R33,V33,Z33)</f>
        <v/>
      </c>
      <c r="AB33" s="3" t="inlineStr">
        <is>
          <t>Doc. SEI 37070578</t>
        </is>
      </c>
    </row>
    <row r="34" ht="84" customHeight="1">
      <c r="A34" s="3" t="inlineStr">
        <is>
          <t>TO</t>
        </is>
      </c>
      <c r="B34" s="3" t="inlineStr">
        <is>
          <t>Tocantins</t>
        </is>
      </c>
      <c r="C34" s="3" t="inlineStr">
        <is>
          <t>Não atende</t>
        </is>
      </c>
      <c r="D34" s="5" t="inlineStr">
        <is>
          <t>Não</t>
        </is>
      </c>
      <c r="E34" s="6" t="inlineStr">
        <is>
          <t>Art. 7º, §2º, I.</t>
        </is>
      </c>
      <c r="F34" s="3">
        <f>IF(C34="Atende",2,IF(C34="Parcial",1,0))</f>
        <v/>
      </c>
      <c r="G34" s="3" t="inlineStr">
        <is>
          <t>Não atende</t>
        </is>
      </c>
      <c r="H34" s="5" t="inlineStr">
        <is>
          <t>Não</t>
        </is>
      </c>
      <c r="I34" s="6" t="inlineStr">
        <is>
          <t>Art. 7º, §2º, II.</t>
        </is>
      </c>
      <c r="J34" s="3">
        <f>IF(G34="Atende",2,IF(G34="Parcial",1,0))</f>
        <v/>
      </c>
      <c r="K34" s="3" t="inlineStr">
        <is>
          <t>Sem evidência</t>
        </is>
      </c>
      <c r="L34" s="5" t="inlineStr">
        <is>
          <t>Não</t>
        </is>
      </c>
      <c r="M34" s="6" t="inlineStr">
        <is>
          <t>Art. 7º, §2º, IV.</t>
        </is>
      </c>
      <c r="N34" s="3">
        <f>IF(K34="Atende",2,IF(K34="Parcial",1,0))</f>
        <v/>
      </c>
      <c r="O34" s="3" t="inlineStr">
        <is>
          <t>Sem evidência</t>
        </is>
      </c>
      <c r="P34" s="5" t="inlineStr">
        <is>
          <t>Possui sala definida, mas com limitações relevantes (privacidade, acessibilidade, mobiliário)</t>
        </is>
      </c>
      <c r="Q34" s="6" t="inlineStr">
        <is>
          <t>Art. 7º, §1º, I e II.</t>
        </is>
      </c>
      <c r="R34" s="3">
        <f>IF(O34="Atende",3,IF(O34="Parcial",1.5,0))</f>
        <v/>
      </c>
      <c r="S34" s="3" t="inlineStr">
        <is>
          <t>Sem evidência</t>
        </is>
      </c>
      <c r="T34" s="5" t="inlineStr">
        <is>
          <t>Não existe normativa;</t>
        </is>
      </c>
      <c r="U34" s="6" t="inlineStr">
        <is>
          <t>Art. 4º, III; art. 10, I.</t>
        </is>
      </c>
      <c r="V34" s="3">
        <f>IF(S34="Atende",3,IF(S34="Parcial",1.5,0))</f>
        <v/>
      </c>
      <c r="W34" s="3" t="inlineStr">
        <is>
          <t>Sem evidência</t>
        </is>
      </c>
      <c r="X34" s="5" t="inlineStr">
        <is>
      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      </is>
      </c>
      <c r="Y34" s="6" t="inlineStr">
        <is>
          <t>Art. 4º, III; art. 10, I.</t>
        </is>
      </c>
      <c r="Z34" s="3">
        <f>IF(W34="Atende",3,IF(W34="Parcial",1.5,0))</f>
        <v/>
      </c>
      <c r="AA34" s="3">
        <f>SUM(F34,J34,N34,R34,V34,Z34)</f>
        <v/>
      </c>
      <c r="AB34" s="3" t="inlineStr">
        <is>
          <t>Doc. SEI 37070578</t>
        </is>
      </c>
    </row>
  </sheetData>
  <mergeCells count="8">
    <mergeCell ref="A4:B4"/>
    <mergeCell ref="A2:AB2"/>
    <mergeCell ref="C4:N4"/>
    <mergeCell ref="O4:R4"/>
    <mergeCell ref="A1:AB1"/>
    <mergeCell ref="A6:B6"/>
    <mergeCell ref="AA4:AB4"/>
    <mergeCell ref="S4:Z4"/>
  </mergeCells>
  <conditionalFormatting sqref="C7:C34">
    <cfRule type="expression" priority="1" dxfId="2">
      <formula>C7="Atende"</formula>
    </cfRule>
    <cfRule type="expression" priority="2" dxfId="0">
      <formula>C7="Parcial"</formula>
    </cfRule>
    <cfRule type="expression" priority="3" dxfId="1">
      <formula>OR(C7="Não atende",C7="Sem evidência")</formula>
    </cfRule>
  </conditionalFormatting>
  <conditionalFormatting sqref="G7:G34">
    <cfRule type="expression" priority="4" dxfId="2">
      <formula>G7="Atende"</formula>
    </cfRule>
    <cfRule type="expression" priority="5" dxfId="0">
      <formula>G7="Parcial"</formula>
    </cfRule>
    <cfRule type="expression" priority="6" dxfId="1">
      <formula>OR(G7="Não atende",G7="Sem evidência")</formula>
    </cfRule>
  </conditionalFormatting>
  <conditionalFormatting sqref="K7:K34">
    <cfRule type="expression" priority="7" dxfId="2">
      <formula>K7="Atende"</formula>
    </cfRule>
    <cfRule type="expression" priority="8" dxfId="0">
      <formula>K7="Parcial"</formula>
    </cfRule>
    <cfRule type="expression" priority="9" dxfId="1">
      <formula>OR(K7="Não atende",K7="Sem evidência")</formula>
    </cfRule>
  </conditionalFormatting>
  <conditionalFormatting sqref="O7:O34">
    <cfRule type="expression" priority="10" dxfId="2">
      <formula>O7="Atende"</formula>
    </cfRule>
    <cfRule type="expression" priority="11" dxfId="0">
      <formula>O7="Parcial"</formula>
    </cfRule>
    <cfRule type="expression" priority="12" dxfId="1">
      <formula>OR(O7="Não atende",O7="Sem evidência")</formula>
    </cfRule>
  </conditionalFormatting>
  <conditionalFormatting sqref="S7:S34">
    <cfRule type="expression" priority="13" dxfId="2">
      <formula>S7="Atende"</formula>
    </cfRule>
    <cfRule type="expression" priority="14" dxfId="0">
      <formula>S7="Parcial"</formula>
    </cfRule>
    <cfRule type="expression" priority="15" dxfId="1">
      <formula>OR(S7="Não atende",S7="Sem evidência")</formula>
    </cfRule>
  </conditionalFormatting>
  <conditionalFormatting sqref="W7:W34">
    <cfRule type="expression" priority="16" dxfId="2">
      <formula>W7="Atende"</formula>
    </cfRule>
    <cfRule type="expression" priority="17" dxfId="0">
      <formula>W7="Parcial"</formula>
    </cfRule>
    <cfRule type="expression" priority="18" dxfId="1">
      <formula>OR(W7="Não atende",W7="Sem evidência")</formula>
    </cfRule>
  </conditionalFormatting>
  <dataValidations count="1">
    <dataValidation sqref="C7:C34 G7:G34 K7:K34 O7:O34 S7:S34 W7:W34" showDropDown="0" showInputMessage="0" showErrorMessage="0" allowBlank="0" type="list">
      <formula1>"Atende,Parcial,Não atende,Sem evidência"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4"/>
  <sheetViews>
    <sheetView topLeftCell="A26" zoomScale="70" zoomScaleNormal="70" workbookViewId="0">
      <selection activeCell="G31" sqref="G31"/>
    </sheetView>
  </sheetViews>
  <sheetFormatPr baseColWidth="8" defaultRowHeight="14.4"/>
  <cols>
    <col width="8" customWidth="1" min="1" max="1"/>
    <col width="29" customWidth="1" min="2" max="2"/>
    <col width="31" customWidth="1" min="3" max="3"/>
    <col width="42" customWidth="1" min="4" max="4"/>
    <col width="25" customWidth="1" min="5" max="5"/>
    <col width="8" customWidth="1" min="6" max="6"/>
    <col width="31" customWidth="1" min="7" max="7"/>
    <col width="42" customWidth="1" min="8" max="8"/>
    <col width="25" customWidth="1" min="9" max="9"/>
    <col width="8" customWidth="1" min="10" max="10"/>
    <col width="14" customWidth="1" min="11" max="11"/>
    <col width="31" customWidth="1" min="12" max="12"/>
  </cols>
  <sheetData>
    <row r="1" ht="22.35" customHeight="1">
      <c r="A1" s="8" t="inlineStr">
        <is>
          <t>05 — Transparência e publicidade</t>
        </is>
      </c>
    </row>
    <row r="2" ht="38.4" customHeight="1">
      <c r="A2" s="9" t="inlineStr">
        <is>
          <t>Peso da dimensão: 15 pontos. Cada pergunta do diagnóstico pertence exclusivamente a uma única dimensão da matriz.</t>
        </is>
      </c>
    </row>
    <row r="4" ht="40.05" customHeight="1">
      <c r="A4" s="10" t="inlineStr">
        <is>
          <t>Identificação</t>
        </is>
      </c>
      <c r="C4" s="10" t="inlineStr">
        <is>
          <t>Item 1 — Visibilidade institucional e divulgação dos canais</t>
        </is>
      </c>
      <c r="G4" s="10" t="inlineStr">
        <is>
          <t>Item 2 — Publicidade das ações e atividades</t>
        </is>
      </c>
      <c r="K4" s="10" t="inlineStr">
        <is>
          <t>Resultado da dimensão</t>
        </is>
      </c>
    </row>
    <row r="5" ht="49.65" customHeight="1">
      <c r="A5" s="2" t="inlineStr">
        <is>
          <t>UF</t>
        </is>
      </c>
      <c r="B5" s="2" t="inlineStr">
        <is>
          <t>Unidade Federativa</t>
        </is>
      </c>
      <c r="C5" s="2" t="inlineStr">
        <is>
          <t>M2-35 — Placas e cartazes da Ouvidoria</t>
        </is>
      </c>
      <c r="D5" s="2" t="inlineStr">
        <is>
          <t>Resposta do diagnóstico</t>
        </is>
      </c>
      <c r="E5" s="2" t="inlineStr">
        <is>
          <t>Fundamentação na IN nº 75/2026</t>
        </is>
      </c>
      <c r="F5" s="2" t="inlineStr">
        <is>
          <t>5 pts</t>
        </is>
      </c>
      <c r="G5" s="2" t="inlineStr">
        <is>
          <t>M4-71 — Monitoramento, relatórios e recomendações</t>
        </is>
      </c>
      <c r="H5" s="2" t="inlineStr">
        <is>
          <t>Resposta do diagnóstico</t>
        </is>
      </c>
      <c r="I5" s="2" t="inlineStr">
        <is>
          <t>Fundamentação na IN nº 75/2026</t>
        </is>
      </c>
      <c r="J5" s="2" t="inlineStr">
        <is>
          <t>10 pts</t>
        </is>
      </c>
      <c r="K5" s="2" t="inlineStr">
        <is>
          <t>Pontuação /15</t>
        </is>
      </c>
      <c r="L5" s="2" t="inlineStr">
        <is>
          <t>Evidências / observações</t>
        </is>
      </c>
    </row>
    <row r="6" ht="105.6" customHeight="1">
      <c r="A6" s="7" t="inlineStr">
        <is>
          <t>Como aplicar / resposta / fundamento →</t>
        </is>
      </c>
      <c r="C6" s="4" t="inlineStr">
        <is>
          <t>5 pts: existem placas/cartazes institucionais que dão visibilidade à Ouvidoria e a seus canais. 2,5 pts: divulgação física limitada ou parcial. 0 pt: inexistente ou sem evidência. A IN trata esses instrumentos como recomendados.</t>
        </is>
      </c>
      <c r="D6" s="5" t="inlineStr">
        <is>
          <t>Resposta original consolidada do diagnóstico das Ouvidorias Estaduais de Serviços Penais.</t>
        </is>
      </c>
      <c r="E6" s="6" t="inlineStr">
        <is>
          <t>Art. 4º, IV; art. 7º, §6º, III.</t>
        </is>
      </c>
      <c r="F6" s="9" t="inlineStr">
        <is>
          <t>5 = atende
2.5 = parcial
0 = não atende / sem evidência</t>
        </is>
      </c>
      <c r="G6" s="4" t="inlineStr">
        <is>
          <t>10 pts: há produção/divulgação periódica de relatórios, monitoramento ou recomendações sobre a atuação. 5 pts: prática parcial ou esporádica. 0 pt: inexistente ou sem evidência. A pergunta não substitui eventual verificação adicional do art. 7º, §3º, sobre área no sítio eletrônico oficial.</t>
        </is>
      </c>
      <c r="H6" s="5" t="inlineStr">
        <is>
          <t>Resposta original consolidada do diagnóstico das Ouvidorias Estaduais de Serviços Penais.</t>
        </is>
      </c>
      <c r="I6" s="6" t="inlineStr">
        <is>
          <t>Art. 4º, IV; art. 10, VI; art. 12, §3º.</t>
        </is>
      </c>
      <c r="J6" s="9" t="inlineStr">
        <is>
          <t>10 = atende
5 = parcial
0 = não atende / sem evidência</t>
        </is>
      </c>
      <c r="K6" s="9" t="inlineStr">
        <is>
          <t>Soma automática das perguntas desta dimensão.</t>
        </is>
      </c>
      <c r="L6" s="9" t="inlineStr">
        <is>
          <t>Referência documental geral das respostas: Doc. SEI 37070578.</t>
        </is>
      </c>
    </row>
    <row r="7" ht="72" customHeight="1">
      <c r="A7" s="3" t="inlineStr">
        <is>
          <t>AC</t>
        </is>
      </c>
      <c r="B7" s="3" t="inlineStr">
        <is>
          <t>Acre</t>
        </is>
      </c>
      <c r="C7" s="3" t="inlineStr">
        <is>
          <t>Não atende</t>
        </is>
      </c>
      <c r="D7" s="5" t="inlineStr">
        <is>
          <t>A Ouvidoria não dispõe de placas/cartazes próprios fixados nas unidades prisionais nem em locais de atendimento ao público, familiares e servidores(as)</t>
        </is>
      </c>
      <c r="E7" s="6" t="inlineStr">
        <is>
          <t>Art. 4º, IV; art. 7º, §6º, III.</t>
        </is>
      </c>
      <c r="F7" s="3">
        <f>IF(C7="Atende",5,IF(C7="Parcial",2.5,0))</f>
        <v/>
      </c>
      <c r="G7" s="3" t="inlineStr">
        <is>
          <t>Atende</t>
        </is>
      </c>
      <c r="H7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7" s="6" t="inlineStr">
        <is>
          <t>Art. 4º, IV; art. 10, VI; art. 12, §3º.</t>
        </is>
      </c>
      <c r="J7" s="3">
        <f>IF(G7="Atende",10,IF(G7="Parcial",5,0))</f>
        <v/>
      </c>
      <c r="K7" s="3">
        <f>SUM(F7,J7)</f>
        <v/>
      </c>
      <c r="L7" s="3" t="inlineStr">
        <is>
          <t>Doc. SEI 37070578</t>
        </is>
      </c>
    </row>
    <row r="8" ht="36" customHeight="1">
      <c r="A8" s="3" t="inlineStr">
        <is>
          <t>AL</t>
        </is>
      </c>
      <c r="B8" s="3" t="inlineStr">
        <is>
          <t>Alagoas</t>
        </is>
      </c>
      <c r="C8" s="3" t="inlineStr">
        <is>
          <t>Atende</t>
        </is>
      </c>
      <c r="D8" s="5" t="inlineStr">
        <is>
          <t>A Ouvidoria dispõe de placas/cartazes em algumas unidades ou pontos de atendimento, de forma pontual e sem padronização</t>
        </is>
      </c>
      <c r="E8" s="6" t="inlineStr">
        <is>
          <t>Art. 4º, IV; art. 7º, §6º, III.</t>
        </is>
      </c>
      <c r="F8" s="3">
        <f>IF(C8="Atende",5,IF(C8="Parcial",2.5,0))</f>
        <v/>
      </c>
      <c r="G8" s="3" t="inlineStr">
        <is>
          <t>Parcial</t>
        </is>
      </c>
      <c r="H8" s="5" t="inlineStr">
        <is>
          <t>Há relatórios periódicos, mas com pouco uso gerencial e sem indicadores estruturados</t>
        </is>
      </c>
      <c r="I8" s="6" t="inlineStr">
        <is>
          <t>Art. 4º, IV; art. 10, VI; art. 12, §3º.</t>
        </is>
      </c>
      <c r="J8" s="3">
        <f>IF(G8="Atende",10,IF(G8="Parcial",5,0))</f>
        <v/>
      </c>
      <c r="K8" s="3">
        <f>SUM(F8,J8)</f>
        <v/>
      </c>
      <c r="L8" s="3" t="inlineStr">
        <is>
          <t>Doc. SEI 37070578</t>
        </is>
      </c>
    </row>
    <row r="9" ht="72" customHeight="1">
      <c r="A9" s="3" t="inlineStr">
        <is>
          <t>AP</t>
        </is>
      </c>
      <c r="B9" s="3" t="inlineStr">
        <is>
          <t>Amapá</t>
        </is>
      </c>
      <c r="C9" s="3" t="inlineStr">
        <is>
          <t>Não atende</t>
        </is>
      </c>
      <c r="D9" s="5" t="inlineStr">
        <is>
          <t>A Ouvidoria não dispõe de placas/cartazes próprios fixados nas unidades prisionais nem em locais de atendimento ao público, familiares e servidores(as)</t>
        </is>
      </c>
      <c r="E9" s="6" t="inlineStr">
        <is>
          <t>Art. 4º, IV; art. 7º, §6º, III.</t>
        </is>
      </c>
      <c r="F9" s="3">
        <f>IF(C9="Atende",5,IF(C9="Parcial",2.5,0))</f>
        <v/>
      </c>
      <c r="G9" s="3" t="inlineStr">
        <is>
          <t>Atende</t>
        </is>
      </c>
      <c r="H9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9" s="6" t="inlineStr">
        <is>
          <t>Art. 4º, IV; art. 10, VI; art. 12, §3º.</t>
        </is>
      </c>
      <c r="J9" s="3">
        <f>IF(G9="Atende",10,IF(G9="Parcial",5,0))</f>
        <v/>
      </c>
      <c r="K9" s="3">
        <f>SUM(F9,J9)</f>
        <v/>
      </c>
      <c r="L9" s="3" t="inlineStr">
        <is>
          <t>Doc. SEI 37070578</t>
        </is>
      </c>
    </row>
    <row r="10" ht="72" customHeight="1">
      <c r="A10" s="3" t="inlineStr">
        <is>
          <t>AM</t>
        </is>
      </c>
      <c r="B10" s="3" t="inlineStr">
        <is>
          <t>Amazonas</t>
        </is>
      </c>
      <c r="C10" s="3" t="inlineStr">
        <is>
          <t>Atende</t>
        </is>
      </c>
      <c r="D10" s="5" t="inlineStr">
        <is>
          <t>A Ouvidoria dispõe de placas/cartazes padronizados em todas ou na maior parte das unidades prisionais e dos locais de atendimento ao público, familiares e servidores(as), com indicação clara dos canais de contato</t>
        </is>
      </c>
      <c r="E10" s="6" t="inlineStr">
        <is>
          <t>Art. 4º, IV; art. 7º, §6º, III.</t>
        </is>
      </c>
      <c r="F10" s="3">
        <f>IF(C10="Atende",5,IF(C10="Parcial",2.5,0))</f>
        <v/>
      </c>
      <c r="G10" s="3" t="inlineStr">
        <is>
          <t>Atende</t>
        </is>
      </c>
      <c r="H10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10" s="6" t="inlineStr">
        <is>
          <t>Art. 4º, IV; art. 10, VI; art. 12, §3º.</t>
        </is>
      </c>
      <c r="J10" s="3">
        <f>IF(G10="Atende",10,IF(G10="Parcial",5,0))</f>
        <v/>
      </c>
      <c r="K10" s="3">
        <f>SUM(F10,J10)</f>
        <v/>
      </c>
      <c r="L10" s="3" t="inlineStr">
        <is>
          <t>Doc. SEI 37070578</t>
        </is>
      </c>
    </row>
    <row r="11" ht="72" customHeight="1">
      <c r="A11" s="3" t="inlineStr">
        <is>
          <t>BA</t>
        </is>
      </c>
      <c r="B11" s="3" t="inlineStr">
        <is>
          <t>Bahia</t>
        </is>
      </c>
      <c r="C11" s="3" t="inlineStr">
        <is>
          <t>Atende</t>
        </is>
      </c>
      <c r="D11" s="5" t="inlineStr">
        <is>
          <t>A Ouvidoria dispõe de placas/cartazes em algumas unidades ou pontos de atendimento, de forma pontual e sem padronização</t>
        </is>
      </c>
      <c r="E11" s="6" t="inlineStr">
        <is>
          <t>Art. 4º, IV; art. 7º, §6º, III.</t>
        </is>
      </c>
      <c r="F11" s="3">
        <f>IF(C11="Atende",5,IF(C11="Parcial",2.5,0))</f>
        <v/>
      </c>
      <c r="G11" s="3" t="inlineStr">
        <is>
          <t>Atende</t>
        </is>
      </c>
      <c r="H11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11" s="6" t="inlineStr">
        <is>
          <t>Art. 4º, IV; art. 10, VI; art. 12, §3º.</t>
        </is>
      </c>
      <c r="J11" s="3">
        <f>IF(G11="Atende",10,IF(G11="Parcial",5,0))</f>
        <v/>
      </c>
      <c r="K11" s="3">
        <f>SUM(F11,J11)</f>
        <v/>
      </c>
      <c r="L11" s="3" t="inlineStr">
        <is>
          <t>Doc. SEI 37070578</t>
        </is>
      </c>
    </row>
    <row r="12" ht="72" customHeight="1">
      <c r="A12" s="3" t="inlineStr">
        <is>
          <t>CE</t>
        </is>
      </c>
      <c r="B12" s="3" t="inlineStr">
        <is>
          <t>Ceará</t>
        </is>
      </c>
      <c r="C12" s="3" t="inlineStr">
        <is>
          <t>Atende</t>
        </is>
      </c>
      <c r="D12" s="5" t="inlineStr">
        <is>
          <t>A Ouvidoria dispõe de placas/cartazes padronizados em todas ou na maior parte das unidades prisionais e dos locais de atendimento ao público, familiares e servidores(as), com indicação clara dos canais de contato</t>
        </is>
      </c>
      <c r="E12" s="6" t="inlineStr">
        <is>
          <t>Art. 4º, IV; art. 7º, §6º, III.</t>
        </is>
      </c>
      <c r="F12" s="3">
        <f>IF(C12="Atende",5,IF(C12="Parcial",2.5,0))</f>
        <v/>
      </c>
      <c r="G12" s="3" t="inlineStr">
        <is>
          <t>Atende</t>
        </is>
      </c>
      <c r="H12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12" s="6" t="inlineStr">
        <is>
          <t>Art. 4º, IV; art. 10, VI; art. 12, §3º.</t>
        </is>
      </c>
      <c r="J12" s="3">
        <f>IF(G12="Atende",10,IF(G12="Parcial",5,0))</f>
        <v/>
      </c>
      <c r="K12" s="3">
        <f>SUM(F12,J12)</f>
        <v/>
      </c>
      <c r="L12" s="3" t="inlineStr">
        <is>
          <t>Doc. SEI 37070578</t>
        </is>
      </c>
    </row>
    <row r="13" ht="72" customHeight="1">
      <c r="A13" s="3" t="inlineStr">
        <is>
          <t>DF</t>
        </is>
      </c>
      <c r="B13" s="3" t="inlineStr">
        <is>
          <t>Distrito Federal</t>
        </is>
      </c>
      <c r="C13" s="3" t="inlineStr">
        <is>
          <t>Atende</t>
        </is>
      </c>
      <c r="D13" s="5" t="inlineStr">
        <is>
          <t>A Ouvidoria dispõe de placas/cartazes em algumas unidades ou pontos de atendimento, de forma pontual e sem padronização</t>
        </is>
      </c>
      <c r="E13" s="6" t="inlineStr">
        <is>
          <t>Art. 4º, IV; art. 7º, §6º, III.</t>
        </is>
      </c>
      <c r="F13" s="3">
        <f>IF(C13="Atende",5,IF(C13="Parcial",2.5,0))</f>
        <v/>
      </c>
      <c r="G13" s="3" t="inlineStr">
        <is>
          <t>Atende</t>
        </is>
      </c>
      <c r="H13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13" s="6" t="inlineStr">
        <is>
          <t>Art. 4º, IV; art. 10, VI; art. 12, §3º.</t>
        </is>
      </c>
      <c r="J13" s="3">
        <f>IF(G13="Atende",10,IF(G13="Parcial",5,0))</f>
        <v/>
      </c>
      <c r="K13" s="3">
        <f>SUM(F13,J13)</f>
        <v/>
      </c>
      <c r="L13" s="3" t="inlineStr">
        <is>
          <t>Doc. SEI 37070578</t>
        </is>
      </c>
    </row>
    <row r="14" ht="72" customHeight="1">
      <c r="A14" s="3" t="inlineStr">
        <is>
          <t>ES</t>
        </is>
      </c>
      <c r="B14" s="3" t="inlineStr">
        <is>
          <t>Espírito Santo — Polícia Penal</t>
        </is>
      </c>
      <c r="C14" s="3" t="inlineStr">
        <is>
          <t>Atende</t>
        </is>
      </c>
      <c r="D14" s="5" t="inlineStr">
        <is>
          <t>A Ouvidoria dispõe de placas/cartazes padronizados em todas ou na maior parte das unidades prisionais e dos locais de atendimento ao público, familiares e servidores(as), com indicação clara dos canais de contato</t>
        </is>
      </c>
      <c r="E14" s="6" t="inlineStr">
        <is>
          <t>Art. 4º, IV; art. 7º, §6º, III.</t>
        </is>
      </c>
      <c r="F14" s="3">
        <f>IF(C14="Atende",5,IF(C14="Parcial",2.5,0))</f>
        <v/>
      </c>
      <c r="G14" s="3" t="inlineStr">
        <is>
          <t>Atende</t>
        </is>
      </c>
      <c r="H14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14" s="6" t="inlineStr">
        <is>
          <t>Art. 4º, IV; art. 10, VI; art. 12, §3º.</t>
        </is>
      </c>
      <c r="J14" s="3">
        <f>IF(G14="Atende",10,IF(G14="Parcial",5,0))</f>
        <v/>
      </c>
      <c r="K14" s="3">
        <f>SUM(F14,J14)</f>
        <v/>
      </c>
      <c r="L14" s="3" t="inlineStr">
        <is>
          <t>Doc. SEI 37070578</t>
        </is>
      </c>
    </row>
    <row r="15" ht="72" customHeight="1">
      <c r="A15" s="3" t="inlineStr">
        <is>
          <t>ES</t>
        </is>
      </c>
      <c r="B15" s="3" t="inlineStr">
        <is>
          <t>Espírito Santo — SEJUS/ES</t>
        </is>
      </c>
      <c r="C15" s="3" t="inlineStr">
        <is>
          <t>Não atende</t>
        </is>
      </c>
      <c r="D15" s="5" t="inlineStr">
        <is>
          <t>A Ouvidoria não dispõe de placas/cartazes próprios fixados nas unidades prisionais nem em locais de atendimento ao público, familiares e servidores(as)</t>
        </is>
      </c>
      <c r="E15" s="6" t="inlineStr">
        <is>
          <t>Art. 4º, IV; art. 7º, §6º, III.</t>
        </is>
      </c>
      <c r="F15" s="3">
        <f>IF(C15="Atende",5,IF(C15="Parcial",2.5,0))</f>
        <v/>
      </c>
      <c r="G15" s="3" t="inlineStr">
        <is>
          <t>Atende</t>
        </is>
      </c>
      <c r="H15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15" s="6" t="inlineStr">
        <is>
          <t>Art. 4º, IV; art. 10, VI; art. 12, §3º.</t>
        </is>
      </c>
      <c r="J15" s="3">
        <f>IF(G15="Atende",10,IF(G15="Parcial",5,0))</f>
        <v/>
      </c>
      <c r="K15" s="3">
        <f>SUM(F15,J15)</f>
        <v/>
      </c>
      <c r="L15" s="3" t="inlineStr">
        <is>
          <t>Doc. SEI 37070578</t>
        </is>
      </c>
    </row>
    <row r="16" ht="72" customHeight="1">
      <c r="A16" s="3" t="inlineStr">
        <is>
          <t>GO</t>
        </is>
      </c>
      <c r="B16" s="3" t="inlineStr">
        <is>
          <t>Goiás</t>
        </is>
      </c>
      <c r="C16" s="3" t="inlineStr">
        <is>
          <t>Atende</t>
        </is>
      </c>
      <c r="D16" s="5" t="inlineStr">
        <is>
          <t>A Ouvidoria dispõe de placas/cartazes em algumas unidades ou pontos de atendimento, de forma pontual e sem padronização</t>
        </is>
      </c>
      <c r="E16" s="6" t="inlineStr">
        <is>
          <t>Art. 4º, IV; art. 7º, §6º, III.</t>
        </is>
      </c>
      <c r="F16" s="3">
        <f>IF(C16="Atende",5,IF(C16="Parcial",2.5,0))</f>
        <v/>
      </c>
      <c r="G16" s="3" t="inlineStr">
        <is>
          <t>Atende</t>
        </is>
      </c>
      <c r="H16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16" s="6" t="inlineStr">
        <is>
          <t>Art. 4º, IV; art. 10, VI; art. 12, §3º.</t>
        </is>
      </c>
      <c r="J16" s="3">
        <f>IF(G16="Atende",10,IF(G16="Parcial",5,0))</f>
        <v/>
      </c>
      <c r="K16" s="3">
        <f>SUM(F16,J16)</f>
        <v/>
      </c>
      <c r="L16" s="3" t="inlineStr">
        <is>
          <t>Doc. SEI 37070578</t>
        </is>
      </c>
    </row>
    <row r="17" ht="36" customHeight="1">
      <c r="A17" s="3" t="inlineStr">
        <is>
          <t>MA</t>
        </is>
      </c>
      <c r="B17" s="3" t="inlineStr">
        <is>
          <t>Maranhão</t>
        </is>
      </c>
      <c r="C17" s="3" t="inlineStr">
        <is>
          <t>Não atende</t>
        </is>
      </c>
      <c r="D17" s="5" t="inlineStr">
        <is>
          <t>A Ouvidoria não dispõe de placas/cartazes próprios fixados nas unidades prisionais nem em locais de atendimento ao público, familiares e servidores(as)</t>
        </is>
      </c>
      <c r="E17" s="6" t="inlineStr">
        <is>
          <t>Art. 4º, IV; art. 7º, §6º, III.</t>
        </is>
      </c>
      <c r="F17" s="3">
        <f>IF(C17="Atende",5,IF(C17="Parcial",2.5,0))</f>
        <v/>
      </c>
      <c r="G17" s="3" t="inlineStr">
        <is>
          <t>Parcial</t>
        </is>
      </c>
      <c r="H17" s="5" t="inlineStr">
        <is>
          <t>Há relatórios periódicos, mas com pouco uso gerencial e sem indicadores estruturados</t>
        </is>
      </c>
      <c r="I17" s="6" t="inlineStr">
        <is>
          <t>Art. 4º, IV; art. 10, VI; art. 12, §3º.</t>
        </is>
      </c>
      <c r="J17" s="3">
        <f>IF(G17="Atende",10,IF(G17="Parcial",5,0))</f>
        <v/>
      </c>
      <c r="K17" s="3">
        <f>SUM(F17,J17)</f>
        <v/>
      </c>
      <c r="L17" s="3" t="inlineStr">
        <is>
          <t>Doc. SEI 37070578</t>
        </is>
      </c>
    </row>
    <row r="18" ht="72" customHeight="1">
      <c r="A18" s="3" t="inlineStr">
        <is>
          <t>MT</t>
        </is>
      </c>
      <c r="B18" s="3" t="inlineStr">
        <is>
          <t>Mato Grosso</t>
        </is>
      </c>
      <c r="C18" s="3" t="inlineStr">
        <is>
          <t>Não atende</t>
        </is>
      </c>
      <c r="D18" s="5" t="inlineStr">
        <is>
          <t>A Ouvidoria não dispõe de placas/cartazes próprios fixados nas unidades prisionais nem em locais de atendimento ao público, familiares e servidores(as)</t>
        </is>
      </c>
      <c r="E18" s="6" t="inlineStr">
        <is>
          <t>Art. 4º, IV; art. 7º, §6º, III.</t>
        </is>
      </c>
      <c r="F18" s="3">
        <f>IF(C18="Atende",5,IF(C18="Parcial",2.5,0))</f>
        <v/>
      </c>
      <c r="G18" s="3" t="inlineStr">
        <is>
          <t>Atende</t>
        </is>
      </c>
      <c r="H18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18" s="6" t="inlineStr">
        <is>
          <t>Art. 4º, IV; art. 10, VI; art. 12, §3º.</t>
        </is>
      </c>
      <c r="J18" s="3">
        <f>IF(G18="Atende",10,IF(G18="Parcial",5,0))</f>
        <v/>
      </c>
      <c r="K18" s="3">
        <f>SUM(F18,J18)</f>
        <v/>
      </c>
      <c r="L18" s="3" t="inlineStr">
        <is>
          <t>Doc. SEI 37070578</t>
        </is>
      </c>
    </row>
    <row r="19" ht="48" customHeight="1">
      <c r="A19" s="3" t="inlineStr">
        <is>
          <t>MS</t>
        </is>
      </c>
      <c r="B19" s="3" t="inlineStr">
        <is>
          <t>Mato Grosso do Sul</t>
        </is>
      </c>
      <c r="C19" s="3" t="inlineStr">
        <is>
          <t>Atende</t>
        </is>
      </c>
      <c r="D19" s="5" t="inlineStr">
        <is>
          <t>A Ouvidoria dispõe de placas/cartazes padronizados em todas ou na maior parte das unidades prisionais e dos locais de atendimento ao público, familiares e servidores(as), com indicação clara dos canais de contato</t>
        </is>
      </c>
      <c r="E19" s="6" t="inlineStr">
        <is>
          <t>Art. 4º, IV; art. 7º, §6º, III.</t>
        </is>
      </c>
      <c r="F19" s="3">
        <f>IF(C19="Atende",5,IF(C19="Parcial",2.5,0))</f>
        <v/>
      </c>
      <c r="G19" s="3" t="inlineStr">
        <is>
          <t>Parcial</t>
        </is>
      </c>
      <c r="H19" s="5" t="inlineStr">
        <is>
          <t>Há relatórios periódicos, mas com pouco uso gerencial e sem indicadores estruturados</t>
        </is>
      </c>
      <c r="I19" s="6" t="inlineStr">
        <is>
          <t>Art. 4º, IV; art. 10, VI; art. 12, §3º.</t>
        </is>
      </c>
      <c r="J19" s="3">
        <f>IF(G19="Atende",10,IF(G19="Parcial",5,0))</f>
        <v/>
      </c>
      <c r="K19" s="3">
        <f>SUM(F19,J19)</f>
        <v/>
      </c>
      <c r="L19" s="3" t="inlineStr">
        <is>
          <t>Doc. SEI 37070578</t>
        </is>
      </c>
    </row>
    <row r="20" ht="72" customHeight="1">
      <c r="A20" s="3" t="inlineStr">
        <is>
          <t>MG</t>
        </is>
      </c>
      <c r="B20" s="3" t="inlineStr">
        <is>
          <t>Minas Gerais</t>
        </is>
      </c>
      <c r="C20" s="3" t="inlineStr">
        <is>
          <t>Atende</t>
        </is>
      </c>
      <c r="D20" s="5" t="inlineStr">
        <is>
          <t>A Ouvidoria dispõe de placas/cartazes em algumas unidades ou pontos de atendimento, de forma pontual e sem padronização</t>
        </is>
      </c>
      <c r="E20" s="6" t="inlineStr">
        <is>
          <t>Art. 4º, IV; art. 7º, §6º, III.</t>
        </is>
      </c>
      <c r="F20" s="3">
        <f>IF(C20="Atende",5,IF(C20="Parcial",2.5,0))</f>
        <v/>
      </c>
      <c r="G20" s="3" t="inlineStr">
        <is>
          <t>Atende</t>
        </is>
      </c>
      <c r="H20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20" s="6" t="inlineStr">
        <is>
          <t>Art. 4º, IV; art. 10, VI; art. 12, §3º.</t>
        </is>
      </c>
      <c r="J20" s="3">
        <f>IF(G20="Atende",10,IF(G20="Parcial",5,0))</f>
        <v/>
      </c>
      <c r="K20" s="3">
        <f>SUM(F20,J20)</f>
        <v/>
      </c>
      <c r="L20" s="3" t="inlineStr">
        <is>
          <t>Doc. SEI 37070578</t>
        </is>
      </c>
    </row>
    <row r="21" ht="36" customHeight="1">
      <c r="A21" s="3" t="inlineStr">
        <is>
          <t>PA</t>
        </is>
      </c>
      <c r="B21" s="3" t="inlineStr">
        <is>
          <t>Pará</t>
        </is>
      </c>
      <c r="C21" s="3" t="inlineStr">
        <is>
          <t>Sem evidência</t>
        </is>
      </c>
      <c r="D21" s="5" t="inlineStr">
        <is>
          <t>A Ouvidoria não dispõe de placas/cartazes próprios fixados nas unidades prisionais nem em locais de atendimento ao público, familiares e servidores(as)</t>
        </is>
      </c>
      <c r="E21" s="6" t="inlineStr">
        <is>
          <t>Art. 4º, IV; art. 7º, §6º, III.</t>
        </is>
      </c>
      <c r="F21" s="3">
        <f>IF(C21="Atende",5,IF(C21="Parcial",2.5,0))</f>
        <v/>
      </c>
      <c r="G21" s="3" t="inlineStr">
        <is>
          <t>Sem evidência</t>
        </is>
      </c>
      <c r="H21" s="5" t="inlineStr">
        <is>
          <t>Não há Ouvidoria consituída</t>
        </is>
      </c>
      <c r="I21" s="6" t="inlineStr">
        <is>
          <t>Art. 4º, IV; art. 10, VI; art. 12, §3º.</t>
        </is>
      </c>
      <c r="J21" s="3">
        <f>IF(G21="Atende",10,IF(G21="Parcial",5,0))</f>
        <v/>
      </c>
      <c r="K21" s="3">
        <f>SUM(F21,J21)</f>
        <v/>
      </c>
      <c r="L21" s="3" t="inlineStr">
        <is>
          <t>Doc. SEI 37070578</t>
        </is>
      </c>
    </row>
    <row r="22" ht="36" customHeight="1">
      <c r="A22" s="3" t="inlineStr">
        <is>
          <t>PB</t>
        </is>
      </c>
      <c r="B22" s="3" t="inlineStr">
        <is>
          <t>Paraíba</t>
        </is>
      </c>
      <c r="C22" s="3" t="inlineStr">
        <is>
          <t>Não atende</t>
        </is>
      </c>
      <c r="D22" s="5" t="inlineStr">
        <is>
          <t>A Ouvidoria não dispõe de placas/cartazes próprios fixados nas unidades prisionais nem em locais de atendimento ao público, familiares e servidores(as)</t>
        </is>
      </c>
      <c r="E22" s="6" t="inlineStr">
        <is>
          <t>Art. 4º, IV; art. 7º, §6º, III.</t>
        </is>
      </c>
      <c r="F22" s="3">
        <f>IF(C22="Atende",5,IF(C22="Parcial",2.5,0))</f>
        <v/>
      </c>
      <c r="G22" s="3" t="inlineStr">
        <is>
          <t>Parcial</t>
        </is>
      </c>
      <c r="H22" s="5" t="inlineStr">
        <is>
          <t>Há relatórios periódicos, mas com pouco uso gerencial e sem indicadores estruturados</t>
        </is>
      </c>
      <c r="I22" s="6" t="inlineStr">
        <is>
          <t>Art. 4º, IV; art. 10, VI; art. 12, §3º.</t>
        </is>
      </c>
      <c r="J22" s="3">
        <f>IF(G22="Atende",10,IF(G22="Parcial",5,0))</f>
        <v/>
      </c>
      <c r="K22" s="3">
        <f>SUM(F22,J22)</f>
        <v/>
      </c>
      <c r="L22" s="3" t="inlineStr">
        <is>
          <t>Doc. SEI 37070578</t>
        </is>
      </c>
    </row>
    <row r="23" ht="72" customHeight="1">
      <c r="A23" s="3" t="inlineStr">
        <is>
          <t>PR</t>
        </is>
      </c>
      <c r="B23" s="3" t="inlineStr">
        <is>
          <t>Paraná</t>
        </is>
      </c>
      <c r="C23" s="3" t="inlineStr">
        <is>
          <t>Atende</t>
        </is>
      </c>
      <c r="D23" s="5" t="inlineStr">
        <is>
          <t>A Ouvidoria dispõe de placas/cartazes padronizados em todas ou na maior parte das unidades prisionais e dos locais de atendimento ao público, familiares e servidores(as), com indicação clara dos canais de contato</t>
        </is>
      </c>
      <c r="E23" s="6" t="inlineStr">
        <is>
          <t>Art. 4º, IV; art. 7º, §6º, III.</t>
        </is>
      </c>
      <c r="F23" s="3">
        <f>IF(C23="Atende",5,IF(C23="Parcial",2.5,0))</f>
        <v/>
      </c>
      <c r="G23" s="3" t="inlineStr">
        <is>
          <t>Atende</t>
        </is>
      </c>
      <c r="H23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23" s="6" t="inlineStr">
        <is>
          <t>Art. 4º, IV; art. 10, VI; art. 12, §3º.</t>
        </is>
      </c>
      <c r="J23" s="3">
        <f>IF(G23="Atende",10,IF(G23="Parcial",5,0))</f>
        <v/>
      </c>
      <c r="K23" s="3">
        <f>SUM(F23,J23)</f>
        <v/>
      </c>
      <c r="L23" s="3" t="inlineStr">
        <is>
          <t>Doc. SEI 37070578</t>
        </is>
      </c>
    </row>
    <row r="24" ht="72" customHeight="1">
      <c r="A24" s="3" t="inlineStr">
        <is>
          <t>PE</t>
        </is>
      </c>
      <c r="B24" s="3" t="inlineStr">
        <is>
          <t>Pernambuco</t>
        </is>
      </c>
      <c r="C24" s="3" t="inlineStr">
        <is>
          <t>Não atende</t>
        </is>
      </c>
      <c r="D24" s="5" t="inlineStr">
        <is>
          <t>A Ouvidoria não dispõe de placas/cartazes próprios fixados nas unidades prisionais nem em locais de atendimento ao público, familiares e servidores(as)</t>
        </is>
      </c>
      <c r="E24" s="6" t="inlineStr">
        <is>
          <t>Art. 4º, IV; art. 7º, §6º, III.</t>
        </is>
      </c>
      <c r="F24" s="3">
        <f>IF(C24="Atende",5,IF(C24="Parcial",2.5,0))</f>
        <v/>
      </c>
      <c r="G24" s="3" t="inlineStr">
        <is>
          <t>Atende</t>
        </is>
      </c>
      <c r="H24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24" s="6" t="inlineStr">
        <is>
          <t>Art. 4º, IV; art. 10, VI; art. 12, §3º.</t>
        </is>
      </c>
      <c r="J24" s="3">
        <f>IF(G24="Atende",10,IF(G24="Parcial",5,0))</f>
        <v/>
      </c>
      <c r="K24" s="3">
        <f>SUM(F24,J24)</f>
        <v/>
      </c>
      <c r="L24" s="3" t="inlineStr">
        <is>
          <t>Doc. SEI 37070578</t>
        </is>
      </c>
    </row>
    <row r="25" ht="36" customHeight="1">
      <c r="A25" s="3" t="inlineStr">
        <is>
          <t>PI</t>
        </is>
      </c>
      <c r="B25" s="3" t="inlineStr">
        <is>
          <t>Piauí</t>
        </is>
      </c>
      <c r="C25" s="3" t="inlineStr">
        <is>
          <t>Não atende</t>
        </is>
      </c>
      <c r="D25" s="5" t="inlineStr">
        <is>
          <t>A Ouvidoria não dispõe de placas/cartazes próprios fixados nas unidades prisionais nem em locais de atendimento ao público, familiares e servidores(as)</t>
        </is>
      </c>
      <c r="E25" s="6" t="inlineStr">
        <is>
          <t>Art. 4º, IV; art. 7º, §6º, III.</t>
        </is>
      </c>
      <c r="F25" s="3">
        <f>IF(C25="Atende",5,IF(C25="Parcial",2.5,0))</f>
        <v/>
      </c>
      <c r="G25" s="3" t="inlineStr">
        <is>
          <t>Parcial</t>
        </is>
      </c>
      <c r="H25" s="5" t="inlineStr">
        <is>
          <t>Há relatórios pontuais, sem periodicidade definida</t>
        </is>
      </c>
      <c r="I25" s="6" t="inlineStr">
        <is>
          <t>Art. 4º, IV; art. 10, VI; art. 12, §3º.</t>
        </is>
      </c>
      <c r="J25" s="3">
        <f>IF(G25="Atende",10,IF(G25="Parcial",5,0))</f>
        <v/>
      </c>
      <c r="K25" s="3">
        <f>SUM(F25,J25)</f>
        <v/>
      </c>
      <c r="L25" s="3" t="inlineStr">
        <is>
          <t>Doc. SEI 37070578</t>
        </is>
      </c>
    </row>
    <row r="26" ht="72" customHeight="1">
      <c r="A26" s="3" t="inlineStr">
        <is>
          <t>RJ</t>
        </is>
      </c>
      <c r="B26" s="3" t="inlineStr">
        <is>
          <t>Rio de Janeiro</t>
        </is>
      </c>
      <c r="C26" s="3" t="inlineStr">
        <is>
          <t>Atende</t>
        </is>
      </c>
      <c r="D26" s="5" t="inlineStr">
        <is>
          <t>A Ouvidoria dispõe de placas/cartazes padronizados em todas ou na maior parte das unidades prisionais e dos locais de atendimento ao público, familiares e servidores(as), com indicação clara dos canais de contato</t>
        </is>
      </c>
      <c r="E26" s="6" t="inlineStr">
        <is>
          <t>Art. 4º, IV; art. 7º, §6º, III.</t>
        </is>
      </c>
      <c r="F26" s="3">
        <f>IF(C26="Atende",5,IF(C26="Parcial",2.5,0))</f>
        <v/>
      </c>
      <c r="G26" s="3" t="inlineStr">
        <is>
          <t>Atende</t>
        </is>
      </c>
      <c r="H26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26" s="6" t="inlineStr">
        <is>
          <t>Art. 4º, IV; art. 10, VI; art. 12, §3º.</t>
        </is>
      </c>
      <c r="J26" s="3">
        <f>IF(G26="Atende",10,IF(G26="Parcial",5,0))</f>
        <v/>
      </c>
      <c r="K26" s="3">
        <f>SUM(F26,J26)</f>
        <v/>
      </c>
      <c r="L26" s="3" t="inlineStr">
        <is>
          <t>Doc. SEI 37070578</t>
        </is>
      </c>
    </row>
    <row r="27" ht="72" customHeight="1">
      <c r="A27" s="3" t="inlineStr">
        <is>
          <t>RN</t>
        </is>
      </c>
      <c r="B27" s="3" t="inlineStr">
        <is>
          <t>Rio Grande do Norte</t>
        </is>
      </c>
      <c r="C27" s="3" t="inlineStr">
        <is>
          <t>Atende</t>
        </is>
      </c>
      <c r="D27" s="5" t="inlineStr">
        <is>
          <t>A Ouvidoria dispõe de placas/cartazes padronizados em todas ou na maior parte das unidades prisionais e dos locais de atendimento ao público, familiares e servidores(as), com indicação clara dos canais de contato</t>
        </is>
      </c>
      <c r="E27" s="6" t="inlineStr">
        <is>
          <t>Art. 4º, IV; art. 7º, §6º, III.</t>
        </is>
      </c>
      <c r="F27" s="3">
        <f>IF(C27="Atende",5,IF(C27="Parcial",2.5,0))</f>
        <v/>
      </c>
      <c r="G27" s="3" t="inlineStr">
        <is>
          <t>Atende</t>
        </is>
      </c>
      <c r="H27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27" s="6" t="inlineStr">
        <is>
          <t>Art. 4º, IV; art. 10, VI; art. 12, §3º.</t>
        </is>
      </c>
      <c r="J27" s="3">
        <f>IF(G27="Atende",10,IF(G27="Parcial",5,0))</f>
        <v/>
      </c>
      <c r="K27" s="3">
        <f>SUM(F27,J27)</f>
        <v/>
      </c>
      <c r="L27" s="3" t="inlineStr">
        <is>
          <t>Doc. SEI 37070578</t>
        </is>
      </c>
    </row>
    <row r="28" ht="72" customHeight="1">
      <c r="A28" s="3" t="inlineStr">
        <is>
          <t>RS</t>
        </is>
      </c>
      <c r="B28" s="3" t="inlineStr">
        <is>
          <t>Rio Grande do Sul</t>
        </is>
      </c>
      <c r="C28" s="3" t="inlineStr">
        <is>
          <t>Atende</t>
        </is>
      </c>
      <c r="D28" s="5" t="inlineStr">
        <is>
          <t>A Ouvidoria dispõe de placas/cartazes em algumas unidades ou pontos de atendimento, de forma pontual e sem padronização</t>
        </is>
      </c>
      <c r="E28" s="6" t="inlineStr">
        <is>
          <t>Art. 4º, IV; art. 7º, §6º, III.</t>
        </is>
      </c>
      <c r="F28" s="3">
        <f>IF(C28="Atende",5,IF(C28="Parcial",2.5,0))</f>
        <v/>
      </c>
      <c r="G28" s="3" t="inlineStr">
        <is>
          <t>Atende</t>
        </is>
      </c>
      <c r="H28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28" s="6" t="inlineStr">
        <is>
          <t>Art. 4º, IV; art. 10, VI; art. 12, §3º.</t>
        </is>
      </c>
      <c r="J28" s="3">
        <f>IF(G28="Atende",10,IF(G28="Parcial",5,0))</f>
        <v/>
      </c>
      <c r="K28" s="3">
        <f>SUM(F28,J28)</f>
        <v/>
      </c>
      <c r="L28" s="3" t="inlineStr">
        <is>
          <t>Doc. SEI 37070578</t>
        </is>
      </c>
    </row>
    <row r="29" ht="48" customHeight="1">
      <c r="A29" s="3" t="inlineStr">
        <is>
          <t>RO</t>
        </is>
      </c>
      <c r="B29" s="3" t="inlineStr">
        <is>
          <t>Rondônia</t>
        </is>
      </c>
      <c r="C29" s="3" t="inlineStr">
        <is>
          <t>Sem evidência</t>
        </is>
      </c>
      <c r="D29" s="5" t="inlineStr">
        <is>
          <t>A Ouvidoria dispõe de placas/cartazes padronizados em todas ou na maior parte das unidades prisionais e dos locais de atendimento ao público, familiares e servidores(as), com indicação clara dos canais de contato</t>
        </is>
      </c>
      <c r="E29" s="6" t="inlineStr">
        <is>
          <t>Art. 4º, IV; art. 7º, §6º, III.</t>
        </is>
      </c>
      <c r="F29" s="3">
        <f>IF(C29="Atende",5,IF(C29="Parcial",2.5,0))</f>
        <v/>
      </c>
      <c r="G29" s="3" t="inlineStr">
        <is>
          <t>Sem evidência</t>
        </is>
      </c>
      <c r="H29" s="5" t="inlineStr">
        <is>
          <t>Há relatórios periódicos, mas com pouco uso gerencial e sem indicadores estruturados</t>
        </is>
      </c>
      <c r="I29" s="6" t="inlineStr">
        <is>
          <t>Art. 4º, IV; art. 10, VI; art. 12, §3º.</t>
        </is>
      </c>
      <c r="J29" s="3">
        <f>IF(G29="Atende",10,IF(G29="Parcial",5,0))</f>
        <v/>
      </c>
      <c r="K29" s="3">
        <f>SUM(F29,J29)</f>
        <v/>
      </c>
      <c r="L29" s="3" t="inlineStr">
        <is>
          <t>Doc. SEI 37070578</t>
        </is>
      </c>
    </row>
    <row r="30" ht="72" customHeight="1">
      <c r="A30" s="3" t="inlineStr">
        <is>
          <t>RR</t>
        </is>
      </c>
      <c r="B30" s="3" t="inlineStr">
        <is>
          <t>Roraima</t>
        </is>
      </c>
      <c r="C30" s="3" t="inlineStr">
        <is>
          <t>Atende</t>
        </is>
      </c>
      <c r="D30" s="5" t="inlineStr">
        <is>
          <t>A Ouvidoria dispõe de placas/cartazes padronizados em todas ou na maior parte das unidades prisionais e dos locais de atendimento ao público, familiares e servidores(as), com indicação clara dos canais de contato</t>
        </is>
      </c>
      <c r="E30" s="6" t="inlineStr">
        <is>
          <t>Art. 4º, IV; art. 7º, §6º, III.</t>
        </is>
      </c>
      <c r="F30" s="3">
        <f>IF(C30="Atende",5,IF(C30="Parcial",2.5,0))</f>
        <v/>
      </c>
      <c r="G30" s="3" t="inlineStr">
        <is>
          <t>Atende</t>
        </is>
      </c>
      <c r="H30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30" s="6" t="inlineStr">
        <is>
          <t>Art. 4º, IV; art. 10, VI; art. 12, §3º.</t>
        </is>
      </c>
      <c r="J30" s="3">
        <f>IF(G30="Atende",10,IF(G30="Parcial",5,0))</f>
        <v/>
      </c>
      <c r="K30" s="3">
        <f>SUM(F30,J30)</f>
        <v/>
      </c>
      <c r="L30" s="3" t="inlineStr">
        <is>
          <t>Doc. SEI 37070578</t>
        </is>
      </c>
    </row>
    <row r="31" ht="36" customHeight="1">
      <c r="A31" s="3" t="inlineStr">
        <is>
          <t>SC</t>
        </is>
      </c>
      <c r="B31" s="3" t="inlineStr">
        <is>
          <t>Santa Catarina</t>
        </is>
      </c>
      <c r="C31" s="3" t="inlineStr">
        <is>
          <t>Atende</t>
        </is>
      </c>
      <c r="D31" s="5" t="inlineStr">
        <is>
          <t>A Ouvidoria dispõe de placas/cartazes em algumas unidades ou pontos de atendimento, de forma pontual e sem padronização</t>
        </is>
      </c>
      <c r="E31" s="6" t="inlineStr">
        <is>
          <t>Art. 4º, IV; art. 7º, §6º, III.</t>
        </is>
      </c>
      <c r="F31" s="3">
        <f>IF(C31="Atende",5,IF(C31="Parcial",2.5,0))</f>
        <v/>
      </c>
      <c r="G31" s="3" t="inlineStr">
        <is>
          <t>Atende</t>
        </is>
      </c>
      <c r="H31" s="5" t="inlineStr">
        <is>
          <t>Há relatórios periódicos com dados estatísticos e análise de manifestações.</t>
        </is>
      </c>
      <c r="I31" s="6" t="inlineStr">
        <is>
          <t>Art. 4º, IV; art. 10, VI; art. 12, §3º.</t>
        </is>
      </c>
      <c r="J31" s="3">
        <f>IF(G31="Atende",10,IF(G31="Parcial",5,0))</f>
        <v/>
      </c>
      <c r="K31" s="3">
        <f>SUM(F31,J31)</f>
        <v/>
      </c>
      <c r="L31" s="3" t="inlineStr">
        <is>
          <t>Doc. SEI 37070578</t>
        </is>
      </c>
    </row>
    <row r="32" ht="72" customHeight="1">
      <c r="A32" s="3" t="inlineStr">
        <is>
          <t>SP</t>
        </is>
      </c>
      <c r="B32" s="3" t="inlineStr">
        <is>
          <t>São Paulo</t>
        </is>
      </c>
      <c r="C32" s="3" t="inlineStr">
        <is>
          <t>Atende</t>
        </is>
      </c>
      <c r="D32" s="5" t="inlineStr">
        <is>
          <t>A Ouvidoria dispõe de placas/cartazes padronizados em todas ou na maior parte das unidades prisionais e dos locais de atendimento ao público, familiares e servidores(as), com indicação clara dos canais de contato</t>
        </is>
      </c>
      <c r="E32" s="6" t="inlineStr">
        <is>
          <t>Art. 4º, IV; art. 7º, §6º, III.</t>
        </is>
      </c>
      <c r="F32" s="3">
        <f>IF(C32="Atende",5,IF(C32="Parcial",2.5,0))</f>
        <v/>
      </c>
      <c r="G32" s="3" t="inlineStr">
        <is>
          <t>Atende</t>
        </is>
      </c>
      <c r="H32" s="5" t="inlineStr">
        <is>
      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      </is>
      </c>
      <c r="I32" s="6" t="inlineStr">
        <is>
          <t>Art. 4º, IV; art. 10, VI; art. 12, §3º.</t>
        </is>
      </c>
      <c r="J32" s="3">
        <f>IF(G32="Atende",10,IF(G32="Parcial",5,0))</f>
        <v/>
      </c>
      <c r="K32" s="3">
        <f>SUM(F32,J32)</f>
        <v/>
      </c>
      <c r="L32" s="3" t="inlineStr">
        <is>
          <t>Doc. SEI 37070578</t>
        </is>
      </c>
    </row>
    <row r="33">
      <c r="A33" s="3" t="inlineStr">
        <is>
          <t>SE</t>
        </is>
      </c>
      <c r="B33" s="3" t="inlineStr">
        <is>
          <t>Sergipe</t>
        </is>
      </c>
      <c r="C33" s="3" t="inlineStr">
        <is>
          <t>Sem evidência</t>
        </is>
      </c>
      <c r="D33" s="5" t="inlineStr">
        <is>
          <t>Sem resposta no diagnóstico</t>
        </is>
      </c>
      <c r="E33" s="6" t="inlineStr">
        <is>
          <t>Art. 4º, IV; art. 7º, §6º, III.</t>
        </is>
      </c>
      <c r="F33" s="3">
        <f>IF(C33="Atende",5,IF(C33="Parcial",2.5,0))</f>
        <v/>
      </c>
      <c r="G33" s="3" t="inlineStr">
        <is>
          <t>Sem evidência</t>
        </is>
      </c>
      <c r="H33" s="5" t="inlineStr">
        <is>
          <t>Sem resposta no diagnóstico</t>
        </is>
      </c>
      <c r="I33" s="6" t="inlineStr">
        <is>
          <t>Art. 4º, IV; art. 10, VI; art. 12, §3º.</t>
        </is>
      </c>
      <c r="J33" s="3">
        <f>IF(G33="Atende",10,IF(G33="Parcial",5,0))</f>
        <v/>
      </c>
      <c r="K33" s="3">
        <f>SUM(F33,J33)</f>
        <v/>
      </c>
      <c r="L33" s="3" t="inlineStr">
        <is>
          <t>Doc. SEI 37070578</t>
        </is>
      </c>
    </row>
    <row r="34" ht="36" customHeight="1">
      <c r="A34" s="3" t="inlineStr">
        <is>
          <t>TO</t>
        </is>
      </c>
      <c r="B34" s="3" t="inlineStr">
        <is>
          <t>Tocantins</t>
        </is>
      </c>
      <c r="C34" s="3" t="inlineStr">
        <is>
          <t>Sem evidência</t>
        </is>
      </c>
      <c r="D34" s="5" t="inlineStr">
        <is>
          <t>A Ouvidoria não dispõe de placas/cartazes próprios fixados nas unidades prisionais nem em locais de atendimento ao público, familiares e servidores(as)</t>
        </is>
      </c>
      <c r="E34" s="6" t="inlineStr">
        <is>
          <t>Art. 4º, IV; art. 7º, §6º, III.</t>
        </is>
      </c>
      <c r="F34" s="3">
        <f>IF(C34="Atende",5,IF(C34="Parcial",2.5,0))</f>
        <v/>
      </c>
      <c r="G34" s="3" t="inlineStr">
        <is>
          <t>Sem evidência</t>
        </is>
      </c>
      <c r="H34" s="5" t="inlineStr">
        <is>
          <t>Há relatórios periódicos, mas com pouco uso gerencial e sem indicadores estruturados</t>
        </is>
      </c>
      <c r="I34" s="6" t="inlineStr">
        <is>
          <t>Art. 4º, IV; art. 10, VI; art. 12, §3º.</t>
        </is>
      </c>
      <c r="J34" s="3">
        <f>IF(G34="Atende",10,IF(G34="Parcial",5,0))</f>
        <v/>
      </c>
      <c r="K34" s="3">
        <f>SUM(F34,J34)</f>
        <v/>
      </c>
      <c r="L34" s="3" t="inlineStr">
        <is>
          <t>Doc. SEI 37070578</t>
        </is>
      </c>
    </row>
  </sheetData>
  <mergeCells count="7">
    <mergeCell ref="A4:B4"/>
    <mergeCell ref="A2:L2"/>
    <mergeCell ref="C4:F4"/>
    <mergeCell ref="G4:J4"/>
    <mergeCell ref="A1:L1"/>
    <mergeCell ref="K4:L4"/>
    <mergeCell ref="A6:B6"/>
  </mergeCells>
  <conditionalFormatting sqref="C7:C34">
    <cfRule type="expression" priority="1" dxfId="2">
      <formula>C7="Atende"</formula>
    </cfRule>
    <cfRule type="expression" priority="2" dxfId="0">
      <formula>C7="Parcial"</formula>
    </cfRule>
    <cfRule type="expression" priority="3" dxfId="1">
      <formula>OR(C7="Não atende",C7="Sem evidência")</formula>
    </cfRule>
  </conditionalFormatting>
  <conditionalFormatting sqref="G7:G34">
    <cfRule type="expression" priority="4" dxfId="2">
      <formula>G7="Atende"</formula>
    </cfRule>
    <cfRule type="expression" priority="5" dxfId="0">
      <formula>G7="Parcial"</formula>
    </cfRule>
    <cfRule type="expression" priority="6" dxfId="1">
      <formula>OR(G7="Não atende",G7="Sem evidência")</formula>
    </cfRule>
  </conditionalFormatting>
  <dataValidations count="1">
    <dataValidation sqref="C7:C34 G7:G34" showDropDown="0" showInputMessage="0" showErrorMessage="0" allowBlank="0" type="list">
      <formula1>"Atende,Parcial,Não atende,Sem evidência"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4"/>
  <sheetViews>
    <sheetView topLeftCell="A28" zoomScale="85" zoomScaleNormal="85" workbookViewId="0">
      <selection activeCell="P34" sqref="P34"/>
    </sheetView>
  </sheetViews>
  <sheetFormatPr baseColWidth="8" defaultRowHeight="14.4"/>
  <cols>
    <col width="8" customWidth="1" min="1" max="1"/>
    <col width="29" customWidth="1" min="2" max="2"/>
    <col hidden="1" width="31" customWidth="1" min="3" max="3"/>
    <col hidden="1" width="42" customWidth="1" min="4" max="4"/>
    <col hidden="1" width="25" customWidth="1" min="5" max="5"/>
    <col hidden="1" width="8" customWidth="1" min="6" max="6"/>
    <col hidden="1" width="31" customWidth="1" min="7" max="7"/>
    <col hidden="1" width="42" customWidth="1" min="8" max="8"/>
    <col hidden="1" width="25" customWidth="1" min="9" max="9"/>
    <col hidden="1" width="8" customWidth="1" min="10" max="10"/>
    <col hidden="1" width="31" customWidth="1" min="11" max="11"/>
    <col hidden="1" width="42" customWidth="1" min="12" max="12"/>
    <col hidden="1" width="25" customWidth="1" min="13" max="13"/>
    <col hidden="1" width="8" customWidth="1" min="14" max="14"/>
    <col width="31" customWidth="1" min="15" max="15"/>
    <col width="42" customWidth="1" min="16" max="16"/>
    <col width="25" customWidth="1" min="17" max="17"/>
    <col width="8" customWidth="1" min="18" max="18"/>
    <col width="31" customWidth="1" min="19" max="19"/>
    <col width="42" customWidth="1" min="20" max="20"/>
    <col width="25" customWidth="1" min="21" max="21"/>
    <col width="8" customWidth="1" min="22" max="22"/>
    <col width="31" customWidth="1" min="23" max="23"/>
    <col width="42" customWidth="1" min="24" max="24"/>
    <col width="25" customWidth="1" min="25" max="25"/>
    <col width="8" customWidth="1" min="26" max="26"/>
    <col width="31" customWidth="1" min="27" max="27"/>
    <col width="42" customWidth="1" min="28" max="28"/>
    <col width="25" customWidth="1" min="29" max="29"/>
    <col width="8" customWidth="1" min="30" max="30"/>
    <col width="14" customWidth="1" min="31" max="31"/>
    <col width="31" customWidth="1" min="32" max="32"/>
  </cols>
  <sheetData>
    <row r="1" ht="22.35" customHeight="1">
      <c r="A1" s="8" t="inlineStr">
        <is>
          <t>06 — Integração tecnológica</t>
        </is>
      </c>
    </row>
    <row r="2" ht="38.4" customHeight="1">
      <c r="A2" s="9" t="inlineStr">
        <is>
          <t>Peso da dimensão: 25 pontos. Cada pergunta do diagnóstico pertence exclusivamente a uma única dimensão da matriz.</t>
        </is>
      </c>
    </row>
    <row r="4" ht="40.05" customHeight="1">
      <c r="A4" s="10" t="inlineStr">
        <is>
          <t>Identificação</t>
        </is>
      </c>
      <c r="C4" s="10" t="inlineStr">
        <is>
          <t>Item 1 — Canal eletrônico e solução para registro e gestão das manifestações</t>
        </is>
      </c>
      <c r="G4" s="10" t="inlineStr">
        <is>
          <t>Item 2 — Registro, protocolo, rastreabilidade e acompanhamento</t>
        </is>
      </c>
      <c r="K4" s="10" t="inlineStr">
        <is>
          <t>Item 3 — Sigilo, autenticação e controle de acesso</t>
        </is>
      </c>
      <c r="O4" s="10" t="inlineStr">
        <is>
          <t>Item 4 — Computadores e acesso à internet</t>
        </is>
      </c>
      <c r="S4" s="10" t="inlineStr">
        <is>
          <t>Item 5 — Impressoras e scanners</t>
        </is>
      </c>
      <c r="AA4" s="10" t="inlineStr">
        <is>
          <t>Item 6 — Aparelhos de telefone celular</t>
        </is>
      </c>
      <c r="AE4" s="10" t="inlineStr">
        <is>
          <t>Resultado da dimensão</t>
        </is>
      </c>
    </row>
    <row r="5" ht="49.65" customHeight="1">
      <c r="A5" s="2" t="inlineStr">
        <is>
          <t>UF</t>
        </is>
      </c>
      <c r="B5" s="2" t="inlineStr">
        <is>
          <t>Unidade Federativa</t>
        </is>
      </c>
      <c r="C5" s="2" t="inlineStr">
        <is>
          <t>M2-45 — Sistemas ou canais eletrônicos utilizados para registro e gestão</t>
        </is>
      </c>
      <c r="D5" s="2" t="inlineStr">
        <is>
          <t>Resposta do diagnóstico</t>
        </is>
      </c>
      <c r="E5" s="2" t="inlineStr">
        <is>
          <t>Fundamentação na IN nº 75/2026</t>
        </is>
      </c>
      <c r="F5" s="2" t="inlineStr">
        <is>
          <t>5 pts</t>
        </is>
      </c>
      <c r="G5" s="2" t="inlineStr">
        <is>
          <t>M4-66 — Registro, protocolo e classificação das manifestações</t>
        </is>
      </c>
      <c r="H5" s="2" t="inlineStr">
        <is>
          <t>Resposta do diagnóstico</t>
        </is>
      </c>
      <c r="I5" s="2" t="inlineStr">
        <is>
          <t>Fundamentação na IN nº 75/2026</t>
        </is>
      </c>
      <c r="J5" s="2" t="inlineStr">
        <is>
          <t>5 pts</t>
        </is>
      </c>
      <c r="K5" s="2" t="inlineStr">
        <is>
          <t>M2-37 — Recursos específicos de segurança da informação</t>
        </is>
      </c>
      <c r="L5" s="2" t="inlineStr">
        <is>
          <t>Resposta do diagnóstico</t>
        </is>
      </c>
      <c r="M5" s="2" t="inlineStr">
        <is>
          <t>Fundamentação na IN nº 75/2026</t>
        </is>
      </c>
      <c r="N5" s="2" t="inlineStr">
        <is>
          <t>5 pts</t>
        </is>
      </c>
      <c r="O5" s="2" t="inlineStr">
        <is>
          <t>M2-17 — Quantidade atualmente disponível de computadores com acesso à internet</t>
        </is>
      </c>
      <c r="P5" s="2" t="inlineStr">
        <is>
          <t>Resposta do diagnóstico</t>
        </is>
      </c>
      <c r="Q5" s="2" t="inlineStr">
        <is>
          <t>Fundamentação na IN nº 75/2026</t>
        </is>
      </c>
      <c r="R5" s="2" t="inlineStr">
        <is>
          <t>4 pts</t>
        </is>
      </c>
      <c r="S5" s="2" t="inlineStr">
        <is>
          <t>M2-19 — Impressoras multifuncionais atualmente disponíveis</t>
        </is>
      </c>
      <c r="T5" s="2" t="inlineStr">
        <is>
          <t>Resposta do diagnóstico</t>
        </is>
      </c>
      <c r="U5" s="2" t="inlineStr">
        <is>
          <t>Fundamentação na IN nº 75/2026</t>
        </is>
      </c>
      <c r="V5" s="2" t="inlineStr">
        <is>
          <t>2 pts</t>
        </is>
      </c>
      <c r="W5" s="2" t="inlineStr">
        <is>
          <t>M2-21 — Scanners atualmente disponíveis</t>
        </is>
      </c>
      <c r="X5" s="2" t="inlineStr">
        <is>
          <t>Resposta do diagnóstico</t>
        </is>
      </c>
      <c r="Y5" s="2" t="inlineStr">
        <is>
          <t>Fundamentação na IN nº 75/2026</t>
        </is>
      </c>
      <c r="Z5" s="2" t="inlineStr">
        <is>
          <t>2 pts</t>
        </is>
      </c>
      <c r="AA5" s="2" t="inlineStr">
        <is>
          <t>M2-27 — Smartphones atualmente disponíveis</t>
        </is>
      </c>
      <c r="AB5" s="2" t="inlineStr">
        <is>
          <t>Resposta do diagnóstico</t>
        </is>
      </c>
      <c r="AC5" s="2" t="inlineStr">
        <is>
          <t>Fundamentação na IN nº 75/2026</t>
        </is>
      </c>
      <c r="AD5" s="2" t="inlineStr">
        <is>
          <t>2 pts</t>
        </is>
      </c>
      <c r="AE5" s="2" t="inlineStr">
        <is>
          <t>Pontuação /25</t>
        </is>
      </c>
      <c r="AF5" s="2" t="inlineStr">
        <is>
          <t>Evidências / observações</t>
        </is>
      </c>
    </row>
    <row r="6" ht="105.6" customHeight="1">
      <c r="A6" s="7" t="inlineStr">
        <is>
          <t>Como aplicar / resposta / fundamento →</t>
        </is>
      </c>
      <c r="C6" s="4" t="inlineStr">
        <is>
          <t>5 pts: utiliza solução eletrônica institucional capaz de receber/registrar e apoiar a gestão das manifestações. 2,5 pts: solução parcial, manual ou limitada. 0 pt: inexistente ou sem evidência.</t>
        </is>
      </c>
      <c r="D6" s="5" t="inlineStr">
        <is>
          <t>Resposta original consolidada do diagnóstico das Ouvidorias Estaduais de Serviços Penais.</t>
        </is>
      </c>
      <c r="E6" s="6" t="inlineStr">
        <is>
          <t>Art. 4º, V; art. 7º, §2º, III; §4º, II; §5º.</t>
        </is>
      </c>
      <c r="F6" s="9" t="inlineStr">
        <is>
          <t>5 = atende
2.5 = parcial
0 = não atende / sem evidência</t>
        </is>
      </c>
      <c r="G6" s="4" t="inlineStr">
        <is>
          <t>5 pts: manifestações são registradas/classificadas e recebem protocolo que permita acompanhamento e rastreabilidade. 2,5 pts: registro/protocolo parcial. 0 pt: inexistente ou sem evidência.</t>
        </is>
      </c>
      <c r="H6" s="5" t="inlineStr">
        <is>
          <t>Resposta original consolidada do diagnóstico das Ouvidorias Estaduais de Serviços Penais.</t>
        </is>
      </c>
      <c r="I6" s="6" t="inlineStr">
        <is>
          <t>Art. 11; art. 13, II.</t>
        </is>
      </c>
      <c r="J6" s="9" t="inlineStr">
        <is>
          <t>5 = atende
2.5 = parcial
0 = não atende / sem evidência</t>
        </is>
      </c>
      <c r="K6" s="4" t="inlineStr">
        <is>
          <t>5 pts: há autenticação, restrição de acesso e mecanismos compatíveis de segurança da informação. 2,5 pts: controles básicos ou incompletos. 0 pt: inexistentes ou sem evidência.</t>
        </is>
      </c>
      <c r="L6" s="5" t="inlineStr">
        <is>
          <t>Resposta original consolidada do diagnóstico das Ouvidorias Estaduais de Serviços Penais.</t>
        </is>
      </c>
      <c r="M6" s="6" t="inlineStr">
        <is>
          <t>Art. 4º, §2º; art. 7º, §4º, II e III; §5º.</t>
        </is>
      </c>
      <c r="N6" s="9" t="inlineStr">
        <is>
          <t>5 = atende
2.5 = parcial
0 = não atende / sem evidência</t>
        </is>
      </c>
      <c r="O6" s="4" t="inlineStr">
        <is>
          <t>4 pts: há computador(es) com acesso à internet disponível(is) para a Ouvidoria. 2 pts: disponibilidade compartilhada/limitada que compromete a rotina. 0 pt: quantidade zero ou sem evidência. A IN não fixa quantitativo mínimo.</t>
        </is>
      </c>
      <c r="P6" s="5" t="inlineStr">
        <is>
          <t>Resposta original consolidada do diagnóstico das Ouvidorias Estaduais de Serviços Penais.</t>
        </is>
      </c>
      <c r="Q6" s="6" t="inlineStr">
        <is>
          <t>Art. 7º, §4º, I.</t>
        </is>
      </c>
      <c r="R6" s="9" t="inlineStr">
        <is>
          <t>4 = atende
2 = parcial
0 = não atende / sem evidência</t>
        </is>
      </c>
      <c r="S6" s="4" t="inlineStr">
        <is>
          <t>2 pts: há ao menos uma impressora multifuncional disponível regularmente. 1 pt: acesso compartilhado/limitado. 0 pt: inexistente ou sem evidência. Recurso recomendado na IN.</t>
        </is>
      </c>
      <c r="T6" s="5" t="inlineStr">
        <is>
          <t>Resposta original consolidada do diagnóstico das Ouvidorias Estaduais de Serviços Penais.</t>
        </is>
      </c>
      <c r="U6" s="6" t="inlineStr">
        <is>
          <t>Art. 7º, §6º, I.</t>
        </is>
      </c>
      <c r="V6" s="9" t="inlineStr">
        <is>
          <t>2 = atende
1 = parcial
0 = não atende / sem evidência</t>
        </is>
      </c>
      <c r="W6" s="4" t="inlineStr">
        <is>
          <t>2 pts: há scanner disponível regularmente. 1 pt: acesso compartilhado/limitado. 0 pt: inexistente ou sem evidência. A referência normativa é indireta quando se trata de scanner autônomo.</t>
        </is>
      </c>
      <c r="X6" s="5" t="inlineStr">
        <is>
          <t>Resposta original consolidada do diagnóstico das Ouvidorias Estaduais de Serviços Penais.</t>
        </is>
      </c>
      <c r="Y6" s="6" t="inlineStr">
        <is>
          <t>Art. 7º, §6º, I — impressora multifuncional; scanner autônomo não é citado expressamente.</t>
        </is>
      </c>
      <c r="Z6" s="9" t="inlineStr">
        <is>
          <t>2 = atende
1 = parcial
0 = não atende / sem evidência</t>
        </is>
      </c>
      <c r="AA6" s="4" t="inlineStr">
        <is>
          <t>2 pts: há aparelho celular institucional disponível para a Ouvidoria. 1 pt: aparelho compartilhado/uso limitado. 0 pt: inexistente ou sem evidência. Recurso recomendado na IN.</t>
        </is>
      </c>
      <c r="AB6" s="5" t="inlineStr">
        <is>
          <t>Resposta original consolidada do diagnóstico das Ouvidorias Estaduais de Serviços Penais.</t>
        </is>
      </c>
      <c r="AC6" s="6" t="inlineStr">
        <is>
          <t>Art. 7º, §6º, IV.</t>
        </is>
      </c>
      <c r="AD6" s="9" t="inlineStr">
        <is>
          <t>2 = atende
1 = parcial
0 = não atende / sem evidência</t>
        </is>
      </c>
      <c r="AE6" s="9" t="inlineStr">
        <is>
          <t>Soma automática das perguntas desta dimensão.</t>
        </is>
      </c>
      <c r="AF6" s="9" t="inlineStr">
        <is>
          <t>Referência documental geral das respostas: Doc. SEI 37070578.</t>
        </is>
      </c>
    </row>
    <row r="7" ht="60" customHeight="1">
      <c r="A7" s="3" t="inlineStr">
        <is>
          <t>AC</t>
        </is>
      </c>
      <c r="B7" s="3" t="inlineStr">
        <is>
          <t>Acre</t>
        </is>
      </c>
      <c r="C7" s="3" t="inlineStr">
        <is>
          <t>Atende</t>
        </is>
      </c>
      <c r="D7" s="5" t="inlineStr">
        <is>
          <t>Possui canal próprio na Plataforma Fala.BR (CGU);Não utiliza nenhum sistema estruturado; registros são feitos em planilha ou outro meio manual;</t>
        </is>
      </c>
      <c r="E7" s="6" t="inlineStr">
        <is>
          <t>Art. 4º, V; art. 7º, §2º, III; §4º, II; §5º.</t>
        </is>
      </c>
      <c r="F7" s="3">
        <f>IF(C7="Atende",5,IF(C7="Parcial",2.5,0))</f>
        <v/>
      </c>
      <c r="G7" s="3" t="inlineStr">
        <is>
          <t>Atende</t>
        </is>
      </c>
      <c r="H7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7" s="6" t="inlineStr">
        <is>
          <t>Art. 11; art. 13, II.</t>
        </is>
      </c>
      <c r="J7" s="3">
        <f>IF(G7="Atende",5,IF(G7="Parcial",2.5,0))</f>
        <v/>
      </c>
      <c r="K7" s="3" t="inlineStr">
        <is>
          <t>Atende</t>
        </is>
      </c>
      <c r="L7" s="5" t="inlineStr">
        <is>
          <t>Antivírus institucional instalado nas estações de trabalho;Mecanismos de autenticação e controle de acesso aos dados;Acesso restrito a pastas/sistemas que contenham manifestações;Política interna ou instruções sobre tratamento de dados pessoais;</t>
        </is>
      </c>
      <c r="M7" s="6" t="inlineStr">
        <is>
          <t>Art. 4º, §2º; art. 7º, §4º, II e III; §5º.</t>
        </is>
      </c>
      <c r="N7" s="3">
        <f>IF(K7="Atende",5,IF(K7="Parcial",2.5,0))</f>
        <v/>
      </c>
      <c r="O7" s="3" t="inlineStr">
        <is>
          <t>Atende</t>
        </is>
      </c>
      <c r="P7" s="5" t="inlineStr">
        <is>
          <t>3</t>
        </is>
      </c>
      <c r="Q7" s="6" t="inlineStr">
        <is>
          <t>Art. 7º, §4º, I.</t>
        </is>
      </c>
      <c r="R7" s="3">
        <f>IF(O7="Atende",4,IF(O7="Parcial",2,0))</f>
        <v/>
      </c>
      <c r="S7" s="3" t="inlineStr">
        <is>
          <t>Atende</t>
        </is>
      </c>
      <c r="T7" s="5" t="inlineStr">
        <is>
          <t>1</t>
        </is>
      </c>
      <c r="U7" s="6" t="inlineStr">
        <is>
          <t>Art. 7º, §6º, I.</t>
        </is>
      </c>
      <c r="V7" s="3">
        <f>IF(S7="Atende",2,IF(S7="Parcial",1,0))</f>
        <v/>
      </c>
      <c r="W7" s="3" t="inlineStr">
        <is>
          <t>Não atende</t>
        </is>
      </c>
      <c r="X7" s="5" t="inlineStr">
        <is>
          <t>0</t>
        </is>
      </c>
      <c r="Y7" s="6" t="inlineStr">
        <is>
          <t>Art. 7º, §6º, I — impressora multifuncional; scanner autônomo não é citado expressamente.</t>
        </is>
      </c>
      <c r="Z7" s="3">
        <f>IF(W7="Atende",2,IF(W7="Parcial",1,0))</f>
        <v/>
      </c>
      <c r="AA7" s="3" t="inlineStr">
        <is>
          <t>Atende</t>
        </is>
      </c>
      <c r="AB7" s="5" t="inlineStr">
        <is>
          <t>1</t>
        </is>
      </c>
      <c r="AC7" s="6" t="inlineStr">
        <is>
          <t>Art. 7º, §6º, IV.</t>
        </is>
      </c>
      <c r="AD7" s="3">
        <f>IF(AA7="Atende",2,IF(AA7="Parcial",1,0))</f>
        <v/>
      </c>
      <c r="AE7" s="3">
        <f>SUM(F7,J7,N7,R7,V7,Z7,AD7)</f>
        <v/>
      </c>
      <c r="AF7" s="3" t="inlineStr">
        <is>
          <t>Doc. SEI 37070578</t>
        </is>
      </c>
    </row>
    <row r="8" ht="72" customHeight="1">
      <c r="A8" s="3" t="inlineStr">
        <is>
          <t>AL</t>
        </is>
      </c>
      <c r="B8" s="3" t="inlineStr">
        <is>
          <t>Alagoas</t>
        </is>
      </c>
      <c r="C8" s="3" t="inlineStr">
        <is>
          <t>Atende</t>
        </is>
      </c>
      <c r="D8" s="5" t="inlineStr">
        <is>
          <t>Utiliza apenas outro sistema eletrônico de ouvidoria (estadual ou próprio do órgão);</t>
        </is>
      </c>
      <c r="E8" s="6" t="inlineStr">
        <is>
          <t>Art. 4º, V; art. 7º, §2º, III; §4º, II; §5º.</t>
        </is>
      </c>
      <c r="F8" s="3">
        <f>IF(C8="Atende",5,IF(C8="Parcial",2.5,0))</f>
        <v/>
      </c>
      <c r="G8" s="3" t="inlineStr">
        <is>
          <t>Parcial</t>
        </is>
      </c>
      <c r="H8" s="5" t="inlineStr">
        <is>
          <t>As manifestações são registradas, mas sem número de protocolo individual</t>
        </is>
      </c>
      <c r="I8" s="6" t="inlineStr">
        <is>
          <t>Art. 11; art. 13, II.</t>
        </is>
      </c>
      <c r="J8" s="3">
        <f>IF(G8="Atende",5,IF(G8="Parcial",2.5,0))</f>
        <v/>
      </c>
      <c r="K8" s="3" t="inlineStr">
        <is>
          <t>Atende</t>
        </is>
      </c>
      <c r="L8" s="5" t="inlineStr">
        <is>
      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      </is>
      </c>
      <c r="M8" s="6" t="inlineStr">
        <is>
          <t>Art. 4º, §2º; art. 7º, §4º, II e III; §5º.</t>
        </is>
      </c>
      <c r="N8" s="3">
        <f>IF(K8="Atende",5,IF(K8="Parcial",2.5,0))</f>
        <v/>
      </c>
      <c r="O8" s="3" t="inlineStr">
        <is>
          <t>Não atende</t>
        </is>
      </c>
      <c r="P8" s="5" t="inlineStr">
        <is>
          <t>3</t>
        </is>
      </c>
      <c r="Q8" s="6" t="inlineStr">
        <is>
          <t>Art. 7º, §4º, I.</t>
        </is>
      </c>
      <c r="R8" s="3">
        <f>IF(O8="Atende",4,IF(O8="Parcial",2,0))</f>
        <v/>
      </c>
      <c r="S8" s="3" t="inlineStr">
        <is>
          <t>Não atende</t>
        </is>
      </c>
      <c r="T8" s="5" t="inlineStr">
        <is>
          <t>1</t>
        </is>
      </c>
      <c r="U8" s="6" t="inlineStr">
        <is>
          <t>Art. 7º, §6º, I.</t>
        </is>
      </c>
      <c r="V8" s="3">
        <f>IF(S8="Atende",2,IF(S8="Parcial",1,0))</f>
        <v/>
      </c>
      <c r="W8" s="3" t="inlineStr">
        <is>
          <t>Não atende</t>
        </is>
      </c>
      <c r="X8" s="5" t="inlineStr">
        <is>
          <t>1</t>
        </is>
      </c>
      <c r="Y8" s="6" t="inlineStr">
        <is>
          <t>Art. 7º, §6º, I — impressora multifuncional; scanner autônomo não é citado expressamente.</t>
        </is>
      </c>
      <c r="Z8" s="3">
        <f>IF(W8="Atende",2,IF(W8="Parcial",1,0))</f>
        <v/>
      </c>
      <c r="AA8" s="3" t="inlineStr">
        <is>
          <t>Atende</t>
        </is>
      </c>
      <c r="AB8" s="5" t="inlineStr">
        <is>
          <t>3</t>
        </is>
      </c>
      <c r="AC8" s="6" t="inlineStr">
        <is>
          <t>Art. 7º, §6º, IV.</t>
        </is>
      </c>
      <c r="AD8" s="3">
        <f>IF(AA8="Atende",2,IF(AA8="Parcial",1,0))</f>
        <v/>
      </c>
      <c r="AE8" s="3">
        <f>SUM(F8,J8,N8,R8,V8,Z8,AD8)</f>
        <v/>
      </c>
      <c r="AF8" s="3" t="inlineStr">
        <is>
          <t>Doc. SEI 37070578</t>
        </is>
      </c>
    </row>
    <row r="9" ht="48" customHeight="1">
      <c r="A9" s="3" t="inlineStr">
        <is>
          <t>AP</t>
        </is>
      </c>
      <c r="B9" s="3" t="inlineStr">
        <is>
          <t>Amapá</t>
        </is>
      </c>
      <c r="C9" s="3" t="inlineStr">
        <is>
          <t>Atende</t>
        </is>
      </c>
      <c r="D9" s="5" t="inlineStr">
        <is>
          <t>Utiliza apenas outro sistema eletrônico de ouvidoria (estadual ou próprio do órgão);</t>
        </is>
      </c>
      <c r="E9" s="6" t="inlineStr">
        <is>
          <t>Art. 4º, V; art. 7º, §2º, III; §4º, II; §5º.</t>
        </is>
      </c>
      <c r="F9" s="3">
        <f>IF(C9="Atende",5,IF(C9="Parcial",2.5,0))</f>
        <v/>
      </c>
      <c r="G9" s="3" t="inlineStr">
        <is>
          <t>Atende</t>
        </is>
      </c>
      <c r="H9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9" s="6" t="inlineStr">
        <is>
          <t>Art. 11; art. 13, II.</t>
        </is>
      </c>
      <c r="J9" s="3">
        <f>IF(G9="Atende",5,IF(G9="Parcial",2.5,0))</f>
        <v/>
      </c>
      <c r="K9" s="3" t="inlineStr">
        <is>
          <t>Atende</t>
        </is>
      </c>
      <c r="L9" s="5" t="inlineStr">
        <is>
          <t>Acesso restrito a pastas/sistemas que contenham manifestações;Mecanismos de autenticação e controle de acesso aos dados;</t>
        </is>
      </c>
      <c r="M9" s="6" t="inlineStr">
        <is>
          <t>Art. 4º, §2º; art. 7º, §4º, II e III; §5º.</t>
        </is>
      </c>
      <c r="N9" s="3">
        <f>IF(K9="Atende",5,IF(K9="Parcial",2.5,0))</f>
        <v/>
      </c>
      <c r="O9" s="3" t="inlineStr">
        <is>
          <t>Não atende</t>
        </is>
      </c>
      <c r="P9" s="5" t="inlineStr">
        <is>
          <t>2</t>
        </is>
      </c>
      <c r="Q9" s="6" t="inlineStr">
        <is>
          <t>Art. 7º, §4º, I.</t>
        </is>
      </c>
      <c r="R9" s="3">
        <f>IF(O9="Atende",4,IF(O9="Parcial",2,0))</f>
        <v/>
      </c>
      <c r="S9" s="3" t="inlineStr">
        <is>
          <t>Não atende</t>
        </is>
      </c>
      <c r="T9" s="5" t="inlineStr">
        <is>
          <t>0</t>
        </is>
      </c>
      <c r="U9" s="6" t="inlineStr">
        <is>
          <t>Art. 7º, §6º, I.</t>
        </is>
      </c>
      <c r="V9" s="3">
        <f>IF(S9="Atende",2,IF(S9="Parcial",1,0))</f>
        <v/>
      </c>
      <c r="W9" s="3" t="inlineStr">
        <is>
          <t>Não atende</t>
        </is>
      </c>
      <c r="X9" s="5" t="inlineStr">
        <is>
          <t>0</t>
        </is>
      </c>
      <c r="Y9" s="6" t="inlineStr">
        <is>
          <t>Art. 7º, §6º, I — impressora multifuncional; scanner autônomo não é citado expressamente.</t>
        </is>
      </c>
      <c r="Z9" s="3">
        <f>IF(W9="Atende",2,IF(W9="Parcial",1,0))</f>
        <v/>
      </c>
      <c r="AA9" s="3" t="inlineStr">
        <is>
          <t>Atende</t>
        </is>
      </c>
      <c r="AB9" s="5" t="inlineStr">
        <is>
          <t>1</t>
        </is>
      </c>
      <c r="AC9" s="6" t="inlineStr">
        <is>
          <t>Art. 7º, §6º, IV.</t>
        </is>
      </c>
      <c r="AD9" s="3">
        <f>IF(AA9="Atende",2,IF(AA9="Parcial",1,0))</f>
        <v/>
      </c>
      <c r="AE9" s="3">
        <f>SUM(F9,J9,N9,R9,V9,Z9,AD9)</f>
        <v/>
      </c>
      <c r="AF9" s="3" t="inlineStr">
        <is>
          <t>Doc. SEI 37070578</t>
        </is>
      </c>
    </row>
    <row r="10" ht="72" customHeight="1">
      <c r="A10" s="3" t="inlineStr">
        <is>
          <t>AM</t>
        </is>
      </c>
      <c r="B10" s="3" t="inlineStr">
        <is>
          <t>Amazonas</t>
        </is>
      </c>
      <c r="C10" s="3" t="inlineStr">
        <is>
          <t>Atende</t>
        </is>
      </c>
      <c r="D10" s="5" t="inlineStr">
        <is>
          <t>Possui canal próprio na Plataforma Fala.BR (CGU);Utiliza apenas outro sistema eletrônico de ouvidoria (estadual ou próprio do órgão);</t>
        </is>
      </c>
      <c r="E10" s="6" t="inlineStr">
        <is>
          <t>Art. 4º, V; art. 7º, §2º, III; §4º, II; §5º.</t>
        </is>
      </c>
      <c r="F10" s="3">
        <f>IF(C10="Atende",5,IF(C10="Parcial",2.5,0))</f>
        <v/>
      </c>
      <c r="G10" s="3" t="inlineStr">
        <is>
          <t>Atende</t>
        </is>
      </c>
      <c r="H10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10" s="6" t="inlineStr">
        <is>
          <t>Art. 11; art. 13, II.</t>
        </is>
      </c>
      <c r="J10" s="3">
        <f>IF(G10="Atende",5,IF(G10="Parcial",2.5,0))</f>
        <v/>
      </c>
      <c r="K10" s="3" t="inlineStr">
        <is>
          <t>Atende</t>
        </is>
      </c>
      <c r="L10" s="5" t="inlineStr">
        <is>
      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      </is>
      </c>
      <c r="M10" s="6" t="inlineStr">
        <is>
          <t>Art. 4º, §2º; art. 7º, §4º, II e III; §5º.</t>
        </is>
      </c>
      <c r="N10" s="3">
        <f>IF(K10="Atende",5,IF(K10="Parcial",2.5,0))</f>
        <v/>
      </c>
      <c r="O10" s="3" t="inlineStr">
        <is>
          <t>Atende</t>
        </is>
      </c>
      <c r="P10" s="5" t="inlineStr">
        <is>
          <t>10</t>
        </is>
      </c>
      <c r="Q10" s="6" t="inlineStr">
        <is>
          <t>Art. 7º, §4º, I.</t>
        </is>
      </c>
      <c r="R10" s="3">
        <f>IF(O10="Atende",4,IF(O10="Parcial",2,0))</f>
        <v/>
      </c>
      <c r="S10" s="3" t="inlineStr">
        <is>
          <t>Atende</t>
        </is>
      </c>
      <c r="T10" s="5" t="inlineStr">
        <is>
          <t>1</t>
        </is>
      </c>
      <c r="U10" s="6" t="inlineStr">
        <is>
          <t>Art. 7º, §6º, I.</t>
        </is>
      </c>
      <c r="V10" s="3">
        <f>IF(S10="Atende",2,IF(S10="Parcial",1,0))</f>
        <v/>
      </c>
      <c r="W10" s="3" t="inlineStr">
        <is>
          <t>Atende</t>
        </is>
      </c>
      <c r="X10" s="5" t="inlineStr">
        <is>
          <t>1</t>
        </is>
      </c>
      <c r="Y10" s="6" t="inlineStr">
        <is>
          <t>Art. 7º, §6º, I — impressora multifuncional; scanner autônomo não é citado expressamente.</t>
        </is>
      </c>
      <c r="Z10" s="3">
        <f>IF(W10="Atende",2,IF(W10="Parcial",1,0))</f>
        <v/>
      </c>
      <c r="AA10" s="3" t="inlineStr">
        <is>
          <t>Atende</t>
        </is>
      </c>
      <c r="AB10" s="5" t="inlineStr">
        <is>
          <t>2</t>
        </is>
      </c>
      <c r="AC10" s="6" t="inlineStr">
        <is>
          <t>Art. 7º, §6º, IV.</t>
        </is>
      </c>
      <c r="AD10" s="3">
        <f>IF(AA10="Atende",2,IF(AA10="Parcial",1,0))</f>
        <v/>
      </c>
      <c r="AE10" s="3">
        <f>SUM(F10,J10,N10,R10,V10,Z10,AD10)</f>
        <v/>
      </c>
      <c r="AF10" s="3" t="inlineStr">
        <is>
          <t>Doc. SEI 37070578</t>
        </is>
      </c>
    </row>
    <row r="11" ht="60" customHeight="1">
      <c r="A11" s="3" t="inlineStr">
        <is>
          <t>BA</t>
        </is>
      </c>
      <c r="B11" s="3" t="inlineStr">
        <is>
          <t>Bahia</t>
        </is>
      </c>
      <c r="C11" s="3" t="inlineStr">
        <is>
          <t>Atende</t>
        </is>
      </c>
      <c r="D11" s="5" t="inlineStr">
        <is>
          <t>Utiliza apenas outro sistema eletrônico de ouvidoria (estadual ou próprio do órgão);</t>
        </is>
      </c>
      <c r="E11" s="6" t="inlineStr">
        <is>
          <t>Art. 4º, V; art. 7º, §2º, III; §4º, II; §5º.</t>
        </is>
      </c>
      <c r="F11" s="3">
        <f>IF(C11="Atende",5,IF(C11="Parcial",2.5,0))</f>
        <v/>
      </c>
      <c r="G11" s="3" t="inlineStr">
        <is>
          <t>Atende</t>
        </is>
      </c>
      <c r="H11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11" s="6" t="inlineStr">
        <is>
          <t>Art. 11; art. 13, II.</t>
        </is>
      </c>
      <c r="J11" s="3">
        <f>IF(G11="Atende",5,IF(G11="Parcial",2.5,0))</f>
        <v/>
      </c>
      <c r="K11" s="3" t="inlineStr">
        <is>
          <t>Atende</t>
        </is>
      </c>
      <c r="L11" s="5" t="inlineStr">
        <is>
          <t>Antivírus institucional instalado nas estações de trabalho;Rotina de backup periódico dos dados da Ouvidoria;Acesso restrito a pastas/sistemas que contenham manifestações;Política interna ou instruções sobre tratamento de dados pessoais;</t>
        </is>
      </c>
      <c r="M11" s="6" t="inlineStr">
        <is>
          <t>Art. 4º, §2º; art. 7º, §4º, II e III; §5º.</t>
        </is>
      </c>
      <c r="N11" s="3">
        <f>IF(K11="Atende",5,IF(K11="Parcial",2.5,0))</f>
        <v/>
      </c>
      <c r="O11" s="3" t="inlineStr">
        <is>
          <t>Não atende</t>
        </is>
      </c>
      <c r="P11" s="5" t="inlineStr">
        <is>
          <t>2</t>
        </is>
      </c>
      <c r="Q11" s="6" t="inlineStr">
        <is>
          <t>Art. 7º, §4º, I.</t>
        </is>
      </c>
      <c r="R11" s="3">
        <f>IF(O11="Atende",4,IF(O11="Parcial",2,0))</f>
        <v/>
      </c>
      <c r="S11" s="3" t="inlineStr">
        <is>
          <t>Não atende</t>
        </is>
      </c>
      <c r="T11" s="5" t="inlineStr">
        <is>
          <t>1</t>
        </is>
      </c>
      <c r="U11" s="6" t="inlineStr">
        <is>
          <t>Art. 7º, §6º, I.</t>
        </is>
      </c>
      <c r="V11" s="3">
        <f>IF(S11="Atende",2,IF(S11="Parcial",1,0))</f>
        <v/>
      </c>
      <c r="W11" s="3" t="inlineStr">
        <is>
          <t>Não atende</t>
        </is>
      </c>
      <c r="X11" s="5" t="inlineStr">
        <is>
          <t>1</t>
        </is>
      </c>
      <c r="Y11" s="6" t="inlineStr">
        <is>
          <t>Art. 7º, §6º, I — impressora multifuncional; scanner autônomo não é citado expressamente.</t>
        </is>
      </c>
      <c r="Z11" s="3">
        <f>IF(W11="Atende",2,IF(W11="Parcial",1,0))</f>
        <v/>
      </c>
      <c r="AA11" s="3" t="inlineStr">
        <is>
          <t>Atende</t>
        </is>
      </c>
      <c r="AB11" s="5" t="inlineStr">
        <is>
          <t>0</t>
        </is>
      </c>
      <c r="AC11" s="6" t="inlineStr">
        <is>
          <t>Art. 7º, §6º, IV.</t>
        </is>
      </c>
      <c r="AD11" s="3">
        <f>IF(AA11="Atende",2,IF(AA11="Parcial",1,0))</f>
        <v/>
      </c>
      <c r="AE11" s="3">
        <f>SUM(F11,J11,N11,R11,V11,Z11,AD11)</f>
        <v/>
      </c>
      <c r="AF11" s="3" t="inlineStr">
        <is>
          <t>Doc. SEI 37070578</t>
        </is>
      </c>
    </row>
    <row r="12" ht="72" customHeight="1">
      <c r="A12" s="3" t="inlineStr">
        <is>
          <t>CE</t>
        </is>
      </c>
      <c r="B12" s="3" t="inlineStr">
        <is>
          <t>Ceará</t>
        </is>
      </c>
      <c r="C12" s="3" t="inlineStr">
        <is>
          <t>Atende</t>
        </is>
      </c>
      <c r="D12" s="5" t="inlineStr">
        <is>
          <t>Utiliza apenas outro sistema eletrônico de ouvidoria (estadual ou próprio do órgão);</t>
        </is>
      </c>
      <c r="E12" s="6" t="inlineStr">
        <is>
          <t>Art. 4º, V; art. 7º, §2º, III; §4º, II; §5º.</t>
        </is>
      </c>
      <c r="F12" s="3">
        <f>IF(C12="Atende",5,IF(C12="Parcial",2.5,0))</f>
        <v/>
      </c>
      <c r="G12" s="3" t="inlineStr">
        <is>
          <t>Atende</t>
        </is>
      </c>
      <c r="H12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12" s="6" t="inlineStr">
        <is>
          <t>Art. 11; art. 13, II.</t>
        </is>
      </c>
      <c r="J12" s="3">
        <f>IF(G12="Atende",5,IF(G12="Parcial",2.5,0))</f>
        <v/>
      </c>
      <c r="K12" s="3" t="inlineStr">
        <is>
          <t>Atende</t>
        </is>
      </c>
      <c r="L12" s="5" t="inlineStr">
        <is>
      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      </is>
      </c>
      <c r="M12" s="6" t="inlineStr">
        <is>
          <t>Art. 4º, §2º; art. 7º, §4º, II e III; §5º.</t>
        </is>
      </c>
      <c r="N12" s="3">
        <f>IF(K12="Atende",5,IF(K12="Parcial",2.5,0))</f>
        <v/>
      </c>
      <c r="O12" s="3" t="inlineStr">
        <is>
          <t>Atende</t>
        </is>
      </c>
      <c r="P12" s="5" t="inlineStr">
        <is>
          <t>5</t>
        </is>
      </c>
      <c r="Q12" s="6" t="inlineStr">
        <is>
          <t>Art. 7º, §4º, I.</t>
        </is>
      </c>
      <c r="R12" s="3">
        <f>IF(O12="Atende",4,IF(O12="Parcial",2,0))</f>
        <v/>
      </c>
      <c r="S12" s="3" t="inlineStr">
        <is>
          <t>Atende</t>
        </is>
      </c>
      <c r="T12" s="5" t="inlineStr">
        <is>
          <t>1</t>
        </is>
      </c>
      <c r="U12" s="6" t="inlineStr">
        <is>
          <t>Art. 7º, §6º, I.</t>
        </is>
      </c>
      <c r="V12" s="3">
        <f>IF(S12="Atende",2,IF(S12="Parcial",1,0))</f>
        <v/>
      </c>
      <c r="W12" s="3" t="inlineStr">
        <is>
          <t>Atende</t>
        </is>
      </c>
      <c r="X12" s="5" t="inlineStr">
        <is>
          <t>0</t>
        </is>
      </c>
      <c r="Y12" s="6" t="inlineStr">
        <is>
          <t>Art. 7º, §6º, I — impressora multifuncional; scanner autônomo não é citado expressamente.</t>
        </is>
      </c>
      <c r="Z12" s="3">
        <f>IF(W12="Atende",2,IF(W12="Parcial",1,0))</f>
        <v/>
      </c>
      <c r="AA12" s="3" t="inlineStr">
        <is>
          <t>Atende</t>
        </is>
      </c>
      <c r="AB12" s="5" t="inlineStr">
        <is>
          <t>2</t>
        </is>
      </c>
      <c r="AC12" s="6" t="inlineStr">
        <is>
          <t>Art. 7º, §6º, IV.</t>
        </is>
      </c>
      <c r="AD12" s="3">
        <f>IF(AA12="Atende",2,IF(AA12="Parcial",1,0))</f>
        <v/>
      </c>
      <c r="AE12" s="3">
        <f>SUM(F12,J12,N12,R12,V12,Z12,AD12)</f>
        <v/>
      </c>
      <c r="AF12" s="3" t="inlineStr">
        <is>
          <t>Doc. SEI 37070578</t>
        </is>
      </c>
    </row>
    <row r="13" ht="72" customHeight="1">
      <c r="A13" s="3" t="inlineStr">
        <is>
          <t>DF</t>
        </is>
      </c>
      <c r="B13" s="3" t="inlineStr">
        <is>
          <t>Distrito Federal</t>
        </is>
      </c>
      <c r="C13" s="3" t="inlineStr">
        <is>
          <t>Atende</t>
        </is>
      </c>
      <c r="D13" s="5" t="inlineStr">
        <is>
          <t>Utiliza apenas outro sistema eletrônico de ouvidoria (estadual ou próprio do órgão);</t>
        </is>
      </c>
      <c r="E13" s="6" t="inlineStr">
        <is>
          <t>Art. 4º, V; art. 7º, §2º, III; §4º, II; §5º.</t>
        </is>
      </c>
      <c r="F13" s="3">
        <f>IF(C13="Atende",5,IF(C13="Parcial",2.5,0))</f>
        <v/>
      </c>
      <c r="G13" s="3" t="inlineStr">
        <is>
          <t>Atende</t>
        </is>
      </c>
      <c r="H13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13" s="6" t="inlineStr">
        <is>
          <t>Art. 11; art. 13, II.</t>
        </is>
      </c>
      <c r="J13" s="3">
        <f>IF(G13="Atende",5,IF(G13="Parcial",2.5,0))</f>
        <v/>
      </c>
      <c r="K13" s="3" t="inlineStr">
        <is>
          <t>Atende</t>
        </is>
      </c>
      <c r="L13" s="5" t="inlineStr">
        <is>
      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      </is>
      </c>
      <c r="M13" s="6" t="inlineStr">
        <is>
          <t>Art. 4º, §2º; art. 7º, §4º, II e III; §5º.</t>
        </is>
      </c>
      <c r="N13" s="3">
        <f>IF(K13="Atende",5,IF(K13="Parcial",2.5,0))</f>
        <v/>
      </c>
      <c r="O13" s="3" t="inlineStr">
        <is>
          <t>Atende</t>
        </is>
      </c>
      <c r="P13" s="5" t="inlineStr">
        <is>
          <t>5</t>
        </is>
      </c>
      <c r="Q13" s="6" t="inlineStr">
        <is>
          <t>Art. 7º, §4º, I.</t>
        </is>
      </c>
      <c r="R13" s="3">
        <f>IF(O13="Atende",4,IF(O13="Parcial",2,0))</f>
        <v/>
      </c>
      <c r="S13" s="3" t="inlineStr">
        <is>
          <t>Atende</t>
        </is>
      </c>
      <c r="T13" s="5" t="inlineStr">
        <is>
          <t>2</t>
        </is>
      </c>
      <c r="U13" s="6" t="inlineStr">
        <is>
          <t>Art. 7º, §6º, I.</t>
        </is>
      </c>
      <c r="V13" s="3">
        <f>IF(S13="Atende",2,IF(S13="Parcial",1,0))</f>
        <v/>
      </c>
      <c r="W13" s="3" t="inlineStr">
        <is>
          <t>Atende</t>
        </is>
      </c>
      <c r="X13" s="5" t="inlineStr">
        <is>
          <t>0</t>
        </is>
      </c>
      <c r="Y13" s="6" t="inlineStr">
        <is>
          <t>Art. 7º, §6º, I — impressora multifuncional; scanner autônomo não é citado expressamente.</t>
        </is>
      </c>
      <c r="Z13" s="3">
        <f>IF(W13="Atende",2,IF(W13="Parcial",1,0))</f>
        <v/>
      </c>
      <c r="AA13" s="3" t="inlineStr">
        <is>
          <t>Atende</t>
        </is>
      </c>
      <c r="AB13" s="5" t="inlineStr">
        <is>
          <t>1</t>
        </is>
      </c>
      <c r="AC13" s="6" t="inlineStr">
        <is>
          <t>Art. 7º, §6º, IV.</t>
        </is>
      </c>
      <c r="AD13" s="3">
        <f>IF(AA13="Atende",2,IF(AA13="Parcial",1,0))</f>
        <v/>
      </c>
      <c r="AE13" s="3">
        <f>SUM(F13,J13,N13,R13,V13,Z13,AD13)</f>
        <v/>
      </c>
      <c r="AF13" s="3" t="inlineStr">
        <is>
          <t>Doc. SEI 37070578</t>
        </is>
      </c>
    </row>
    <row r="14" ht="72" customHeight="1">
      <c r="A14" s="3" t="inlineStr">
        <is>
          <t>ES</t>
        </is>
      </c>
      <c r="B14" s="3" t="inlineStr">
        <is>
          <t>Espírito Santo — Polícia Penal</t>
        </is>
      </c>
      <c r="C14" s="3" t="inlineStr">
        <is>
          <t>Atende</t>
        </is>
      </c>
      <c r="D14" s="5" t="inlineStr">
        <is>
          <t>Utiliza apenas outro sistema eletrônico de ouvidoria (estadual ou próprio do órgão);</t>
        </is>
      </c>
      <c r="E14" s="6" t="inlineStr">
        <is>
          <t>Art. 4º, V; art. 7º, §2º, III; §4º, II; §5º.</t>
        </is>
      </c>
      <c r="F14" s="3">
        <f>IF(C14="Atende",5,IF(C14="Parcial",2.5,0))</f>
        <v/>
      </c>
      <c r="G14" s="3" t="inlineStr">
        <is>
          <t>Atende</t>
        </is>
      </c>
      <c r="H14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14" s="6" t="inlineStr">
        <is>
          <t>Art. 11; art. 13, II.</t>
        </is>
      </c>
      <c r="J14" s="3">
        <f>IF(G14="Atende",5,IF(G14="Parcial",2.5,0))</f>
        <v/>
      </c>
      <c r="K14" s="3" t="inlineStr">
        <is>
          <t>Atende</t>
        </is>
      </c>
      <c r="L14" s="5" t="inlineStr">
        <is>
      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      </is>
      </c>
      <c r="M14" s="6" t="inlineStr">
        <is>
          <t>Art. 4º, §2º; art. 7º, §4º, II e III; §5º.</t>
        </is>
      </c>
      <c r="N14" s="3">
        <f>IF(K14="Atende",5,IF(K14="Parcial",2.5,0))</f>
        <v/>
      </c>
      <c r="O14" s="3" t="inlineStr">
        <is>
          <t>Atende</t>
        </is>
      </c>
      <c r="P14" s="5" t="inlineStr">
        <is>
          <t>3</t>
        </is>
      </c>
      <c r="Q14" s="6" t="inlineStr">
        <is>
          <t>Art. 7º, §4º, I.</t>
        </is>
      </c>
      <c r="R14" s="3">
        <f>IF(O14="Atende",4,IF(O14="Parcial",2,0))</f>
        <v/>
      </c>
      <c r="S14" s="3" t="inlineStr">
        <is>
          <t>Atende</t>
        </is>
      </c>
      <c r="T14" s="5" t="inlineStr">
        <is>
          <t>3</t>
        </is>
      </c>
      <c r="U14" s="6" t="inlineStr">
        <is>
          <t>Art. 7º, §6º, I.</t>
        </is>
      </c>
      <c r="V14" s="3">
        <f>IF(S14="Atende",2,IF(S14="Parcial",1,0))</f>
        <v/>
      </c>
      <c r="W14" s="3" t="inlineStr">
        <is>
          <t>Atende</t>
        </is>
      </c>
      <c r="X14" s="5" t="inlineStr">
        <is>
          <t>3</t>
        </is>
      </c>
      <c r="Y14" s="6" t="inlineStr">
        <is>
          <t>Art. 7º, §6º, I — impressora multifuncional; scanner autônomo não é citado expressamente.</t>
        </is>
      </c>
      <c r="Z14" s="3">
        <f>IF(W14="Atende",2,IF(W14="Parcial",1,0))</f>
        <v/>
      </c>
      <c r="AA14" s="3" t="inlineStr">
        <is>
          <t>Atende</t>
        </is>
      </c>
      <c r="AB14" s="5" t="inlineStr">
        <is>
          <t>2</t>
        </is>
      </c>
      <c r="AC14" s="6" t="inlineStr">
        <is>
          <t>Art. 7º, §6º, IV.</t>
        </is>
      </c>
      <c r="AD14" s="3">
        <f>IF(AA14="Atende",2,IF(AA14="Parcial",1,0))</f>
        <v/>
      </c>
      <c r="AE14" s="3">
        <f>SUM(F14,J14,N14,R14,V14,Z14,AD14)</f>
        <v/>
      </c>
      <c r="AF14" s="3" t="inlineStr">
        <is>
          <t>Doc. SEI 37070578</t>
        </is>
      </c>
    </row>
    <row r="15" ht="72" customHeight="1">
      <c r="A15" s="3" t="inlineStr">
        <is>
          <t>ES</t>
        </is>
      </c>
      <c r="B15" s="3" t="inlineStr">
        <is>
          <t>Espírito Santo — SEJUS/ES</t>
        </is>
      </c>
      <c r="C15" s="3" t="inlineStr">
        <is>
          <t>Atende</t>
        </is>
      </c>
      <c r="D15" s="5" t="inlineStr">
        <is>
          <t>Utiliza apenas outro sistema eletrônico de ouvidoria (estadual ou próprio do órgão);</t>
        </is>
      </c>
      <c r="E15" s="6" t="inlineStr">
        <is>
          <t>Art. 4º, V; art. 7º, §2º, III; §4º, II; §5º.</t>
        </is>
      </c>
      <c r="F15" s="3">
        <f>IF(C15="Atende",5,IF(C15="Parcial",2.5,0))</f>
        <v/>
      </c>
      <c r="G15" s="3" t="inlineStr">
        <is>
          <t>Atende</t>
        </is>
      </c>
      <c r="H15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15" s="6" t="inlineStr">
        <is>
          <t>Art. 11; art. 13, II.</t>
        </is>
      </c>
      <c r="J15" s="3">
        <f>IF(G15="Atende",5,IF(G15="Parcial",2.5,0))</f>
        <v/>
      </c>
      <c r="K15" s="3" t="inlineStr">
        <is>
          <t>Atende</t>
        </is>
      </c>
      <c r="L15" s="5" t="inlineStr">
        <is>
      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      </is>
      </c>
      <c r="M15" s="6" t="inlineStr">
        <is>
          <t>Art. 4º, §2º; art. 7º, §4º, II e III; §5º.</t>
        </is>
      </c>
      <c r="N15" s="3">
        <f>IF(K15="Atende",5,IF(K15="Parcial",2.5,0))</f>
        <v/>
      </c>
      <c r="O15" s="3" t="inlineStr">
        <is>
          <t>Atende</t>
        </is>
      </c>
      <c r="P15" s="5" t="inlineStr">
        <is>
          <t>4</t>
        </is>
      </c>
      <c r="Q15" s="6" t="inlineStr">
        <is>
          <t>Art. 7º, §4º, I.</t>
        </is>
      </c>
      <c r="R15" s="3">
        <f>IF(O15="Atende",4,IF(O15="Parcial",2,0))</f>
        <v/>
      </c>
      <c r="S15" s="3" t="inlineStr">
        <is>
          <t>Atende</t>
        </is>
      </c>
      <c r="T15" s="5" t="inlineStr">
        <is>
          <t>1</t>
        </is>
      </c>
      <c r="U15" s="6" t="inlineStr">
        <is>
          <t>Art. 7º, §6º, I.</t>
        </is>
      </c>
      <c r="V15" s="3">
        <f>IF(S15="Atende",2,IF(S15="Parcial",1,0))</f>
        <v/>
      </c>
      <c r="W15" s="3" t="inlineStr">
        <is>
          <t>Atende</t>
        </is>
      </c>
      <c r="X15" s="5" t="inlineStr">
        <is>
          <t>1</t>
        </is>
      </c>
      <c r="Y15" s="6" t="inlineStr">
        <is>
          <t>Art. 7º, §6º, I — impressora multifuncional; scanner autônomo não é citado expressamente.</t>
        </is>
      </c>
      <c r="Z15" s="3">
        <f>IF(W15="Atende",2,IF(W15="Parcial",1,0))</f>
        <v/>
      </c>
      <c r="AA15" s="3" t="inlineStr">
        <is>
          <t>Atende</t>
        </is>
      </c>
      <c r="AB15" s="5" t="inlineStr">
        <is>
          <t>1</t>
        </is>
      </c>
      <c r="AC15" s="6" t="inlineStr">
        <is>
          <t>Art. 7º, §6º, IV.</t>
        </is>
      </c>
      <c r="AD15" s="3">
        <f>IF(AA15="Atende",2,IF(AA15="Parcial",1,0))</f>
        <v/>
      </c>
      <c r="AE15" s="3">
        <f>SUM(F15,J15,N15,R15,V15,Z15,AD15)</f>
        <v/>
      </c>
      <c r="AF15" s="3" t="inlineStr">
        <is>
          <t>Doc. SEI 37070578</t>
        </is>
      </c>
    </row>
    <row r="16" ht="72" customHeight="1">
      <c r="A16" s="3" t="inlineStr">
        <is>
          <t>GO</t>
        </is>
      </c>
      <c r="B16" s="3" t="inlineStr">
        <is>
          <t>Goiás</t>
        </is>
      </c>
      <c r="C16" s="3" t="inlineStr">
        <is>
          <t>Atende</t>
        </is>
      </c>
      <c r="D16" s="5" t="inlineStr">
        <is>
          <t>Não possui canal próprio na Fala.BR, mas utiliza o canal Fala.BR da Ouvidoria-Geral do Estado ou outra ouvidoria central;Utiliza apenas outro sistema eletrônico de ouvidoria (estadual ou próprio do órgão);</t>
        </is>
      </c>
      <c r="E16" s="6" t="inlineStr">
        <is>
          <t>Art. 4º, V; art. 7º, §2º, III; §4º, II; §5º.</t>
        </is>
      </c>
      <c r="F16" s="3">
        <f>IF(C16="Atende",5,IF(C16="Parcial",2.5,0))</f>
        <v/>
      </c>
      <c r="G16" s="3" t="inlineStr">
        <is>
          <t>Atende</t>
        </is>
      </c>
      <c r="H16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16" s="6" t="inlineStr">
        <is>
          <t>Art. 11; art. 13, II.</t>
        </is>
      </c>
      <c r="J16" s="3">
        <f>IF(G16="Atende",5,IF(G16="Parcial",2.5,0))</f>
        <v/>
      </c>
      <c r="K16" s="3" t="inlineStr">
        <is>
          <t>Atende</t>
        </is>
      </c>
      <c r="L16" s="5" t="inlineStr">
        <is>
          <t>Antivírus institucional instalado nas estações de trabalho;Acesso restrito a pastas/sistemas que contenham manifestações;Mecanismos de autenticação e controle de acesso aos dados;Rotina de backup periódico dos dados da Ouvidoria;Política interna ou instruções sobre tratamento de dados pessoais;</t>
        </is>
      </c>
      <c r="M16" s="6" t="inlineStr">
        <is>
          <t>Art. 4º, §2º; art. 7º, §4º, II e III; §5º.</t>
        </is>
      </c>
      <c r="N16" s="3">
        <f>IF(K16="Atende",5,IF(K16="Parcial",2.5,0))</f>
        <v/>
      </c>
      <c r="O16" s="3" t="inlineStr">
        <is>
          <t>Atende</t>
        </is>
      </c>
      <c r="P16" s="5" t="inlineStr">
        <is>
          <t>9</t>
        </is>
      </c>
      <c r="Q16" s="6" t="inlineStr">
        <is>
          <t>Art. 7º, §4º, I.</t>
        </is>
      </c>
      <c r="R16" s="3">
        <f>IF(O16="Atende",4,IF(O16="Parcial",2,0))</f>
        <v/>
      </c>
      <c r="S16" s="3" t="inlineStr">
        <is>
          <t>Atende</t>
        </is>
      </c>
      <c r="T16" s="5" t="inlineStr">
        <is>
          <t>1</t>
        </is>
      </c>
      <c r="U16" s="6" t="inlineStr">
        <is>
          <t>Art. 7º, §6º, I.</t>
        </is>
      </c>
      <c r="V16" s="3">
        <f>IF(S16="Atende",2,IF(S16="Parcial",1,0))</f>
        <v/>
      </c>
      <c r="W16" s="3" t="inlineStr">
        <is>
          <t>Atende</t>
        </is>
      </c>
      <c r="X16" s="5" t="inlineStr">
        <is>
          <t>1</t>
        </is>
      </c>
      <c r="Y16" s="6" t="inlineStr">
        <is>
          <t>Art. 7º, §6º, I — impressora multifuncional; scanner autônomo não é citado expressamente.</t>
        </is>
      </c>
      <c r="Z16" s="3">
        <f>IF(W16="Atende",2,IF(W16="Parcial",1,0))</f>
        <v/>
      </c>
      <c r="AA16" s="3" t="inlineStr">
        <is>
          <t>Atende</t>
        </is>
      </c>
      <c r="AB16" s="5" t="inlineStr">
        <is>
          <t>1</t>
        </is>
      </c>
      <c r="AC16" s="6" t="inlineStr">
        <is>
          <t>Art. 7º, §6º, IV.</t>
        </is>
      </c>
      <c r="AD16" s="3">
        <f>IF(AA16="Atende",2,IF(AA16="Parcial",1,0))</f>
        <v/>
      </c>
      <c r="AE16" s="3">
        <f>SUM(F16,J16,N16,R16,V16,Z16,AD16)</f>
        <v/>
      </c>
      <c r="AF16" s="3" t="inlineStr">
        <is>
          <t>Doc. SEI 37070578</t>
        </is>
      </c>
    </row>
    <row r="17" ht="60" customHeight="1">
      <c r="A17" s="3" t="inlineStr">
        <is>
          <t>MA</t>
        </is>
      </c>
      <c r="B17" s="3" t="inlineStr">
        <is>
          <t>Maranhão</t>
        </is>
      </c>
      <c r="C17" s="3" t="inlineStr">
        <is>
          <t>Atende</t>
        </is>
      </c>
      <c r="D17" s="5" t="inlineStr">
        <is>
          <t>Utiliza apenas outro sistema eletrônico de ouvidoria (estadual ou próprio do órgão);</t>
        </is>
      </c>
      <c r="E17" s="6" t="inlineStr">
        <is>
          <t>Art. 4º, V; art. 7º, §2º, III; §4º, II; §5º.</t>
        </is>
      </c>
      <c r="F17" s="3">
        <f>IF(C17="Atende",5,IF(C17="Parcial",2.5,0))</f>
        <v/>
      </c>
      <c r="G17" s="3" t="inlineStr">
        <is>
          <t>Atende</t>
        </is>
      </c>
      <c r="H17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17" s="6" t="inlineStr">
        <is>
          <t>Art. 11; art. 13, II.</t>
        </is>
      </c>
      <c r="J17" s="3">
        <f>IF(G17="Atende",5,IF(G17="Parcial",2.5,0))</f>
        <v/>
      </c>
      <c r="K17" s="3" t="inlineStr">
        <is>
          <t>Atende</t>
        </is>
      </c>
      <c r="L17" s="5" t="inlineStr">
        <is>
          <t>Antivírus institucional instalado nas estações de trabalho;Mecanismos de autenticação e controle de acesso aos dados;Acesso restrito a pastas/sistemas que contenham manifestações;Política interna ou instruções sobre tratamento de dados pessoais;</t>
        </is>
      </c>
      <c r="M17" s="6" t="inlineStr">
        <is>
          <t>Art. 4º, §2º; art. 7º, §4º, II e III; §5º.</t>
        </is>
      </c>
      <c r="N17" s="3">
        <f>IF(K17="Atende",5,IF(K17="Parcial",2.5,0))</f>
        <v/>
      </c>
      <c r="O17" s="3" t="inlineStr">
        <is>
          <t>Atende</t>
        </is>
      </c>
      <c r="P17" s="5" t="inlineStr">
        <is>
          <t>5</t>
        </is>
      </c>
      <c r="Q17" s="6" t="inlineStr">
        <is>
          <t>Art. 7º, §4º, I.</t>
        </is>
      </c>
      <c r="R17" s="3">
        <f>IF(O17="Atende",4,IF(O17="Parcial",2,0))</f>
        <v/>
      </c>
      <c r="S17" s="3" t="inlineStr">
        <is>
          <t>Não atende</t>
        </is>
      </c>
      <c r="T17" s="5" t="inlineStr">
        <is>
          <t>1</t>
        </is>
      </c>
      <c r="U17" s="6" t="inlineStr">
        <is>
          <t>Art. 7º, §6º, I.</t>
        </is>
      </c>
      <c r="V17" s="3">
        <f>IF(S17="Atende",2,IF(S17="Parcial",1,0))</f>
        <v/>
      </c>
      <c r="W17" s="3" t="inlineStr">
        <is>
          <t>Não atende</t>
        </is>
      </c>
      <c r="X17" s="5" t="inlineStr">
        <is>
          <t>1</t>
        </is>
      </c>
      <c r="Y17" s="6" t="inlineStr">
        <is>
          <t>Art. 7º, §6º, I — impressora multifuncional; scanner autônomo não é citado expressamente.</t>
        </is>
      </c>
      <c r="Z17" s="3">
        <f>IF(W17="Atende",2,IF(W17="Parcial",1,0))</f>
        <v/>
      </c>
      <c r="AA17" s="3" t="inlineStr">
        <is>
          <t>Atende</t>
        </is>
      </c>
      <c r="AB17" s="5" t="inlineStr">
        <is>
          <t>1</t>
        </is>
      </c>
      <c r="AC17" s="6" t="inlineStr">
        <is>
          <t>Art. 7º, §6º, IV.</t>
        </is>
      </c>
      <c r="AD17" s="3">
        <f>IF(AA17="Atende",2,IF(AA17="Parcial",1,0))</f>
        <v/>
      </c>
      <c r="AE17" s="3">
        <f>SUM(F17,J17,N17,R17,V17,Z17,AD17)</f>
        <v/>
      </c>
      <c r="AF17" s="3" t="inlineStr">
        <is>
          <t>Doc. SEI 37070578</t>
        </is>
      </c>
    </row>
    <row r="18" ht="48" customHeight="1">
      <c r="A18" s="3" t="inlineStr">
        <is>
          <t>MT</t>
        </is>
      </c>
      <c r="B18" s="3" t="inlineStr">
        <is>
          <t>Mato Grosso</t>
        </is>
      </c>
      <c r="C18" s="3" t="inlineStr">
        <is>
          <t>Atende</t>
        </is>
      </c>
      <c r="D18" s="5" t="inlineStr">
        <is>
          <t>Possui canal próprio na Plataforma Fala.BR (CGU);</t>
        </is>
      </c>
      <c r="E18" s="6" t="inlineStr">
        <is>
          <t>Art. 4º, V; art. 7º, §2º, III; §4º, II; §5º.</t>
        </is>
      </c>
      <c r="F18" s="3">
        <f>IF(C18="Atende",5,IF(C18="Parcial",2.5,0))</f>
        <v/>
      </c>
      <c r="G18" s="3" t="inlineStr">
        <is>
          <t>Atende</t>
        </is>
      </c>
      <c r="H18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18" s="6" t="inlineStr">
        <is>
          <t>Art. 11; art. 13, II.</t>
        </is>
      </c>
      <c r="J18" s="3">
        <f>IF(G18="Atende",5,IF(G18="Parcial",2.5,0))</f>
        <v/>
      </c>
      <c r="K18" s="3" t="inlineStr">
        <is>
          <t>Atende</t>
        </is>
      </c>
      <c r="L18" s="5" t="inlineStr">
        <is>
          <t>Acesso restrito a pastas/sistemas que contenham manifestações;</t>
        </is>
      </c>
      <c r="M18" s="6" t="inlineStr">
        <is>
          <t>Art. 4º, §2º; art. 7º, §4º, II e III; §5º.</t>
        </is>
      </c>
      <c r="N18" s="3">
        <f>IF(K18="Atende",5,IF(K18="Parcial",2.5,0))</f>
        <v/>
      </c>
      <c r="O18" s="3" t="inlineStr">
        <is>
          <t>Não atende</t>
        </is>
      </c>
      <c r="P18" s="5" t="inlineStr">
        <is>
          <t>3</t>
        </is>
      </c>
      <c r="Q18" s="6" t="inlineStr">
        <is>
          <t>Art. 7º, §4º, I.</t>
        </is>
      </c>
      <c r="R18" s="3">
        <f>IF(O18="Atende",4,IF(O18="Parcial",2,0))</f>
        <v/>
      </c>
      <c r="S18" s="3" t="inlineStr">
        <is>
          <t>Atende</t>
        </is>
      </c>
      <c r="T18" s="5" t="inlineStr">
        <is>
          <t>1</t>
        </is>
      </c>
      <c r="U18" s="6" t="inlineStr">
        <is>
          <t>Art. 7º, §6º, I.</t>
        </is>
      </c>
      <c r="V18" s="3">
        <f>IF(S18="Atende",2,IF(S18="Parcial",1,0))</f>
        <v/>
      </c>
      <c r="W18" s="3" t="inlineStr">
        <is>
          <t>Não atende</t>
        </is>
      </c>
      <c r="X18" s="5" t="inlineStr">
        <is>
          <t>0</t>
        </is>
      </c>
      <c r="Y18" s="6" t="inlineStr">
        <is>
          <t>Art. 7º, §6º, I — impressora multifuncional; scanner autônomo não é citado expressamente.</t>
        </is>
      </c>
      <c r="Z18" s="3">
        <f>IF(W18="Atende",2,IF(W18="Parcial",1,0))</f>
        <v/>
      </c>
      <c r="AA18" s="3" t="inlineStr">
        <is>
          <t>Atende</t>
        </is>
      </c>
      <c r="AB18" s="5" t="inlineStr">
        <is>
          <t>2</t>
        </is>
      </c>
      <c r="AC18" s="6" t="inlineStr">
        <is>
          <t>Art. 7º, §6º, IV.</t>
        </is>
      </c>
      <c r="AD18" s="3">
        <f>IF(AA18="Atende",2,IF(AA18="Parcial",1,0))</f>
        <v/>
      </c>
      <c r="AE18" s="3">
        <f>SUM(F18,J18,N18,R18,V18,Z18,AD18)</f>
        <v/>
      </c>
      <c r="AF18" s="3" t="inlineStr">
        <is>
          <t>Doc. SEI 37070578</t>
        </is>
      </c>
    </row>
    <row r="19" ht="72" customHeight="1">
      <c r="A19" s="3" t="inlineStr">
        <is>
          <t>MS</t>
        </is>
      </c>
      <c r="B19" s="3" t="inlineStr">
        <is>
          <t>Mato Grosso do Sul</t>
        </is>
      </c>
      <c r="C19" s="3" t="inlineStr">
        <is>
          <t>Atende</t>
        </is>
      </c>
      <c r="D19" s="5" t="inlineStr">
        <is>
          <t>Possui canal próprio na Plataforma Fala.BR (CGU);</t>
        </is>
      </c>
      <c r="E19" s="6" t="inlineStr">
        <is>
          <t>Art. 4º, V; art. 7º, §2º, III; §4º, II; §5º.</t>
        </is>
      </c>
      <c r="F19" s="3">
        <f>IF(C19="Atende",5,IF(C19="Parcial",2.5,0))</f>
        <v/>
      </c>
      <c r="G19" s="3" t="inlineStr">
        <is>
          <t>Atende</t>
        </is>
      </c>
      <c r="H19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19" s="6" t="inlineStr">
        <is>
          <t>Art. 11; art. 13, II.</t>
        </is>
      </c>
      <c r="J19" s="3">
        <f>IF(G19="Atende",5,IF(G19="Parcial",2.5,0))</f>
        <v/>
      </c>
      <c r="K19" s="3" t="inlineStr">
        <is>
          <t>Atende</t>
        </is>
      </c>
      <c r="L19" s="5" t="inlineStr">
        <is>
      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      </is>
      </c>
      <c r="M19" s="6" t="inlineStr">
        <is>
          <t>Art. 4º, §2º; art. 7º, §4º, II e III; §5º.</t>
        </is>
      </c>
      <c r="N19" s="3">
        <f>IF(K19="Atende",5,IF(K19="Parcial",2.5,0))</f>
        <v/>
      </c>
      <c r="O19" s="3" t="inlineStr">
        <is>
          <t>Atende</t>
        </is>
      </c>
      <c r="P19" s="5" t="inlineStr">
        <is>
          <t>5</t>
        </is>
      </c>
      <c r="Q19" s="6" t="inlineStr">
        <is>
          <t>Art. 7º, §4º, I.</t>
        </is>
      </c>
      <c r="R19" s="3">
        <f>IF(O19="Atende",4,IF(O19="Parcial",2,0))</f>
        <v/>
      </c>
      <c r="S19" s="3" t="inlineStr">
        <is>
          <t>Atende</t>
        </is>
      </c>
      <c r="T19" s="5" t="inlineStr">
        <is>
          <t>1</t>
        </is>
      </c>
      <c r="U19" s="6" t="inlineStr">
        <is>
          <t>Art. 7º, §6º, I.</t>
        </is>
      </c>
      <c r="V19" s="3">
        <f>IF(S19="Atende",2,IF(S19="Parcial",1,0))</f>
        <v/>
      </c>
      <c r="W19" s="3" t="inlineStr">
        <is>
          <t>Não atende</t>
        </is>
      </c>
      <c r="X19" s="5" t="inlineStr">
        <is>
          <t>0</t>
        </is>
      </c>
      <c r="Y19" s="6" t="inlineStr">
        <is>
          <t>Art. 7º, §6º, I — impressora multifuncional; scanner autônomo não é citado expressamente.</t>
        </is>
      </c>
      <c r="Z19" s="3">
        <f>IF(W19="Atende",2,IF(W19="Parcial",1,0))</f>
        <v/>
      </c>
      <c r="AA19" s="3" t="inlineStr">
        <is>
          <t>Atende</t>
        </is>
      </c>
      <c r="AB19" s="5" t="inlineStr">
        <is>
          <t>1</t>
        </is>
      </c>
      <c r="AC19" s="6" t="inlineStr">
        <is>
          <t>Art. 7º, §6º, IV.</t>
        </is>
      </c>
      <c r="AD19" s="3">
        <f>IF(AA19="Atende",2,IF(AA19="Parcial",1,0))</f>
        <v/>
      </c>
      <c r="AE19" s="3">
        <f>SUM(F19,J19,N19,R19,V19,Z19,AD19)</f>
        <v/>
      </c>
      <c r="AF19" s="3" t="inlineStr">
        <is>
          <t>Doc. SEI 37070578</t>
        </is>
      </c>
    </row>
    <row r="20" ht="72" customHeight="1">
      <c r="A20" s="3" t="inlineStr">
        <is>
          <t>MG</t>
        </is>
      </c>
      <c r="B20" s="3" t="inlineStr">
        <is>
          <t>Minas Gerais</t>
        </is>
      </c>
      <c r="C20" s="3" t="inlineStr">
        <is>
          <t>Atende</t>
        </is>
      </c>
      <c r="D20" s="5" t="inlineStr">
        <is>
          <t>Utiliza apenas outro sistema eletrônico de ouvidoria (estadual ou próprio do órgão);</t>
        </is>
      </c>
      <c r="E20" s="6" t="inlineStr">
        <is>
          <t>Art. 4º, V; art. 7º, §2º, III; §4º, II; §5º.</t>
        </is>
      </c>
      <c r="F20" s="3">
        <f>IF(C20="Atende",5,IF(C20="Parcial",2.5,0))</f>
        <v/>
      </c>
      <c r="G20" s="3" t="inlineStr">
        <is>
          <t>Atende</t>
        </is>
      </c>
      <c r="H20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20" s="6" t="inlineStr">
        <is>
          <t>Art. 11; art. 13, II.</t>
        </is>
      </c>
      <c r="J20" s="3">
        <f>IF(G20="Atende",5,IF(G20="Parcial",2.5,0))</f>
        <v/>
      </c>
      <c r="K20" s="3" t="inlineStr">
        <is>
          <t>Atende</t>
        </is>
      </c>
      <c r="L20" s="5" t="inlineStr">
        <is>
      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      </is>
      </c>
      <c r="M20" s="6" t="inlineStr">
        <is>
          <t>Art. 4º, §2º; art. 7º, §4º, II e III; §5º.</t>
        </is>
      </c>
      <c r="N20" s="3">
        <f>IF(K20="Atende",5,IF(K20="Parcial",2.5,0))</f>
        <v/>
      </c>
      <c r="O20" s="3" t="inlineStr">
        <is>
          <t>Não atende</t>
        </is>
      </c>
      <c r="P20" s="5" t="inlineStr">
        <is>
          <t>6</t>
        </is>
      </c>
      <c r="Q20" s="6" t="inlineStr">
        <is>
          <t>Art. 7º, §4º, I.</t>
        </is>
      </c>
      <c r="R20" s="3">
        <f>IF(O20="Atende",4,IF(O20="Parcial",2,0))</f>
        <v/>
      </c>
      <c r="S20" s="3" t="inlineStr">
        <is>
          <t>Não atende</t>
        </is>
      </c>
      <c r="T20" s="5" t="inlineStr">
        <is>
          <t>0</t>
        </is>
      </c>
      <c r="U20" s="6" t="inlineStr">
        <is>
          <t>Art. 7º, §6º, I.</t>
        </is>
      </c>
      <c r="V20" s="3">
        <f>IF(S20="Atende",2,IF(S20="Parcial",1,0))</f>
        <v/>
      </c>
      <c r="W20" s="3" t="inlineStr">
        <is>
          <t>Não atende</t>
        </is>
      </c>
      <c r="X20" s="5" t="inlineStr">
        <is>
          <t>0</t>
        </is>
      </c>
      <c r="Y20" s="6" t="inlineStr">
        <is>
          <t>Art. 7º, §6º, I — impressora multifuncional; scanner autônomo não é citado expressamente.</t>
        </is>
      </c>
      <c r="Z20" s="3">
        <f>IF(W20="Atende",2,IF(W20="Parcial",1,0))</f>
        <v/>
      </c>
      <c r="AA20" s="3" t="inlineStr">
        <is>
          <t>Atende</t>
        </is>
      </c>
      <c r="AB20" s="5" t="inlineStr">
        <is>
          <t>0</t>
        </is>
      </c>
      <c r="AC20" s="6" t="inlineStr">
        <is>
          <t>Art. 7º, §6º, IV.</t>
        </is>
      </c>
      <c r="AD20" s="3">
        <f>IF(AA20="Atende",2,IF(AA20="Parcial",1,0))</f>
        <v/>
      </c>
      <c r="AE20" s="3">
        <f>SUM(F20,J20,N20,R20,V20,Z20,AD20)</f>
        <v/>
      </c>
      <c r="AF20" s="3" t="inlineStr">
        <is>
          <t>Doc. SEI 37070578</t>
        </is>
      </c>
    </row>
    <row r="21" ht="72" customHeight="1">
      <c r="A21" s="3" t="inlineStr">
        <is>
          <t>PA</t>
        </is>
      </c>
      <c r="B21" s="3" t="inlineStr">
        <is>
          <t>Pará</t>
        </is>
      </c>
      <c r="C21" s="3" t="inlineStr">
        <is>
          <t>Sem evidência</t>
        </is>
      </c>
      <c r="D21" s="5" t="inlineStr">
        <is>
          <t>Não possui canal próprio na Fala.BR, mas utiliza o canal Fala.BR da Ouvidoria-Geral do Estado ou outra ouvidoria central;emails da secretaria;</t>
        </is>
      </c>
      <c r="E21" s="6" t="inlineStr">
        <is>
          <t>Art. 4º, V; art. 7º, §2º, III; §4º, II; §5º.</t>
        </is>
      </c>
      <c r="F21" s="3">
        <f>IF(C21="Atende",5,IF(C21="Parcial",2.5,0))</f>
        <v/>
      </c>
      <c r="G21" s="3" t="inlineStr">
        <is>
          <t>Sem evidência</t>
        </is>
      </c>
      <c r="H21" s="5" t="inlineStr">
        <is>
          <t>Não há Ouvidoria consituída</t>
        </is>
      </c>
      <c r="I21" s="6" t="inlineStr">
        <is>
          <t>Art. 11; art. 13, II.</t>
        </is>
      </c>
      <c r="J21" s="3">
        <f>IF(G21="Atende",5,IF(G21="Parcial",2.5,0))</f>
        <v/>
      </c>
      <c r="K21" s="3" t="inlineStr">
        <is>
          <t>Sem evidência</t>
        </is>
      </c>
      <c r="L21" s="5" t="inlineStr">
        <is>
          <t>Antivírus institucional instalado nas estações de trabalho;Rotina de backup periódico dos dados da Ouvidoria;Acesso restrito a pastas/sistemas que contenham manifestações;Política interna ou instruções sobre tratamento de dados pessoais;Mecanismos de autenticação e controle de acesso aos dados;</t>
        </is>
      </c>
      <c r="M21" s="6" t="inlineStr">
        <is>
          <t>Art. 4º, §2º; art. 7º, §4º, II e III; §5º.</t>
        </is>
      </c>
      <c r="N21" s="3">
        <f>IF(K21="Atende",5,IF(K21="Parcial",2.5,0))</f>
        <v/>
      </c>
      <c r="O21" s="3" t="inlineStr">
        <is>
          <t>Não atende</t>
        </is>
      </c>
      <c r="P21" s="5" t="inlineStr">
        <is>
          <t>0</t>
        </is>
      </c>
      <c r="Q21" s="6" t="inlineStr">
        <is>
          <t>Art. 7º, §4º, I.</t>
        </is>
      </c>
      <c r="R21" s="3">
        <f>IF(O21="Atende",4,IF(O21="Parcial",2,0))</f>
        <v/>
      </c>
      <c r="S21" s="3" t="inlineStr">
        <is>
          <t>Não atende</t>
        </is>
      </c>
      <c r="T21" s="5" t="inlineStr">
        <is>
          <t>0</t>
        </is>
      </c>
      <c r="U21" s="6" t="inlineStr">
        <is>
          <t>Art. 7º, §6º, I.</t>
        </is>
      </c>
      <c r="V21" s="3">
        <f>IF(S21="Atende",2,IF(S21="Parcial",1,0))</f>
        <v/>
      </c>
      <c r="W21" s="3" t="inlineStr">
        <is>
          <t>Não atende</t>
        </is>
      </c>
      <c r="X21" s="5" t="inlineStr">
        <is>
          <t>0</t>
        </is>
      </c>
      <c r="Y21" s="6" t="inlineStr">
        <is>
          <t>Art. 7º, §6º, I — impressora multifuncional; scanner autônomo não é citado expressamente.</t>
        </is>
      </c>
      <c r="Z21" s="3">
        <f>IF(W21="Atende",2,IF(W21="Parcial",1,0))</f>
        <v/>
      </c>
      <c r="AA21" s="3" t="inlineStr">
        <is>
          <t>Sem evidência</t>
        </is>
      </c>
      <c r="AB21" s="5" t="inlineStr">
        <is>
          <t>0</t>
        </is>
      </c>
      <c r="AC21" s="6" t="inlineStr">
        <is>
          <t>Art. 7º, §6º, IV.</t>
        </is>
      </c>
      <c r="AD21" s="3">
        <f>IF(AA21="Atende",2,IF(AA21="Parcial",1,0))</f>
        <v/>
      </c>
      <c r="AE21" s="3">
        <f>SUM(F21,J21,N21,R21,V21,Z21,AD21)</f>
        <v/>
      </c>
      <c r="AF21" s="3" t="inlineStr">
        <is>
          <t>Doc. SEI 37070578</t>
        </is>
      </c>
    </row>
    <row r="22" ht="48" customHeight="1">
      <c r="A22" s="3" t="inlineStr">
        <is>
          <t>PB</t>
        </is>
      </c>
      <c r="B22" s="3" t="inlineStr">
        <is>
          <t>Paraíba</t>
        </is>
      </c>
      <c r="C22" s="3" t="inlineStr">
        <is>
          <t>Atende</t>
        </is>
      </c>
      <c r="D22" s="5" t="inlineStr">
        <is>
          <t>Utiliza apenas outro sistema eletrônico de ouvidoria (estadual ou próprio do órgão);</t>
        </is>
      </c>
      <c r="E22" s="6" t="inlineStr">
        <is>
          <t>Art. 4º, V; art. 7º, §2º, III; §4º, II; §5º.</t>
        </is>
      </c>
      <c r="F22" s="3">
        <f>IF(C22="Atende",5,IF(C22="Parcial",2.5,0))</f>
        <v/>
      </c>
      <c r="G22" s="3" t="inlineStr">
        <is>
          <t>Atende</t>
        </is>
      </c>
      <c r="H22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22" s="6" t="inlineStr">
        <is>
          <t>Art. 11; art. 13, II.</t>
        </is>
      </c>
      <c r="J22" s="3">
        <f>IF(G22="Atende",5,IF(G22="Parcial",2.5,0))</f>
        <v/>
      </c>
      <c r="K22" s="3" t="inlineStr">
        <is>
          <t>Atende</t>
        </is>
      </c>
      <c r="L22" s="5" t="inlineStr">
        <is>
          <t>Rotina de backup periódico dos dados da Ouvidoria;Política interna ou instruções sobre tratamento de dados pessoais;</t>
        </is>
      </c>
      <c r="M22" s="6" t="inlineStr">
        <is>
          <t>Art. 4º, §2º; art. 7º, §4º, II e III; §5º.</t>
        </is>
      </c>
      <c r="N22" s="3">
        <f>IF(K22="Atende",5,IF(K22="Parcial",2.5,0))</f>
        <v/>
      </c>
      <c r="O22" s="3" t="inlineStr">
        <is>
          <t>Não atende</t>
        </is>
      </c>
      <c r="P22" s="5" t="inlineStr">
        <is>
          <t>2</t>
        </is>
      </c>
      <c r="Q22" s="6" t="inlineStr">
        <is>
          <t>Art. 7º, §4º, I.</t>
        </is>
      </c>
      <c r="R22" s="3">
        <f>IF(O22="Atende",4,IF(O22="Parcial",2,0))</f>
        <v/>
      </c>
      <c r="S22" s="3" t="inlineStr">
        <is>
          <t>Atende</t>
        </is>
      </c>
      <c r="T22" s="5" t="inlineStr">
        <is>
          <t>1</t>
        </is>
      </c>
      <c r="U22" s="6" t="inlineStr">
        <is>
          <t>Art. 7º, §6º, I.</t>
        </is>
      </c>
      <c r="V22" s="3">
        <f>IF(S22="Atende",2,IF(S22="Parcial",1,0))</f>
        <v/>
      </c>
      <c r="W22" s="3" t="inlineStr">
        <is>
          <t>Atende</t>
        </is>
      </c>
      <c r="X22" s="5" t="inlineStr">
        <is>
          <t>1</t>
        </is>
      </c>
      <c r="Y22" s="6" t="inlineStr">
        <is>
          <t>Art. 7º, §6º, I — impressora multifuncional; scanner autônomo não é citado expressamente.</t>
        </is>
      </c>
      <c r="Z22" s="3">
        <f>IF(W22="Atende",2,IF(W22="Parcial",1,0))</f>
        <v/>
      </c>
      <c r="AA22" s="3" t="inlineStr">
        <is>
          <t>Atende</t>
        </is>
      </c>
      <c r="AB22" s="5" t="inlineStr">
        <is>
          <t>1</t>
        </is>
      </c>
      <c r="AC22" s="6" t="inlineStr">
        <is>
          <t>Art. 7º, §6º, IV.</t>
        </is>
      </c>
      <c r="AD22" s="3">
        <f>IF(AA22="Atende",2,IF(AA22="Parcial",1,0))</f>
        <v/>
      </c>
      <c r="AE22" s="3">
        <f>SUM(F22,J22,N22,R22,V22,Z22,AD22)</f>
        <v/>
      </c>
      <c r="AF22" s="3" t="inlineStr">
        <is>
          <t>Doc. SEI 37070578</t>
        </is>
      </c>
    </row>
    <row r="23" ht="48" customHeight="1">
      <c r="A23" s="3" t="inlineStr">
        <is>
          <t>PR</t>
        </is>
      </c>
      <c r="B23" s="3" t="inlineStr">
        <is>
          <t>Paraná</t>
        </is>
      </c>
      <c r="C23" s="3" t="inlineStr">
        <is>
          <t>Atende</t>
        </is>
      </c>
      <c r="D23" s="5" t="inlineStr">
        <is>
          <t>Utiliza apenas outro sistema eletrônico de ouvidoria (estadual ou próprio do órgão);</t>
        </is>
      </c>
      <c r="E23" s="6" t="inlineStr">
        <is>
          <t>Art. 4º, V; art. 7º, §2º, III; §4º, II; §5º.</t>
        </is>
      </c>
      <c r="F23" s="3">
        <f>IF(C23="Atende",5,IF(C23="Parcial",2.5,0))</f>
        <v/>
      </c>
      <c r="G23" s="3" t="inlineStr">
        <is>
          <t>Atende</t>
        </is>
      </c>
      <c r="H23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23" s="6" t="inlineStr">
        <is>
          <t>Art. 11; art. 13, II.</t>
        </is>
      </c>
      <c r="J23" s="3">
        <f>IF(G23="Atende",5,IF(G23="Parcial",2.5,0))</f>
        <v/>
      </c>
      <c r="K23" s="3" t="inlineStr">
        <is>
          <t>Atende</t>
        </is>
      </c>
      <c r="L23" s="5" t="inlineStr">
        <is>
          <t>Mecanismos de autenticação e controle de acesso aos dados;Acesso restrito a pastas/sistemas que contenham manifestações;</t>
        </is>
      </c>
      <c r="M23" s="6" t="inlineStr">
        <is>
          <t>Art. 4º, §2º; art. 7º, §4º, II e III; §5º.</t>
        </is>
      </c>
      <c r="N23" s="3">
        <f>IF(K23="Atende",5,IF(K23="Parcial",2.5,0))</f>
        <v/>
      </c>
      <c r="O23" s="3" t="inlineStr">
        <is>
          <t>Atende</t>
        </is>
      </c>
      <c r="P23" s="5" t="inlineStr">
        <is>
          <t>3</t>
        </is>
      </c>
      <c r="Q23" s="6" t="inlineStr">
        <is>
          <t>Art. 7º, §4º, I.</t>
        </is>
      </c>
      <c r="R23" s="3">
        <f>IF(O23="Atende",4,IF(O23="Parcial",2,0))</f>
        <v/>
      </c>
      <c r="S23" s="3" t="inlineStr">
        <is>
          <t>Atende</t>
        </is>
      </c>
      <c r="T23" s="5" t="inlineStr">
        <is>
          <t>1</t>
        </is>
      </c>
      <c r="U23" s="6" t="inlineStr">
        <is>
          <t>Art. 7º, §6º, I.</t>
        </is>
      </c>
      <c r="V23" s="3">
        <f>IF(S23="Atende",2,IF(S23="Parcial",1,0))</f>
        <v/>
      </c>
      <c r="W23" s="3" t="inlineStr">
        <is>
          <t>Atende</t>
        </is>
      </c>
      <c r="X23" s="5" t="inlineStr">
        <is>
          <t>1</t>
        </is>
      </c>
      <c r="Y23" s="6" t="inlineStr">
        <is>
          <t>Art. 7º, §6º, I — impressora multifuncional; scanner autônomo não é citado expressamente.</t>
        </is>
      </c>
      <c r="Z23" s="3">
        <f>IF(W23="Atende",2,IF(W23="Parcial",1,0))</f>
        <v/>
      </c>
      <c r="AA23" s="3" t="inlineStr">
        <is>
          <t>Atende</t>
        </is>
      </c>
      <c r="AB23" s="5" t="inlineStr">
        <is>
          <t>0</t>
        </is>
      </c>
      <c r="AC23" s="6" t="inlineStr">
        <is>
          <t>Art. 7º, §6º, IV.</t>
        </is>
      </c>
      <c r="AD23" s="3">
        <f>IF(AA23="Atende",2,IF(AA23="Parcial",1,0))</f>
        <v/>
      </c>
      <c r="AE23" s="3">
        <f>SUM(F23,J23,N23,R23,V23,Z23,AD23)</f>
        <v/>
      </c>
      <c r="AF23" s="3" t="inlineStr">
        <is>
          <t>Doc. SEI 37070578</t>
        </is>
      </c>
    </row>
    <row r="24" ht="48" customHeight="1">
      <c r="A24" s="3" t="inlineStr">
        <is>
          <t>PE</t>
        </is>
      </c>
      <c r="B24" s="3" t="inlineStr">
        <is>
          <t>Pernambuco</t>
        </is>
      </c>
      <c r="C24" s="3" t="inlineStr">
        <is>
          <t>Atende</t>
        </is>
      </c>
      <c r="D24" s="5" t="inlineStr">
        <is>
          <t>Utiliza apenas outro sistema eletrônico de ouvidoria (estadual ou próprio do órgão);</t>
        </is>
      </c>
      <c r="E24" s="6" t="inlineStr">
        <is>
          <t>Art. 4º, V; art. 7º, §2º, III; §4º, II; §5º.</t>
        </is>
      </c>
      <c r="F24" s="3">
        <f>IF(C24="Atende",5,IF(C24="Parcial",2.5,0))</f>
        <v/>
      </c>
      <c r="G24" s="3" t="inlineStr">
        <is>
          <t>Atende</t>
        </is>
      </c>
      <c r="H24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24" s="6" t="inlineStr">
        <is>
          <t>Art. 11; art. 13, II.</t>
        </is>
      </c>
      <c r="J24" s="3">
        <f>IF(G24="Atende",5,IF(G24="Parcial",2.5,0))</f>
        <v/>
      </c>
      <c r="K24" s="3" t="inlineStr">
        <is>
          <t>Atende</t>
        </is>
      </c>
      <c r="L24" s="5" t="inlineStr">
        <is>
          <t>Antivírus institucional instalado nas estações de trabalho;Acesso restrito a pastas/sistemas que contenham manifestações;</t>
        </is>
      </c>
      <c r="M24" s="6" t="inlineStr">
        <is>
          <t>Art. 4º, §2º; art. 7º, §4º, II e III; §5º.</t>
        </is>
      </c>
      <c r="N24" s="3">
        <f>IF(K24="Atende",5,IF(K24="Parcial",2.5,0))</f>
        <v/>
      </c>
      <c r="O24" s="3" t="inlineStr">
        <is>
          <t>Atende</t>
        </is>
      </c>
      <c r="P24" s="5" t="inlineStr">
        <is>
          <t>4</t>
        </is>
      </c>
      <c r="Q24" s="6" t="inlineStr">
        <is>
          <t>Art. 7º, §4º, I.</t>
        </is>
      </c>
      <c r="R24" s="3">
        <f>IF(O24="Atende",4,IF(O24="Parcial",2,0))</f>
        <v/>
      </c>
      <c r="S24" s="3" t="inlineStr">
        <is>
          <t>Atende</t>
        </is>
      </c>
      <c r="T24" s="5" t="inlineStr">
        <is>
          <t>1</t>
        </is>
      </c>
      <c r="U24" s="6" t="inlineStr">
        <is>
          <t>Art. 7º, §6º, I.</t>
        </is>
      </c>
      <c r="V24" s="3">
        <f>IF(S24="Atende",2,IF(S24="Parcial",1,0))</f>
        <v/>
      </c>
      <c r="W24" s="3" t="inlineStr">
        <is>
          <t>Não atende</t>
        </is>
      </c>
      <c r="X24" s="5" t="inlineStr">
        <is>
          <t>1</t>
        </is>
      </c>
      <c r="Y24" s="6" t="inlineStr">
        <is>
          <t>Art. 7º, §6º, I — impressora multifuncional; scanner autônomo não é citado expressamente.</t>
        </is>
      </c>
      <c r="Z24" s="3">
        <f>IF(W24="Atende",2,IF(W24="Parcial",1,0))</f>
        <v/>
      </c>
      <c r="AA24" s="3" t="inlineStr">
        <is>
          <t>Atende</t>
        </is>
      </c>
      <c r="AB24" s="5" t="inlineStr">
        <is>
          <t>1</t>
        </is>
      </c>
      <c r="AC24" s="6" t="inlineStr">
        <is>
          <t>Art. 7º, §6º, IV.</t>
        </is>
      </c>
      <c r="AD24" s="3">
        <f>IF(AA24="Atende",2,IF(AA24="Parcial",1,0))</f>
        <v/>
      </c>
      <c r="AE24" s="3">
        <f>SUM(F24,J24,N24,R24,V24,Z24,AD24)</f>
        <v/>
      </c>
      <c r="AF24" s="3" t="inlineStr">
        <is>
          <t>Doc. SEI 37070578</t>
        </is>
      </c>
    </row>
    <row r="25" ht="48" customHeight="1">
      <c r="A25" s="3" t="inlineStr">
        <is>
          <t>PI</t>
        </is>
      </c>
      <c r="B25" s="3" t="inlineStr">
        <is>
          <t>Piauí</t>
        </is>
      </c>
      <c r="C25" s="3" t="inlineStr">
        <is>
          <t>Atende</t>
        </is>
      </c>
      <c r="D25" s="5" t="inlineStr">
        <is>
          <t>Possui canal próprio na Plataforma Fala.BR (CGU);</t>
        </is>
      </c>
      <c r="E25" s="6" t="inlineStr">
        <is>
          <t>Art. 4º, V; art. 7º, §2º, III; §4º, II; §5º.</t>
        </is>
      </c>
      <c r="F25" s="3">
        <f>IF(C25="Atende",5,IF(C25="Parcial",2.5,0))</f>
        <v/>
      </c>
      <c r="G25" s="3" t="inlineStr">
        <is>
          <t>Atende</t>
        </is>
      </c>
      <c r="H25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25" s="6" t="inlineStr">
        <is>
          <t>Art. 11; art. 13, II.</t>
        </is>
      </c>
      <c r="J25" s="3">
        <f>IF(G25="Atende",5,IF(G25="Parcial",2.5,0))</f>
        <v/>
      </c>
      <c r="K25" s="3" t="inlineStr">
        <is>
          <t>Atende</t>
        </is>
      </c>
      <c r="L25" s="5" t="inlineStr">
        <is>
          <t>Antivírus institucional instalado nas estações de trabalho;Acesso restrito a pastas/sistemas que contenham manifestações;Política interna ou instruções sobre tratamento de dados pessoais;</t>
        </is>
      </c>
      <c r="M25" s="6" t="inlineStr">
        <is>
          <t>Art. 4º, §2º; art. 7º, §4º, II e III; §5º.</t>
        </is>
      </c>
      <c r="N25" s="3">
        <f>IF(K25="Atende",5,IF(K25="Parcial",2.5,0))</f>
        <v/>
      </c>
      <c r="O25" s="3" t="inlineStr">
        <is>
          <t>Não atende</t>
        </is>
      </c>
      <c r="P25" s="5" t="inlineStr">
        <is>
          <t>1</t>
        </is>
      </c>
      <c r="Q25" s="6" t="inlineStr">
        <is>
          <t>Art. 7º, §4º, I.</t>
        </is>
      </c>
      <c r="R25" s="3">
        <f>IF(O25="Atende",4,IF(O25="Parcial",2,0))</f>
        <v/>
      </c>
      <c r="S25" s="3" t="inlineStr">
        <is>
          <t>Não atende</t>
        </is>
      </c>
      <c r="T25" s="5" t="inlineStr">
        <is>
          <t>1</t>
        </is>
      </c>
      <c r="U25" s="6" t="inlineStr">
        <is>
          <t>Art. 7º, §6º, I.</t>
        </is>
      </c>
      <c r="V25" s="3">
        <f>IF(S25="Atende",2,IF(S25="Parcial",1,0))</f>
        <v/>
      </c>
      <c r="W25" s="3" t="inlineStr">
        <is>
          <t>Não atende</t>
        </is>
      </c>
      <c r="X25" s="5" t="inlineStr">
        <is>
          <t>1</t>
        </is>
      </c>
      <c r="Y25" s="6" t="inlineStr">
        <is>
          <t>Art. 7º, §6º, I — impressora multifuncional; scanner autônomo não é citado expressamente.</t>
        </is>
      </c>
      <c r="Z25" s="3">
        <f>IF(W25="Atende",2,IF(W25="Parcial",1,0))</f>
        <v/>
      </c>
      <c r="AA25" s="3" t="inlineStr">
        <is>
          <t>Atende</t>
        </is>
      </c>
      <c r="AB25" s="5" t="inlineStr">
        <is>
          <t>0</t>
        </is>
      </c>
      <c r="AC25" s="6" t="inlineStr">
        <is>
          <t>Art. 7º, §6º, IV.</t>
        </is>
      </c>
      <c r="AD25" s="3">
        <f>IF(AA25="Atende",2,IF(AA25="Parcial",1,0))</f>
        <v/>
      </c>
      <c r="AE25" s="3">
        <f>SUM(F25,J25,N25,R25,V25,Z25,AD25)</f>
        <v/>
      </c>
      <c r="AF25" s="3" t="inlineStr">
        <is>
          <t>Doc. SEI 37070578</t>
        </is>
      </c>
    </row>
    <row r="26" ht="72" customHeight="1">
      <c r="A26" s="3" t="inlineStr">
        <is>
          <t>RJ</t>
        </is>
      </c>
      <c r="B26" s="3" t="inlineStr">
        <is>
          <t>Rio de Janeiro</t>
        </is>
      </c>
      <c r="C26" s="3" t="inlineStr">
        <is>
          <t>Atende</t>
        </is>
      </c>
      <c r="D26" s="5" t="inlineStr">
        <is>
          <t>Utiliza apenas outro sistema eletrônico de ouvidoria (estadual ou próprio do órgão);</t>
        </is>
      </c>
      <c r="E26" s="6" t="inlineStr">
        <is>
          <t>Art. 4º, V; art. 7º, §2º, III; §4º, II; §5º.</t>
        </is>
      </c>
      <c r="F26" s="3">
        <f>IF(C26="Atende",5,IF(C26="Parcial",2.5,0))</f>
        <v/>
      </c>
      <c r="G26" s="3" t="inlineStr">
        <is>
          <t>Atende</t>
        </is>
      </c>
      <c r="H26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26" s="6" t="inlineStr">
        <is>
          <t>Art. 11; art. 13, II.</t>
        </is>
      </c>
      <c r="J26" s="3">
        <f>IF(G26="Atende",5,IF(G26="Parcial",2.5,0))</f>
        <v/>
      </c>
      <c r="K26" s="3" t="inlineStr">
        <is>
          <t>Atende</t>
        </is>
      </c>
      <c r="L26" s="5" t="inlineStr">
        <is>
          <t>Política interna ou instruções sobre tratamento de dados pessoais;Acesso restrito a pastas/sistemas que contenham manifestações;Rotina de backup periódico dos dados da Ouvidoria;Mecanismos de autenticação e controle de acesso aos dados;Antivírus institucional instalado nas estações de trabalho;</t>
        </is>
      </c>
      <c r="M26" s="6" t="inlineStr">
        <is>
          <t>Art. 4º, §2º; art. 7º, §4º, II e III; §5º.</t>
        </is>
      </c>
      <c r="N26" s="3">
        <f>IF(K26="Atende",5,IF(K26="Parcial",2.5,0))</f>
        <v/>
      </c>
      <c r="O26" s="3" t="inlineStr">
        <is>
          <t>Não atende</t>
        </is>
      </c>
      <c r="P26" s="5" t="inlineStr">
        <is>
          <t>9</t>
        </is>
      </c>
      <c r="Q26" s="6" t="inlineStr">
        <is>
          <t>Art. 7º, §4º, I.</t>
        </is>
      </c>
      <c r="R26" s="3">
        <f>IF(O26="Atende",4,IF(O26="Parcial",2,0))</f>
        <v/>
      </c>
      <c r="S26" s="3" t="inlineStr">
        <is>
          <t>Não atende</t>
        </is>
      </c>
      <c r="T26" s="5" t="inlineStr">
        <is>
          <t>1</t>
        </is>
      </c>
      <c r="U26" s="6" t="inlineStr">
        <is>
          <t>Art. 7º, §6º, I.</t>
        </is>
      </c>
      <c r="V26" s="3">
        <f>IF(S26="Atende",2,IF(S26="Parcial",1,0))</f>
        <v/>
      </c>
      <c r="W26" s="3" t="inlineStr">
        <is>
          <t>Não atende</t>
        </is>
      </c>
      <c r="X26" s="5" t="inlineStr">
        <is>
          <t>1</t>
        </is>
      </c>
      <c r="Y26" s="6" t="inlineStr">
        <is>
          <t>Art. 7º, §6º, I — impressora multifuncional; scanner autônomo não é citado expressamente.</t>
        </is>
      </c>
      <c r="Z26" s="3">
        <f>IF(W26="Atende",2,IF(W26="Parcial",1,0))</f>
        <v/>
      </c>
      <c r="AA26" s="3" t="inlineStr">
        <is>
          <t>Atende</t>
        </is>
      </c>
      <c r="AB26" s="5" t="inlineStr">
        <is>
          <t>2</t>
        </is>
      </c>
      <c r="AC26" s="6" t="inlineStr">
        <is>
          <t>Art. 7º, §6º, IV.</t>
        </is>
      </c>
      <c r="AD26" s="3">
        <f>IF(AA26="Atende",2,IF(AA26="Parcial",1,0))</f>
        <v/>
      </c>
      <c r="AE26" s="3">
        <f>SUM(F26,J26,N26,R26,V26,Z26,AD26)</f>
        <v/>
      </c>
      <c r="AF26" s="3" t="inlineStr">
        <is>
          <t>Doc. SEI 37070578</t>
        </is>
      </c>
    </row>
    <row r="27" ht="48" customHeight="1">
      <c r="A27" s="3" t="inlineStr">
        <is>
          <t>RN</t>
        </is>
      </c>
      <c r="B27" s="3" t="inlineStr">
        <is>
          <t>Rio Grande do Norte</t>
        </is>
      </c>
      <c r="C27" s="3" t="inlineStr">
        <is>
          <t>Atende</t>
        </is>
      </c>
      <c r="D27" s="5" t="inlineStr">
        <is>
          <t>Possui canal próprio na Plataforma Fala.BR (CGU);</t>
        </is>
      </c>
      <c r="E27" s="6" t="inlineStr">
        <is>
          <t>Art. 4º, V; art. 7º, §2º, III; §4º, II; §5º.</t>
        </is>
      </c>
      <c r="F27" s="3">
        <f>IF(C27="Atende",5,IF(C27="Parcial",2.5,0))</f>
        <v/>
      </c>
      <c r="G27" s="3" t="inlineStr">
        <is>
          <t>Atende</t>
        </is>
      </c>
      <c r="H27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27" s="6" t="inlineStr">
        <is>
          <t>Art. 11; art. 13, II.</t>
        </is>
      </c>
      <c r="J27" s="3">
        <f>IF(G27="Atende",5,IF(G27="Parcial",2.5,0))</f>
        <v/>
      </c>
      <c r="K27" s="3" t="inlineStr">
        <is>
          <t>Atende</t>
        </is>
      </c>
      <c r="L27" s="5" t="inlineStr">
        <is>
          <t>Política interna ou instruções sobre tratamento de dados pessoais;</t>
        </is>
      </c>
      <c r="M27" s="6" t="inlineStr">
        <is>
          <t>Art. 4º, §2º; art. 7º, §4º, II e III; §5º.</t>
        </is>
      </c>
      <c r="N27" s="3">
        <f>IF(K27="Atende",5,IF(K27="Parcial",2.5,0))</f>
        <v/>
      </c>
      <c r="O27" s="3" t="inlineStr">
        <is>
          <t>Não atende</t>
        </is>
      </c>
      <c r="P27" s="5" t="inlineStr">
        <is>
          <t>1</t>
        </is>
      </c>
      <c r="Q27" s="6" t="inlineStr">
        <is>
          <t>Art. 7º, §4º, I.</t>
        </is>
      </c>
      <c r="R27" s="3">
        <f>IF(O27="Atende",4,IF(O27="Parcial",2,0))</f>
        <v/>
      </c>
      <c r="S27" s="3" t="inlineStr">
        <is>
          <t>Não atende</t>
        </is>
      </c>
      <c r="T27" s="5" t="inlineStr">
        <is>
          <t>0</t>
        </is>
      </c>
      <c r="U27" s="6" t="inlineStr">
        <is>
          <t>Art. 7º, §6º, I.</t>
        </is>
      </c>
      <c r="V27" s="3">
        <f>IF(S27="Atende",2,IF(S27="Parcial",1,0))</f>
        <v/>
      </c>
      <c r="W27" s="3" t="inlineStr">
        <is>
          <t>Não atende</t>
        </is>
      </c>
      <c r="X27" s="5" t="inlineStr">
        <is>
          <t>0</t>
        </is>
      </c>
      <c r="Y27" s="6" t="inlineStr">
        <is>
          <t>Art. 7º, §6º, I — impressora multifuncional; scanner autônomo não é citado expressamente.</t>
        </is>
      </c>
      <c r="Z27" s="3">
        <f>IF(W27="Atende",2,IF(W27="Parcial",1,0))</f>
        <v/>
      </c>
      <c r="AA27" s="3" t="inlineStr">
        <is>
          <t>Atende</t>
        </is>
      </c>
      <c r="AB27" s="5" t="inlineStr">
        <is>
          <t>3</t>
        </is>
      </c>
      <c r="AC27" s="6" t="inlineStr">
        <is>
          <t>Art. 7º, §6º, IV.</t>
        </is>
      </c>
      <c r="AD27" s="3">
        <f>IF(AA27="Atende",2,IF(AA27="Parcial",1,0))</f>
        <v/>
      </c>
      <c r="AE27" s="3">
        <f>SUM(F27,J27,N27,R27,V27,Z27,AD27)</f>
        <v/>
      </c>
      <c r="AF27" s="3" t="inlineStr">
        <is>
          <t>Doc. SEI 37070578</t>
        </is>
      </c>
    </row>
    <row r="28" ht="72" customHeight="1">
      <c r="A28" s="3" t="inlineStr">
        <is>
          <t>RS</t>
        </is>
      </c>
      <c r="B28" s="3" t="inlineStr">
        <is>
          <t>Rio Grande do Sul</t>
        </is>
      </c>
      <c r="C28" s="3" t="inlineStr">
        <is>
          <t>Atende</t>
        </is>
      </c>
      <c r="D28" s="5" t="inlineStr">
        <is>
          <t>Utiliza apenas outro sistema eletrônico de ouvidoria (estadual ou próprio do órgão);</t>
        </is>
      </c>
      <c r="E28" s="6" t="inlineStr">
        <is>
          <t>Art. 4º, V; art. 7º, §2º, III; §4º, II; §5º.</t>
        </is>
      </c>
      <c r="F28" s="3">
        <f>IF(C28="Atende",5,IF(C28="Parcial",2.5,0))</f>
        <v/>
      </c>
      <c r="G28" s="3" t="inlineStr">
        <is>
          <t>Parcial</t>
        </is>
      </c>
      <c r="H28" s="5" t="inlineStr">
        <is>
          <t>As manifestações são registradas com número de protocolo, mas sem classificação ou critérios claros de análise preliminar</t>
        </is>
      </c>
      <c r="I28" s="6" t="inlineStr">
        <is>
          <t>Art. 11; art. 13, II.</t>
        </is>
      </c>
      <c r="J28" s="3">
        <f>IF(G28="Atende",5,IF(G28="Parcial",2.5,0))</f>
        <v/>
      </c>
      <c r="K28" s="3" t="inlineStr">
        <is>
          <t>Atende</t>
        </is>
      </c>
      <c r="L28" s="5" t="inlineStr">
        <is>
      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      </is>
      </c>
      <c r="M28" s="6" t="inlineStr">
        <is>
          <t>Art. 4º, §2º; art. 7º, §4º, II e III; §5º.</t>
        </is>
      </c>
      <c r="N28" s="3">
        <f>IF(K28="Atende",5,IF(K28="Parcial",2.5,0))</f>
        <v/>
      </c>
      <c r="O28" s="3" t="inlineStr">
        <is>
          <t>Não atende</t>
        </is>
      </c>
      <c r="P28" s="5" t="inlineStr">
        <is>
          <t>2</t>
        </is>
      </c>
      <c r="Q28" s="6" t="inlineStr">
        <is>
          <t>Art. 7º, §4º, I.</t>
        </is>
      </c>
      <c r="R28" s="3">
        <f>IF(O28="Atende",4,IF(O28="Parcial",2,0))</f>
        <v/>
      </c>
      <c r="S28" s="3" t="inlineStr">
        <is>
          <t>Atende</t>
        </is>
      </c>
      <c r="T28" s="5" t="inlineStr">
        <is>
          <t>1</t>
        </is>
      </c>
      <c r="U28" s="6" t="inlineStr">
        <is>
          <t>Art. 7º, §6º, I.</t>
        </is>
      </c>
      <c r="V28" s="3">
        <f>IF(S28="Atende",2,IF(S28="Parcial",1,0))</f>
        <v/>
      </c>
      <c r="W28" s="3" t="inlineStr">
        <is>
          <t>Não atende</t>
        </is>
      </c>
      <c r="X28" s="5" t="inlineStr">
        <is>
          <t>0</t>
        </is>
      </c>
      <c r="Y28" s="6" t="inlineStr">
        <is>
          <t>Art. 7º, §6º, I — impressora multifuncional; scanner autônomo não é citado expressamente.</t>
        </is>
      </c>
      <c r="Z28" s="3">
        <f>IF(W28="Atende",2,IF(W28="Parcial",1,0))</f>
        <v/>
      </c>
      <c r="AA28" s="3" t="inlineStr">
        <is>
          <t>Atende</t>
        </is>
      </c>
      <c r="AB28" s="5" t="inlineStr">
        <is>
          <t>0</t>
        </is>
      </c>
      <c r="AC28" s="6" t="inlineStr">
        <is>
          <t>Art. 7º, §6º, IV.</t>
        </is>
      </c>
      <c r="AD28" s="3">
        <f>IF(AA28="Atende",2,IF(AA28="Parcial",1,0))</f>
        <v/>
      </c>
      <c r="AE28" s="3">
        <f>SUM(F28,J28,N28,R28,V28,Z28,AD28)</f>
        <v/>
      </c>
      <c r="AF28" s="3" t="inlineStr">
        <is>
          <t>Doc. SEI 37070578</t>
        </is>
      </c>
    </row>
    <row r="29" ht="36" customHeight="1">
      <c r="A29" s="3" t="inlineStr">
        <is>
          <t>RO</t>
        </is>
      </c>
      <c r="B29" s="3" t="inlineStr">
        <is>
          <t>Rondônia</t>
        </is>
      </c>
      <c r="C29" s="3" t="inlineStr">
        <is>
          <t>Sem evidência</t>
        </is>
      </c>
      <c r="D29" s="5" t="inlineStr">
        <is>
          <t>Possui canal próprio na Plataforma Fala.BR (CGU);</t>
        </is>
      </c>
      <c r="E29" s="6" t="inlineStr">
        <is>
          <t>Art. 4º, V; art. 7º, §2º, III; §4º, II; §5º.</t>
        </is>
      </c>
      <c r="F29" s="3">
        <f>IF(C29="Atende",5,IF(C29="Parcial",2.5,0))</f>
        <v/>
      </c>
      <c r="G29" s="3" t="inlineStr">
        <is>
          <t>Sem evidência</t>
        </is>
      </c>
      <c r="H29" s="5" t="inlineStr">
        <is>
          <t>As manifestações são registradas com número de protocolo, mas sem classificação ou critérios claros de análise preliminar</t>
        </is>
      </c>
      <c r="I29" s="6" t="inlineStr">
        <is>
          <t>Art. 11; art. 13, II.</t>
        </is>
      </c>
      <c r="J29" s="3">
        <f>IF(G29="Atende",5,IF(G29="Parcial",2.5,0))</f>
        <v/>
      </c>
      <c r="K29" s="3" t="inlineStr">
        <is>
          <t>Sem evidência</t>
        </is>
      </c>
      <c r="L29" s="5" t="inlineStr">
        <is>
          <t>Acesso restrito a pastas/sistemas que contenham manifestações;</t>
        </is>
      </c>
      <c r="M29" s="6" t="inlineStr">
        <is>
          <t>Art. 4º, §2º; art. 7º, §4º, II e III; §5º.</t>
        </is>
      </c>
      <c r="N29" s="3">
        <f>IF(K29="Atende",5,IF(K29="Parcial",2.5,0))</f>
        <v/>
      </c>
      <c r="O29" s="3" t="inlineStr">
        <is>
          <t>Não atende</t>
        </is>
      </c>
      <c r="P29" s="5" t="inlineStr">
        <is>
          <t>2</t>
        </is>
      </c>
      <c r="Q29" s="6" t="inlineStr">
        <is>
          <t>Art. 7º, §4º, I.</t>
        </is>
      </c>
      <c r="R29" s="3">
        <f>IF(O29="Atende",4,IF(O29="Parcial",2,0))</f>
        <v/>
      </c>
      <c r="S29" s="3" t="inlineStr">
        <is>
          <t>Não atende</t>
        </is>
      </c>
      <c r="T29" s="5" t="inlineStr">
        <is>
          <t>1</t>
        </is>
      </c>
      <c r="U29" s="6" t="inlineStr">
        <is>
          <t>Art. 7º, §6º, I.</t>
        </is>
      </c>
      <c r="V29" s="3">
        <f>IF(S29="Atende",2,IF(S29="Parcial",1,0))</f>
        <v/>
      </c>
      <c r="W29" s="3" t="inlineStr">
        <is>
          <t>Não atende</t>
        </is>
      </c>
      <c r="X29" s="5" t="inlineStr">
        <is>
          <t>1</t>
        </is>
      </c>
      <c r="Y29" s="6" t="inlineStr">
        <is>
          <t>Art. 7º, §6º, I — impressora multifuncional; scanner autônomo não é citado expressamente.</t>
        </is>
      </c>
      <c r="Z29" s="3">
        <f>IF(W29="Atende",2,IF(W29="Parcial",1,0))</f>
        <v/>
      </c>
      <c r="AA29" s="3" t="inlineStr">
        <is>
          <t>Sem evidência</t>
        </is>
      </c>
      <c r="AB29" s="5" t="inlineStr">
        <is>
          <t>2</t>
        </is>
      </c>
      <c r="AC29" s="6" t="inlineStr">
        <is>
          <t>Art. 7º, §6º, IV.</t>
        </is>
      </c>
      <c r="AD29" s="3">
        <f>IF(AA29="Atende",2,IF(AA29="Parcial",1,0))</f>
        <v/>
      </c>
      <c r="AE29" s="3">
        <f>SUM(F29,J29,N29,R29,V29,Z29,AD29)</f>
        <v/>
      </c>
      <c r="AF29" s="3" t="inlineStr">
        <is>
          <t>Doc. SEI 37070578</t>
        </is>
      </c>
    </row>
    <row r="30" ht="48" customHeight="1">
      <c r="A30" s="3" t="inlineStr">
        <is>
          <t>RR</t>
        </is>
      </c>
      <c r="B30" s="3" t="inlineStr">
        <is>
          <t>Roraima</t>
        </is>
      </c>
      <c r="C30" s="3" t="inlineStr">
        <is>
          <t>Atende</t>
        </is>
      </c>
      <c r="D30" s="5" t="inlineStr">
        <is>
          <t>Possui canal próprio na Plataforma Fala.BR (CGU);</t>
        </is>
      </c>
      <c r="E30" s="6" t="inlineStr">
        <is>
          <t>Art. 4º, V; art. 7º, §2º, III; §4º, II; §5º.</t>
        </is>
      </c>
      <c r="F30" s="3">
        <f>IF(C30="Atende",5,IF(C30="Parcial",2.5,0))</f>
        <v/>
      </c>
      <c r="G30" s="3" t="inlineStr">
        <is>
          <t>Atende</t>
        </is>
      </c>
      <c r="H30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30" s="6" t="inlineStr">
        <is>
          <t>Art. 11; art. 13, II.</t>
        </is>
      </c>
      <c r="J30" s="3">
        <f>IF(G30="Atende",5,IF(G30="Parcial",2.5,0))</f>
        <v/>
      </c>
      <c r="K30" s="3" t="inlineStr">
        <is>
          <t>Atende</t>
        </is>
      </c>
      <c r="L30" s="5" t="inlineStr">
        <is>
          <t>Antivírus institucional instalado nas estações de trabalho;Mecanismos de autenticação e controle de acesso aos dados;Acesso restrito a pastas/sistemas que contenham manifestações;</t>
        </is>
      </c>
      <c r="M30" s="6" t="inlineStr">
        <is>
          <t>Art. 4º, §2º; art. 7º, §4º, II e III; §5º.</t>
        </is>
      </c>
      <c r="N30" s="3">
        <f>IF(K30="Atende",5,IF(K30="Parcial",2.5,0))</f>
        <v/>
      </c>
      <c r="O30" s="3" t="inlineStr">
        <is>
          <t>Atende</t>
        </is>
      </c>
      <c r="P30" s="5" t="inlineStr">
        <is>
          <t>1</t>
        </is>
      </c>
      <c r="Q30" s="6" t="inlineStr">
        <is>
          <t>Art. 7º, §4º, I.</t>
        </is>
      </c>
      <c r="R30" s="3">
        <f>IF(O30="Atende",4,IF(O30="Parcial",2,0))</f>
        <v/>
      </c>
      <c r="S30" s="3" t="inlineStr">
        <is>
          <t>Atende</t>
        </is>
      </c>
      <c r="T30" s="5" t="inlineStr">
        <is>
          <t>1</t>
        </is>
      </c>
      <c r="U30" s="6" t="inlineStr">
        <is>
          <t>Art. 7º, §6º, I.</t>
        </is>
      </c>
      <c r="V30" s="3">
        <f>IF(S30="Atende",2,IF(S30="Parcial",1,0))</f>
        <v/>
      </c>
      <c r="W30" s="3" t="inlineStr">
        <is>
          <t>Atende</t>
        </is>
      </c>
      <c r="X30" s="5" t="inlineStr">
        <is>
          <t>1</t>
        </is>
      </c>
      <c r="Y30" s="6" t="inlineStr">
        <is>
          <t>Art. 7º, §6º, I — impressora multifuncional; scanner autônomo não é citado expressamente.</t>
        </is>
      </c>
      <c r="Z30" s="3">
        <f>IF(W30="Atende",2,IF(W30="Parcial",1,0))</f>
        <v/>
      </c>
      <c r="AA30" s="3" t="inlineStr">
        <is>
          <t>Atende</t>
        </is>
      </c>
      <c r="AB30" s="5" t="inlineStr">
        <is>
          <t>0</t>
        </is>
      </c>
      <c r="AC30" s="6" t="inlineStr">
        <is>
          <t>Art. 7º, §6º, IV.</t>
        </is>
      </c>
      <c r="AD30" s="3">
        <f>IF(AA30="Atende",2,IF(AA30="Parcial",1,0))</f>
        <v/>
      </c>
      <c r="AE30" s="3">
        <f>SUM(F30,J30,N30,R30,V30,Z30,AD30)</f>
        <v/>
      </c>
      <c r="AF30" s="3" t="inlineStr">
        <is>
          <t>Doc. SEI 37070578</t>
        </is>
      </c>
    </row>
    <row r="31" ht="72" customHeight="1">
      <c r="A31" s="3" t="inlineStr">
        <is>
          <t>SC</t>
        </is>
      </c>
      <c r="B31" s="3" t="inlineStr">
        <is>
          <t>Santa Catarina</t>
        </is>
      </c>
      <c r="C31" s="3" t="inlineStr">
        <is>
          <t>Sem evidência</t>
        </is>
      </c>
      <c r="D31" s="5" t="inlineStr">
        <is>
          <t>Utiliza apenas outro sistema eletrônico de ouvidoria (estadual ou próprio do órgão);</t>
        </is>
      </c>
      <c r="E31" s="6" t="inlineStr">
        <is>
          <t>Art. 4º, V; art. 7º, §2º, III; §4º, II; §5º.</t>
        </is>
      </c>
      <c r="F31" s="3">
        <f>IF(C31="Atende",5,IF(C31="Parcial",2.5,0))</f>
        <v/>
      </c>
      <c r="G31" s="3" t="inlineStr">
        <is>
          <t>Sem evidência</t>
        </is>
      </c>
      <c r="H31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31" s="6" t="inlineStr">
        <is>
          <t>Art. 11; art. 13, II.</t>
        </is>
      </c>
      <c r="J31" s="3">
        <f>IF(G31="Atende",5,IF(G31="Parcial",2.5,0))</f>
        <v/>
      </c>
      <c r="K31" s="3" t="inlineStr">
        <is>
          <t>Sem evidência</t>
        </is>
      </c>
      <c r="L31" s="5" t="inlineStr">
        <is>
      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      </is>
      </c>
      <c r="M31" s="6" t="inlineStr">
        <is>
          <t>Art. 4º, §2º; art. 7º, §4º, II e III; §5º.</t>
        </is>
      </c>
      <c r="N31" s="3">
        <f>IF(K31="Atende",5,IF(K31="Parcial",2.5,0))</f>
        <v/>
      </c>
      <c r="O31" s="3" t="inlineStr">
        <is>
          <t>Não atende</t>
        </is>
      </c>
      <c r="P31" s="5" t="inlineStr">
        <is>
          <t>3</t>
        </is>
      </c>
      <c r="Q31" s="6" t="inlineStr">
        <is>
          <t>Art. 7º, §4º, I.</t>
        </is>
      </c>
      <c r="R31" s="3">
        <f>IF(O31="Atende",4,IF(O31="Parcial",2,0))</f>
        <v/>
      </c>
      <c r="S31" s="3" t="inlineStr">
        <is>
          <t>Atende</t>
        </is>
      </c>
      <c r="T31" s="5" t="inlineStr">
        <is>
          <t>1</t>
        </is>
      </c>
      <c r="U31" s="6" t="inlineStr">
        <is>
          <t>Art. 7º, §6º, I.</t>
        </is>
      </c>
      <c r="V31" s="3">
        <f>IF(S31="Atende",2,IF(S31="Parcial",1,0))</f>
        <v/>
      </c>
      <c r="W31" s="3" t="inlineStr">
        <is>
          <t>Não atende</t>
        </is>
      </c>
      <c r="X31" s="5" t="inlineStr">
        <is>
          <t>1</t>
        </is>
      </c>
      <c r="Y31" s="6" t="inlineStr">
        <is>
          <t>Art. 7º, §6º, I — impressora multifuncional; scanner autônomo não é citado expressamente.</t>
        </is>
      </c>
      <c r="Z31" s="3">
        <f>IF(W31="Atende",2,IF(W31="Parcial",1,0))</f>
        <v/>
      </c>
      <c r="AA31" s="3" t="inlineStr">
        <is>
          <t>Atende</t>
        </is>
      </c>
      <c r="AB31" s="5" t="inlineStr">
        <is>
          <t>1</t>
        </is>
      </c>
      <c r="AC31" s="6" t="inlineStr">
        <is>
          <t>Art. 7º, §6º, IV.</t>
        </is>
      </c>
      <c r="AD31" s="3">
        <f>IF(AA31="Atende",2,IF(AA31="Parcial",1,0))</f>
        <v/>
      </c>
      <c r="AE31" s="3">
        <f>SUM(F31,J31,N31,R31,V31,Z31,AD31)</f>
        <v/>
      </c>
      <c r="AF31" s="3" t="inlineStr">
        <is>
          <t>Doc. SEI 37070578</t>
        </is>
      </c>
    </row>
    <row r="32" ht="72" customHeight="1">
      <c r="A32" s="3" t="inlineStr">
        <is>
          <t>SP</t>
        </is>
      </c>
      <c r="B32" s="3" t="inlineStr">
        <is>
          <t>São Paulo</t>
        </is>
      </c>
      <c r="C32" s="3" t="inlineStr">
        <is>
          <t>Atende</t>
        </is>
      </c>
      <c r="D32" s="5" t="inlineStr">
        <is>
          <t>Utiliza apenas outro sistema eletrônico de ouvidoria (estadual ou próprio do órgão);</t>
        </is>
      </c>
      <c r="E32" s="6" t="inlineStr">
        <is>
          <t>Art. 4º, V; art. 7º, §2º, III; §4º, II; §5º.</t>
        </is>
      </c>
      <c r="F32" s="3">
        <f>IF(C32="Atende",5,IF(C32="Parcial",2.5,0))</f>
        <v/>
      </c>
      <c r="G32" s="3" t="inlineStr">
        <is>
          <t>Atende</t>
        </is>
      </c>
      <c r="H32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32" s="6" t="inlineStr">
        <is>
          <t>Art. 11; art. 13, II.</t>
        </is>
      </c>
      <c r="J32" s="3">
        <f>IF(G32="Atende",5,IF(G32="Parcial",2.5,0))</f>
        <v/>
      </c>
      <c r="K32" s="3" t="inlineStr">
        <is>
          <t>Atende</t>
        </is>
      </c>
      <c r="L32" s="5" t="inlineStr">
        <is>
          <t>Antivírus institucional instalado nas estações de trabalho;Mecanismos de autenticação e controle de acesso aos dados;Política interna ou instruções sobre tratamento de dados pessoais;Acesso restrito a pastas/sistemas que contenham manifestações;Rotina de backup periódico dos dados da Ouvidoria;</t>
        </is>
      </c>
      <c r="M32" s="6" t="inlineStr">
        <is>
          <t>Art. 4º, §2º; art. 7º, §4º, II e III; §5º.</t>
        </is>
      </c>
      <c r="N32" s="3">
        <f>IF(K32="Atende",5,IF(K32="Parcial",2.5,0))</f>
        <v/>
      </c>
      <c r="O32" s="3" t="inlineStr">
        <is>
          <t>Não atende</t>
        </is>
      </c>
      <c r="P32" s="5" t="inlineStr">
        <is>
          <t>12</t>
        </is>
      </c>
      <c r="Q32" s="6" t="inlineStr">
        <is>
          <t>Art. 7º, §4º, I.</t>
        </is>
      </c>
      <c r="R32" s="3">
        <f>IF(O32="Atende",4,IF(O32="Parcial",2,0))</f>
        <v/>
      </c>
      <c r="S32" s="3" t="inlineStr">
        <is>
          <t>Atende</t>
        </is>
      </c>
      <c r="T32" s="5" t="inlineStr">
        <is>
          <t>2</t>
        </is>
      </c>
      <c r="U32" s="6" t="inlineStr">
        <is>
          <t>Art. 7º, §6º, I.</t>
        </is>
      </c>
      <c r="V32" s="3">
        <f>IF(S32="Atende",2,IF(S32="Parcial",1,0))</f>
        <v/>
      </c>
      <c r="W32" s="3" t="inlineStr">
        <is>
          <t>Atende</t>
        </is>
      </c>
      <c r="X32" s="5" t="inlineStr">
        <is>
          <t>0</t>
        </is>
      </c>
      <c r="Y32" s="6" t="inlineStr">
        <is>
          <t>Art. 7º, §6º, I — impressora multifuncional; scanner autônomo não é citado expressamente.</t>
        </is>
      </c>
      <c r="Z32" s="3">
        <f>IF(W32="Atende",2,IF(W32="Parcial",1,0))</f>
        <v/>
      </c>
      <c r="AA32" s="3" t="inlineStr">
        <is>
          <t>Atende</t>
        </is>
      </c>
      <c r="AB32" s="5" t="inlineStr">
        <is>
          <t>1</t>
        </is>
      </c>
      <c r="AC32" s="6" t="inlineStr">
        <is>
          <t>Art. 7º, §6º, IV.</t>
        </is>
      </c>
      <c r="AD32" s="3">
        <f>IF(AA32="Atende",2,IF(AA32="Parcial",1,0))</f>
        <v/>
      </c>
      <c r="AE32" s="3">
        <f>SUM(F32,J32,N32,R32,V32,Z32,AD32)</f>
        <v/>
      </c>
      <c r="AF32" s="3" t="inlineStr">
        <is>
          <t>Doc. SEI 37070578</t>
        </is>
      </c>
    </row>
    <row r="33" ht="36" customHeight="1">
      <c r="A33" s="3" t="inlineStr">
        <is>
          <t>SE</t>
        </is>
      </c>
      <c r="B33" s="3" t="inlineStr">
        <is>
          <t>Sergipe</t>
        </is>
      </c>
      <c r="C33" s="3" t="inlineStr">
        <is>
          <t>Sem evidência</t>
        </is>
      </c>
      <c r="D33" s="5" t="inlineStr">
        <is>
          <t>Sem resposta no diagnóstico</t>
        </is>
      </c>
      <c r="E33" s="6" t="inlineStr">
        <is>
          <t>Art. 4º, V; art. 7º, §2º, III; §4º, II; §5º.</t>
        </is>
      </c>
      <c r="F33" s="3">
        <f>IF(C33="Atende",5,IF(C33="Parcial",2.5,0))</f>
        <v/>
      </c>
      <c r="G33" s="3" t="inlineStr">
        <is>
          <t>Sem evidência</t>
        </is>
      </c>
      <c r="H33" s="5" t="inlineStr">
        <is>
          <t>Sem resposta no diagnóstico</t>
        </is>
      </c>
      <c r="I33" s="6" t="inlineStr">
        <is>
          <t>Art. 11; art. 13, II.</t>
        </is>
      </c>
      <c r="J33" s="3">
        <f>IF(G33="Atende",5,IF(G33="Parcial",2.5,0))</f>
        <v/>
      </c>
      <c r="K33" s="3" t="inlineStr">
        <is>
          <t>Sem evidência</t>
        </is>
      </c>
      <c r="L33" s="5" t="inlineStr">
        <is>
          <t>Sem resposta no diagnóstico</t>
        </is>
      </c>
      <c r="M33" s="6" t="inlineStr">
        <is>
          <t>Art. 4º, §2º; art. 7º, §4º, II e III; §5º.</t>
        </is>
      </c>
      <c r="N33" s="3">
        <f>IF(K33="Atende",5,IF(K33="Parcial",2.5,0))</f>
        <v/>
      </c>
      <c r="O33" s="3" t="inlineStr">
        <is>
          <t>Não atende</t>
        </is>
      </c>
      <c r="P33" s="5" t="inlineStr">
        <is>
          <t>Sem resposta no diagnóstico</t>
        </is>
      </c>
      <c r="Q33" s="6" t="inlineStr">
        <is>
          <t>Art. 7º, §4º, I.</t>
        </is>
      </c>
      <c r="R33" s="3">
        <f>IF(O33="Atende",4,IF(O33="Parcial",2,0))</f>
        <v/>
      </c>
      <c r="S33" s="3" t="inlineStr">
        <is>
          <t>Não atende</t>
        </is>
      </c>
      <c r="T33" s="5" t="inlineStr">
        <is>
          <t>Sem resposta no diagnóstico</t>
        </is>
      </c>
      <c r="U33" s="6" t="inlineStr">
        <is>
          <t>Art. 7º, §6º, I.</t>
        </is>
      </c>
      <c r="V33" s="3">
        <f>IF(S33="Atende",2,IF(S33="Parcial",1,0))</f>
        <v/>
      </c>
      <c r="W33" s="3" t="inlineStr">
        <is>
          <t>Não atende</t>
        </is>
      </c>
      <c r="X33" s="5" t="inlineStr">
        <is>
          <t>Sem resposta no diagnóstico</t>
        </is>
      </c>
      <c r="Y33" s="6" t="inlineStr">
        <is>
          <t>Art. 7º, §6º, I — impressora multifuncional; scanner autônomo não é citado expressamente.</t>
        </is>
      </c>
      <c r="Z33" s="3">
        <f>IF(W33="Atende",2,IF(W33="Parcial",1,0))</f>
        <v/>
      </c>
      <c r="AA33" s="3" t="inlineStr">
        <is>
          <t>Sem evidência</t>
        </is>
      </c>
      <c r="AB33" s="5" t="inlineStr">
        <is>
          <t>Sem resposta no diagnóstico</t>
        </is>
      </c>
      <c r="AC33" s="6" t="inlineStr">
        <is>
          <t>Art. 7º, §6º, IV.</t>
        </is>
      </c>
      <c r="AD33" s="3">
        <f>IF(AA33="Atende",2,IF(AA33="Parcial",1,0))</f>
        <v/>
      </c>
      <c r="AE33" s="3">
        <f>SUM(F33,J33,N33,R33,V33,Z33,AD33)</f>
        <v/>
      </c>
      <c r="AF33" s="3" t="inlineStr">
        <is>
          <t>Doc. SEI 37070578</t>
        </is>
      </c>
    </row>
    <row r="34" ht="48" customHeight="1">
      <c r="A34" s="3" t="inlineStr">
        <is>
          <t>TO</t>
        </is>
      </c>
      <c r="B34" s="3" t="inlineStr">
        <is>
          <t>Tocantins</t>
        </is>
      </c>
      <c r="C34" s="3" t="inlineStr">
        <is>
          <t>Sem evidência</t>
        </is>
      </c>
      <c r="D34" s="5" t="inlineStr">
        <is>
          <t>Não possui canal próprio na Fala.BR, mas utiliza o canal Fala.BR da Ouvidoria-Geral do Estado ou outra ouvidoria central;</t>
        </is>
      </c>
      <c r="E34" s="6" t="inlineStr">
        <is>
          <t>Art. 4º, V; art. 7º, §2º, III; §4º, II; §5º.</t>
        </is>
      </c>
      <c r="F34" s="3">
        <f>IF(C34="Atende",5,IF(C34="Parcial",2.5,0))</f>
        <v/>
      </c>
      <c r="G34" s="3" t="inlineStr">
        <is>
          <t>Sem evidência</t>
        </is>
      </c>
      <c r="H34" s="5" t="inlineStr">
        <is>
          <t>Toda manifestação é registrada com número de protocolo, é classificada por tipo e passa por análise preliminar, com critérios para arquivamento fundamentado e para o tratamento de manifestações anônimas</t>
        </is>
      </c>
      <c r="I34" s="6" t="inlineStr">
        <is>
          <t>Art. 11; art. 13, II.</t>
        </is>
      </c>
      <c r="J34" s="3">
        <f>IF(G34="Atende",5,IF(G34="Parcial",2.5,0))</f>
        <v/>
      </c>
      <c r="K34" s="3" t="inlineStr">
        <is>
          <t>Sem evidência</t>
        </is>
      </c>
      <c r="L34" s="5" t="inlineStr">
        <is>
          <t>Política interna ou instruções sobre tratamento de dados pessoais;</t>
        </is>
      </c>
      <c r="M34" s="6" t="inlineStr">
        <is>
          <t>Art. 4º, §2º; art. 7º, §4º, II e III; §5º.</t>
        </is>
      </c>
      <c r="N34" s="3">
        <f>IF(K34="Atende",5,IF(K34="Parcial",2.5,0))</f>
        <v/>
      </c>
      <c r="O34" s="3" t="inlineStr">
        <is>
          <t>Não atende</t>
        </is>
      </c>
      <c r="P34" s="5" t="inlineStr">
        <is>
          <t>2</t>
        </is>
      </c>
      <c r="Q34" s="6" t="inlineStr">
        <is>
          <t>Art. 7º, §4º, I.</t>
        </is>
      </c>
      <c r="R34" s="3">
        <f>IF(O34="Atende",4,IF(O34="Parcial",2,0))</f>
        <v/>
      </c>
      <c r="S34" s="3" t="inlineStr">
        <is>
          <t>Não atende</t>
        </is>
      </c>
      <c r="T34" s="5" t="inlineStr">
        <is>
          <t>1</t>
        </is>
      </c>
      <c r="U34" s="6" t="inlineStr">
        <is>
          <t>Art. 7º, §6º, I.</t>
        </is>
      </c>
      <c r="V34" s="3">
        <f>IF(S34="Atende",2,IF(S34="Parcial",1,0))</f>
        <v/>
      </c>
      <c r="W34" s="3" t="inlineStr">
        <is>
          <t>Não atende</t>
        </is>
      </c>
      <c r="X34" s="5" t="inlineStr">
        <is>
          <t>0</t>
        </is>
      </c>
      <c r="Y34" s="6" t="inlineStr">
        <is>
          <t>Art. 7º, §6º, I — impressora multifuncional; scanner autônomo não é citado expressamente.</t>
        </is>
      </c>
      <c r="Z34" s="3">
        <f>IF(W34="Atende",2,IF(W34="Parcial",1,0))</f>
        <v/>
      </c>
      <c r="AA34" s="3" t="inlineStr">
        <is>
          <t>Sem evidência</t>
        </is>
      </c>
      <c r="AB34" s="5" t="inlineStr">
        <is>
          <t>1</t>
        </is>
      </c>
      <c r="AC34" s="6" t="inlineStr">
        <is>
          <t>Art. 7º, §6º, IV.</t>
        </is>
      </c>
      <c r="AD34" s="3">
        <f>IF(AA34="Atende",2,IF(AA34="Parcial",1,0))</f>
        <v/>
      </c>
      <c r="AE34" s="3">
        <f>SUM(F34,J34,N34,R34,V34,Z34,AD34)</f>
        <v/>
      </c>
      <c r="AF34" s="3" t="inlineStr">
        <is>
          <t>Doc. SEI 37070578</t>
        </is>
      </c>
    </row>
  </sheetData>
  <mergeCells count="11">
    <mergeCell ref="A4:B4"/>
    <mergeCell ref="K4:N4"/>
    <mergeCell ref="O4:R4"/>
    <mergeCell ref="A2:AF2"/>
    <mergeCell ref="A1:AF1"/>
    <mergeCell ref="C4:F4"/>
    <mergeCell ref="G4:J4"/>
    <mergeCell ref="AA4:AD4"/>
    <mergeCell ref="A6:B6"/>
    <mergeCell ref="S4:Z4"/>
    <mergeCell ref="AE4:AF4"/>
  </mergeCells>
  <conditionalFormatting sqref="C7:C34">
    <cfRule type="expression" priority="91" dxfId="2">
      <formula>C7="Atende"</formula>
    </cfRule>
    <cfRule type="expression" priority="92" dxfId="0">
      <formula>C7="Parcial"</formula>
    </cfRule>
    <cfRule type="expression" priority="93" dxfId="1">
      <formula>OR(C7="Não atende",C7="Sem evidência")</formula>
    </cfRule>
  </conditionalFormatting>
  <conditionalFormatting sqref="G7:G34">
    <cfRule type="expression" priority="64" dxfId="2">
      <formula>G7="Atende"</formula>
    </cfRule>
    <cfRule type="expression" priority="65" dxfId="0">
      <formula>G7="Parcial"</formula>
    </cfRule>
    <cfRule type="expression" priority="66" dxfId="1">
      <formula>OR(G7="Não atende",G7="Sem evidência")</formula>
    </cfRule>
  </conditionalFormatting>
  <conditionalFormatting sqref="K7:K34">
    <cfRule type="expression" priority="61" dxfId="2">
      <formula>K7="Atende"</formula>
    </cfRule>
    <cfRule type="expression" priority="62" dxfId="0">
      <formula>K7="Parcial"</formula>
    </cfRule>
    <cfRule type="expression" priority="63" dxfId="1">
      <formula>OR(K7="Não atende",K7="Sem evidência")</formula>
    </cfRule>
  </conditionalFormatting>
  <conditionalFormatting sqref="O7:O34">
    <cfRule type="expression" priority="46" dxfId="2">
      <formula>O7="Atende"</formula>
    </cfRule>
    <cfRule type="expression" priority="47" dxfId="0">
      <formula>O7="Parcial"</formula>
    </cfRule>
    <cfRule type="expression" priority="48" dxfId="1">
      <formula>OR(O7="Não atende",O7="Sem evidência")</formula>
    </cfRule>
  </conditionalFormatting>
  <conditionalFormatting sqref="S7:S34">
    <cfRule type="expression" priority="25" dxfId="2">
      <formula>S7="Atende"</formula>
    </cfRule>
    <cfRule type="expression" priority="26" dxfId="0">
      <formula>S7="Parcial"</formula>
    </cfRule>
    <cfRule type="expression" priority="27" dxfId="1">
      <formula>OR(S7="Não atende",S7="Sem evidência")</formula>
    </cfRule>
  </conditionalFormatting>
  <conditionalFormatting sqref="W7:W34">
    <cfRule type="expression" priority="13" dxfId="2">
      <formula>W7="Atende"</formula>
    </cfRule>
    <cfRule type="expression" priority="14" dxfId="0">
      <formula>W7="Parcial"</formula>
    </cfRule>
    <cfRule type="expression" priority="15" dxfId="1">
      <formula>OR(W7="Não atende",W7="Sem evidência")</formula>
    </cfRule>
  </conditionalFormatting>
  <conditionalFormatting sqref="AA7:AA34">
    <cfRule type="expression" priority="1" dxfId="2">
      <formula>AA7="Atende"</formula>
    </cfRule>
    <cfRule type="expression" priority="2" dxfId="0">
      <formula>AA7="Parcial"</formula>
    </cfRule>
    <cfRule type="expression" priority="3" dxfId="1">
      <formula>OR(AA7="Não atende",AA7="Sem evidência")</formula>
    </cfRule>
  </conditionalFormatting>
  <dataValidations count="1">
    <dataValidation sqref="C7:C34 G7:G34 K7:K34 O7:O34 S7:S34 W7:W34 AA7:AA34" showDropDown="0" showInputMessage="0" showErrorMessage="0" allowBlank="0" type="list">
      <formula1>"Atende,Parcial,Não atende,Sem evidência"</formula1>
    </dataValidation>
  </dataValidation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34"/>
  <sheetViews>
    <sheetView topLeftCell="A30" zoomScale="80" zoomScaleNormal="80" workbookViewId="0">
      <selection activeCell="U31" sqref="U31"/>
    </sheetView>
  </sheetViews>
  <sheetFormatPr baseColWidth="8" defaultRowHeight="14.4"/>
  <cols>
    <col width="8" customWidth="1" min="1" max="1"/>
    <col width="29" customWidth="1" min="2" max="2"/>
    <col width="27" customWidth="1" min="3" max="3"/>
    <col width="42" customWidth="1" min="4" max="4"/>
    <col width="25" customWidth="1" min="5" max="5"/>
    <col width="27" customWidth="1" min="6" max="6"/>
    <col width="42" customWidth="1" min="7" max="7"/>
    <col width="25" customWidth="1" min="8" max="8"/>
    <col width="27" customWidth="1" min="9" max="9"/>
    <col width="42" customWidth="1" min="10" max="10"/>
    <col width="25" customWidth="1" min="11" max="11"/>
    <col width="27" customWidth="1" min="12" max="12"/>
    <col width="42" customWidth="1" min="13" max="13"/>
    <col width="25" customWidth="1" min="14" max="14"/>
    <col width="27" customWidth="1" min="15" max="15"/>
    <col width="42" customWidth="1" min="16" max="16"/>
    <col width="25" customWidth="1" min="17" max="17"/>
    <col width="27" customWidth="1" min="18" max="18"/>
    <col width="42" customWidth="1" min="19" max="19"/>
    <col width="25" customWidth="1" min="20" max="20"/>
    <col width="27" customWidth="1" min="21" max="21"/>
    <col width="42" customWidth="1" min="22" max="22"/>
    <col width="25" customWidth="1" min="23" max="23"/>
    <col width="16" customWidth="1" min="24" max="24"/>
    <col width="31" customWidth="1" min="25" max="25"/>
  </cols>
  <sheetData>
    <row r="1" ht="22.35" customHeight="1">
      <c r="A1" s="8" t="inlineStr">
        <is>
          <t>07 — Maturidade / bônus</t>
        </is>
      </c>
    </row>
    <row r="2" ht="38.4" customHeight="1">
      <c r="A2" s="9" t="inlineStr">
        <is>
          <t>Bônus disponível: até 10 pontos. Cada pergunta deste bloco é exclusiva do bônus e não aparece nas dimensões de pontuação-base.</t>
        </is>
      </c>
    </row>
    <row r="4">
      <c r="A4" s="10" t="inlineStr">
        <is>
          <t>Identificação</t>
        </is>
      </c>
      <c r="C4" s="10" t="inlineStr">
        <is>
          <t>Bônus — Uso do canal Fala.BR</t>
        </is>
      </c>
      <c r="F4" s="10" t="inlineStr">
        <is>
          <t>Bônus — Designação por mandato</t>
        </is>
      </c>
      <c r="I4" s="10" t="inlineStr">
        <is>
          <t>Bônus — Dedicação da equipe</t>
        </is>
      </c>
      <c r="L4" s="10" t="inlineStr">
        <is>
          <t>Bônus — Requisitos de perfil para o cargo de Ouvidor</t>
        </is>
      </c>
      <c r="O4" s="10" t="inlineStr">
        <is>
          <t>Bônus — WhatsApp institucional</t>
        </is>
      </c>
      <c r="R4" s="10" t="inlineStr">
        <is>
          <t>Bônus — Outros canais eletrônicos institucionais</t>
        </is>
      </c>
      <c r="U4" s="10" t="inlineStr">
        <is>
          <t>Bônus — Materiais adicionais de divulgação e educação em direitos</t>
        </is>
      </c>
      <c r="X4" s="10" t="inlineStr">
        <is>
          <t>Resultado do bônus</t>
        </is>
      </c>
    </row>
    <row r="5" ht="43.2" customHeight="1">
      <c r="A5" s="2" t="inlineStr">
        <is>
          <t>UF</t>
        </is>
      </c>
      <c r="B5" s="2" t="inlineStr">
        <is>
          <t>Unidade Federativa</t>
        </is>
      </c>
      <c r="C5" s="2" t="inlineStr">
        <is>
          <t>M2-46 — Uso do canal Fala.BR (+3)</t>
        </is>
      </c>
      <c r="D5" s="2" t="inlineStr">
        <is>
          <t>Resposta do diagnóstico</t>
        </is>
      </c>
      <c r="E5" s="2" t="inlineStr">
        <is>
          <t>Fundamentação na IN nº 75/2026</t>
        </is>
      </c>
      <c r="F5" s="2" t="inlineStr">
        <is>
          <t>M0-08 — Designação por mandato (+1)</t>
        </is>
      </c>
      <c r="G5" s="2" t="inlineStr">
        <is>
          <t>Resposta do diagnóstico</t>
        </is>
      </c>
      <c r="H5" s="2" t="inlineStr">
        <is>
          <t>Fundamentação na IN nº 75/2026</t>
        </is>
      </c>
      <c r="I5" s="2" t="inlineStr">
        <is>
          <t>M3-60 — Dedicação da equipe (+1)</t>
        </is>
      </c>
      <c r="J5" s="2" t="inlineStr">
        <is>
          <t>Resposta do diagnóstico</t>
        </is>
      </c>
      <c r="K5" s="2" t="inlineStr">
        <is>
          <t>Fundamentação na IN nº 75/2026</t>
        </is>
      </c>
      <c r="L5" s="2" t="inlineStr">
        <is>
          <t>M3-58 — Requisitos de perfil para o cargo de Ouvidor (+1)</t>
        </is>
      </c>
      <c r="M5" s="2" t="inlineStr">
        <is>
          <t>Resposta do diagnóstico</t>
        </is>
      </c>
      <c r="N5" s="2" t="inlineStr">
        <is>
          <t>Fundamentação na IN nº 75/2026</t>
        </is>
      </c>
      <c r="O5" s="2" t="inlineStr">
        <is>
          <t>M2-50 — WhatsApp institucional (+1)</t>
        </is>
      </c>
      <c r="P5" s="2" t="inlineStr">
        <is>
          <t>Resposta do diagnóstico</t>
        </is>
      </c>
      <c r="Q5" s="2" t="inlineStr">
        <is>
          <t>Fundamentação na IN nº 75/2026</t>
        </is>
      </c>
      <c r="R5" s="2" t="inlineStr">
        <is>
          <t>M2-49 — Outros canais eletrônicos institucionais (+1)</t>
        </is>
      </c>
      <c r="S5" s="2" t="inlineStr">
        <is>
          <t>Resposta do diagnóstico</t>
        </is>
      </c>
      <c r="T5" s="2" t="inlineStr">
        <is>
          <t>Fundamentação na IN nº 75/2026</t>
        </is>
      </c>
      <c r="U5" s="2" t="inlineStr">
        <is>
          <t>M2-36 — Materiais adicionais de divulgação e educação em direitos (+2)</t>
        </is>
      </c>
      <c r="V5" s="2" t="inlineStr">
        <is>
          <t>Resposta do diagnóstico</t>
        </is>
      </c>
      <c r="W5" s="2" t="inlineStr">
        <is>
          <t>Fundamentação na IN nº 75/2026</t>
        </is>
      </c>
      <c r="X5" s="2" t="inlineStr">
        <is>
          <t>Bônus disponível /10</t>
        </is>
      </c>
      <c r="Y5" s="2" t="inlineStr">
        <is>
          <t>Evidências / observações</t>
        </is>
      </c>
    </row>
    <row r="6" ht="91.95" customHeight="1">
      <c r="A6" s="7" t="inlineStr">
        <is>
          <t>Como aplicar / resposta / fundamento →</t>
        </is>
      </c>
      <c r="C6" s="4" t="inlineStr">
        <is>
          <t>SIM: utiliza o Fala.BR. NÃO/SEM EVIDÊNCIA: 0. Valor: +3 ponto(s).</t>
        </is>
      </c>
      <c r="D6" s="5" t="inlineStr">
        <is>
          <t>Resposta original consolidada do diagnóstico.</t>
        </is>
      </c>
      <c r="E6" s="6" t="inlineStr">
        <is>
          <t>Art. 4º, V; art. 7º, §2º, III, e §5º.</t>
        </is>
      </c>
      <c r="F6" s="4" t="inlineStr">
        <is>
          <t>SIM: existe mandato fixo formalmente previsto. NÃO/SEM EVIDÊNCIA: 0. Valor: +1 ponto(s).</t>
        </is>
      </c>
      <c r="G6" s="5" t="inlineStr">
        <is>
          <t>Resposta original consolidada do diagnóstico.</t>
        </is>
      </c>
      <c r="H6" s="6" t="inlineStr">
        <is>
          <t>Art. 6º, §2º; art. 8º, §2º.</t>
        </is>
      </c>
      <c r="I6" s="4" t="inlineStr">
        <is>
          <t>SIM: há dedicação exclusiva da equipe. NÃO/SEM EVIDÊNCIA: 0. Valor: +1 ponto(s).</t>
        </is>
      </c>
      <c r="J6" s="5" t="inlineStr">
        <is>
          <t>Resposta original consolidada do diagnóstico.</t>
        </is>
      </c>
      <c r="K6" s="6" t="inlineStr">
        <is>
          <t>Art. 9º, caput.</t>
        </is>
      </c>
      <c r="L6" s="4" t="inlineStr">
        <is>
          <t>SIM: perfil atende aos requisitos preferenciais indicados na IN. NÃO/SEM EVIDÊNCIA: 0. Valor: +1 ponto(s).</t>
        </is>
      </c>
      <c r="M6" s="5" t="inlineStr">
        <is>
          <t>Resposta original consolidada do diagnóstico.</t>
        </is>
      </c>
      <c r="N6" s="6" t="inlineStr">
        <is>
          <t>Art. 8º, §1º.</t>
        </is>
      </c>
      <c r="O6" s="4" t="inlineStr">
        <is>
          <t>SIM: existe WhatsApp institucional utilizado pela Ouvidoria. NÃO/SEM EVIDÊNCIA: 0. Valor: +1 ponto(s).</t>
        </is>
      </c>
      <c r="P6" s="5" t="inlineStr">
        <is>
          <t>Resposta original consolidada do diagnóstico.</t>
        </is>
      </c>
      <c r="Q6" s="6" t="inlineStr">
        <is>
          <t>Art. 4º, III e V; art. 7º, §2º — canal adicional não previsto nominalmente.</t>
        </is>
      </c>
      <c r="R6" s="4" t="inlineStr">
        <is>
          <t>SIM: existem outros canais eletrônicos institucionais adicionais. NÃO/SEM EVIDÊNCIA: 0. Valor: +1 ponto(s).</t>
        </is>
      </c>
      <c r="S6" s="5" t="inlineStr">
        <is>
          <t>Resposta original consolidada do diagnóstico.</t>
        </is>
      </c>
      <c r="T6" s="6" t="inlineStr">
        <is>
          <t>Art. 4º, III e V; art. 7º, §2º.</t>
        </is>
      </c>
      <c r="U6" s="4" t="inlineStr">
        <is>
          <t>SIM: existem materiais adicionais de divulgação/educação em direitos. NÃO/SEM EVIDÊNCIA: 0. Valor: +2 ponto(s).</t>
        </is>
      </c>
      <c r="V6" s="5" t="inlineStr">
        <is>
          <t>Resposta original consolidada do diagnóstico.</t>
        </is>
      </c>
      <c r="W6" s="6" t="inlineStr">
        <is>
          <t>Art. 7º, §6º, III.</t>
        </is>
      </c>
      <c r="X6" s="9" t="inlineStr">
        <is>
          <t>Soma dos bônus comprovados.</t>
        </is>
      </c>
      <c r="Y6" s="9" t="inlineStr">
        <is>
          <t>Doc. SEI 37070578</t>
        </is>
      </c>
    </row>
    <row r="7" ht="36" customHeight="1">
      <c r="A7" s="3" t="inlineStr">
        <is>
          <t>AC</t>
        </is>
      </c>
      <c r="B7" s="3" t="inlineStr">
        <is>
          <t>Acre</t>
        </is>
      </c>
      <c r="C7" s="3" t="inlineStr">
        <is>
          <t>Sim</t>
        </is>
      </c>
      <c r="D7" s="5" t="inlineStr">
        <is>
          <t>O Fala.BR é utilizado apenas para parte das manifestações</t>
        </is>
      </c>
      <c r="E7" s="6" t="inlineStr">
        <is>
          <t>Art. 4º, V; art. 7º, §2º, III, e §5º.</t>
        </is>
      </c>
      <c r="F7" s="3" t="inlineStr">
        <is>
          <t>Não</t>
        </is>
      </c>
      <c r="G7" s="5" t="inlineStr">
        <is>
          <t>Sem mandato</t>
        </is>
      </c>
      <c r="H7" s="6" t="inlineStr">
        <is>
          <t>Art. 6º, §2º; art. 8º, §2º.</t>
        </is>
      </c>
      <c r="I7" s="3" t="inlineStr">
        <is>
          <t>Sim</t>
        </is>
      </c>
      <c r="J7" s="5" t="inlineStr">
        <is>
          <t>A equipe atua com dedicação exclusiva na Ouvidoria de Serviços Penais</t>
        </is>
      </c>
      <c r="K7" s="6" t="inlineStr">
        <is>
          <t>Art. 9º, caput.</t>
        </is>
      </c>
      <c r="L7" s="3" t="inlineStr">
        <is>
          <t>Sim</t>
        </is>
      </c>
      <c r="M7" s="5" t="inlineStr">
        <is>
          <t>Reputação ilibada;Conhecimento em gestão pública;Conhecimento em direitos humanos ou sistema penal;</t>
        </is>
      </c>
      <c r="N7" s="6" t="inlineStr">
        <is>
          <t>Art. 8º, §1º.</t>
        </is>
      </c>
      <c r="O7" s="3" t="inlineStr">
        <is>
          <t>Sim</t>
        </is>
      </c>
      <c r="P7" s="5" t="inlineStr">
        <is>
          <t>68 98112-4517</t>
        </is>
      </c>
      <c r="Q7" s="6" t="inlineStr">
        <is>
          <t>Art. 4º, III e V; art. 7º, §2º — canal adicional não previsto nominalmente.</t>
        </is>
      </c>
      <c r="R7" s="3" t="inlineStr">
        <is>
          <t>Sim</t>
        </is>
      </c>
      <c r="S7" s="5" t="inlineStr">
        <is>
          <t>WhatsApp institucional ou outro aplicativo de mensagem;ouvidoriaiapen@gmail.com;</t>
        </is>
      </c>
      <c r="T7" s="6" t="inlineStr">
        <is>
          <t>Art. 4º, III e V; art. 7º, §2º.</t>
        </is>
      </c>
      <c r="U7" s="3" t="inlineStr">
        <is>
          <t>Sim</t>
        </is>
      </c>
      <c r="V7" s="5" t="inlineStr">
        <is>
          <t>Cartões de contato da Ouvidoria;Conteúdos digitais no site ou portal institucional específicos da Ouvidoria de Serviços Penais;</t>
        </is>
      </c>
      <c r="W7" s="6" t="inlineStr">
        <is>
          <t>Art. 7º, §6º, III.</t>
        </is>
      </c>
      <c r="X7" s="3">
        <f>SUM(IF(C7="Sim",3,0),IF(F7="Sim",1,0),IF(I7="Sim",1,0),IF(L7="Sim",1,0),IF(O7="Sim",1,0),IF(R7="Sim",1,0),IF(U7="Sim",2,0))</f>
        <v/>
      </c>
      <c r="Y7" s="3" t="inlineStr">
        <is>
          <t>Doc. SEI 37070578</t>
        </is>
      </c>
    </row>
    <row r="8" ht="60" customHeight="1">
      <c r="A8" s="3" t="inlineStr">
        <is>
          <t>AL</t>
        </is>
      </c>
      <c r="B8" s="3" t="inlineStr">
        <is>
          <t>Alagoas</t>
        </is>
      </c>
      <c r="C8" s="3" t="inlineStr">
        <is>
          <t>Não</t>
        </is>
      </c>
      <c r="D8" s="5" t="inlineStr">
        <is>
          <t>Não utiliza o Fala.BR</t>
        </is>
      </c>
      <c r="E8" s="6" t="inlineStr">
        <is>
          <t>Art. 4º, V; art. 7º, §2º, III, e §5º.</t>
        </is>
      </c>
      <c r="F8" s="3" t="inlineStr">
        <is>
          <t>Não</t>
        </is>
      </c>
      <c r="G8" s="5" t="inlineStr">
        <is>
          <t>não</t>
        </is>
      </c>
      <c r="H8" s="6" t="inlineStr">
        <is>
          <t>Art. 6º, §2º; art. 8º, §2º.</t>
        </is>
      </c>
      <c r="I8" s="3" t="inlineStr">
        <is>
          <t>Sim</t>
        </is>
      </c>
      <c r="J8" s="5" t="inlineStr">
        <is>
          <t>A equipe atua com dedicação exclusiva na Ouvidoria de Serviços Penais</t>
        </is>
      </c>
      <c r="K8" s="6" t="inlineStr">
        <is>
          <t>Art. 9º, caput.</t>
        </is>
      </c>
      <c r="L8" s="3" t="inlineStr">
        <is>
          <t>Sim</t>
        </is>
      </c>
      <c r="M8" s="5" t="inlineStr">
        <is>
          <t>Reputação ilibada;Conhecimento em gestão pública;Conhecimento em direitos humanos ou sistema penal;</t>
        </is>
      </c>
      <c r="N8" s="6" t="inlineStr">
        <is>
          <t>Art. 8º, §1º.</t>
        </is>
      </c>
      <c r="O8" s="3" t="inlineStr">
        <is>
          <t>Sim</t>
        </is>
      </c>
      <c r="P8" s="5" t="inlineStr">
        <is>
          <t>82-98802-5049</t>
        </is>
      </c>
      <c r="Q8" s="6" t="inlineStr">
        <is>
          <t>Art. 4º, III e V; art. 7º, §2º — canal adicional não previsto nominalmente.</t>
        </is>
      </c>
      <c r="R8" s="3" t="inlineStr">
        <is>
          <t>Sim</t>
        </is>
      </c>
      <c r="S8" s="5" t="inlineStr">
        <is>
          <t>WhatsApp institucional ou outro aplicativo de mensagem;</t>
        </is>
      </c>
      <c r="T8" s="6" t="inlineStr">
        <is>
          <t>Art. 4º, III e V; art. 7º, §2º.</t>
        </is>
      </c>
      <c r="U8" s="3" t="inlineStr">
        <is>
          <t>Sim</t>
        </is>
      </c>
      <c r="V8" s="5" t="inlineStr">
        <is>
          <t>Folders, panfletos ou guias impressos explicando o papel da Ouvidoria e seus canais;Materiais educativos voltados a pessoas privadas de liberdade, familiares ou servidores(as) penais;Conteúdos digitais no site ou portal institucional específicos da Ouvidoria de Serviços Penais;</t>
        </is>
      </c>
      <c r="W8" s="6" t="inlineStr">
        <is>
          <t>Art. 7º, §6º, III.</t>
        </is>
      </c>
      <c r="X8" s="3">
        <f>SUM(IF(C8="Sim",3,0),IF(F8="Sim",1,0),IF(I8="Sim",1,0),IF(L8="Sim",1,0),IF(O8="Sim",1,0),IF(R8="Sim",1,0),IF(U8="Sim",2,0))</f>
        <v/>
      </c>
      <c r="Y8" s="3" t="inlineStr">
        <is>
          <t>Doc. SEI 37070578</t>
        </is>
      </c>
    </row>
    <row r="9" ht="36" customHeight="1">
      <c r="A9" s="3" t="inlineStr">
        <is>
          <t>AP</t>
        </is>
      </c>
      <c r="B9" s="3" t="inlineStr">
        <is>
          <t>Amapá</t>
        </is>
      </c>
      <c r="C9" s="3" t="inlineStr">
        <is>
          <t>Não</t>
        </is>
      </c>
      <c r="D9" s="5" t="inlineStr">
        <is>
          <t>Não utiliza o Fala.BR</t>
        </is>
      </c>
      <c r="E9" s="6" t="inlineStr">
        <is>
          <t>Art. 4º, V; art. 7º, §2º, III, e §5º.</t>
        </is>
      </c>
      <c r="F9" s="3" t="inlineStr">
        <is>
          <t>Não</t>
        </is>
      </c>
      <c r="G9" s="5" t="inlineStr">
        <is>
          <t>Não</t>
        </is>
      </c>
      <c r="H9" s="6" t="inlineStr">
        <is>
          <t>Art. 6º, §2º; art. 8º, §2º.</t>
        </is>
      </c>
      <c r="I9" s="3" t="inlineStr">
        <is>
          <t>Sim</t>
        </is>
      </c>
      <c r="J9" s="5" t="inlineStr">
        <is>
          <t>A equipe atua com dedicação exclusiva na Ouvidoria de Serviços Penais</t>
        </is>
      </c>
      <c r="K9" s="6" t="inlineStr">
        <is>
          <t>Art. 9º, caput.</t>
        </is>
      </c>
      <c r="L9" s="3" t="inlineStr">
        <is>
          <t>Sim</t>
        </is>
      </c>
      <c r="M9" s="5" t="inlineStr">
        <is>
          <t>Reputação ilibada;Conhecimento em gestão pública;Conhecimento em direitos humanos ou sistema penal;Experiência prévia em ouvidoria pública;</t>
        </is>
      </c>
      <c r="N9" s="6" t="inlineStr">
        <is>
          <t>Art. 8º, §1º.</t>
        </is>
      </c>
      <c r="O9" s="3" t="inlineStr">
        <is>
          <t>Sim</t>
        </is>
      </c>
      <c r="P9" s="5" t="inlineStr">
        <is>
          <t>96 98414-9015</t>
        </is>
      </c>
      <c r="Q9" s="6" t="inlineStr">
        <is>
          <t>Art. 4º, III e V; art. 7º, §2º — canal adicional não previsto nominalmente.</t>
        </is>
      </c>
      <c r="R9" s="3" t="inlineStr">
        <is>
          <t>Sim</t>
        </is>
      </c>
      <c r="S9" s="5" t="inlineStr">
        <is>
          <t>WhatsApp institucional ou outro aplicativo de mensagem;E-mail ;</t>
        </is>
      </c>
      <c r="T9" s="6" t="inlineStr">
        <is>
          <t>Art. 4º, III e V; art. 7º, §2º.</t>
        </is>
      </c>
      <c r="U9" s="3" t="inlineStr">
        <is>
          <t>Sim</t>
        </is>
      </c>
      <c r="V9" s="5" t="inlineStr">
        <is>
          <t>Conteúdos digitais no site ou portal institucional específicos da Ouvidoria de Serviços Penais;Outras peças ou campanhas de comunicação ou educação em direitos;</t>
        </is>
      </c>
      <c r="W9" s="6" t="inlineStr">
        <is>
          <t>Art. 7º, §6º, III.</t>
        </is>
      </c>
      <c r="X9" s="3">
        <f>SUM(IF(C9="Sim",3,0),IF(F9="Sim",1,0),IF(I9="Sim",1,0),IF(L9="Sim",1,0),IF(O9="Sim",1,0),IF(R9="Sim",1,0),IF(U9="Sim",2,0))</f>
        <v/>
      </c>
      <c r="Y9" s="3" t="inlineStr">
        <is>
          <t>Doc. SEI 37070578</t>
        </is>
      </c>
    </row>
    <row r="10" ht="60" customHeight="1">
      <c r="A10" s="3" t="inlineStr">
        <is>
          <t>AM</t>
        </is>
      </c>
      <c r="B10" s="3" t="inlineStr">
        <is>
          <t>Amazonas</t>
        </is>
      </c>
      <c r="C10" s="3" t="inlineStr">
        <is>
          <t>Sim</t>
        </is>
      </c>
      <c r="D10" s="5" t="inlineStr">
        <is>
          <t>O Fala.BR é utilizado apenas para parte das manifestações</t>
        </is>
      </c>
      <c r="E10" s="6" t="inlineStr">
        <is>
          <t>Art. 4º, V; art. 7º, §2º, III, e §5º.</t>
        </is>
      </c>
      <c r="F10" s="3" t="inlineStr">
        <is>
          <t>Não</t>
        </is>
      </c>
      <c r="G10" s="5" t="inlineStr">
        <is>
          <t>Negativo</t>
        </is>
      </c>
      <c r="H10" s="6" t="inlineStr">
        <is>
          <t>Art. 6º, §2º; art. 8º, §2º.</t>
        </is>
      </c>
      <c r="I10" s="3" t="inlineStr">
        <is>
          <t>Sim</t>
        </is>
      </c>
      <c r="J10" s="5" t="inlineStr">
        <is>
          <t>A equipe atua com dedicação exclusiva na Ouvidoria de Serviços Penais</t>
        </is>
      </c>
      <c r="K10" s="6" t="inlineStr">
        <is>
          <t>Art. 9º, caput.</t>
        </is>
      </c>
      <c r="L10" s="3" t="inlineStr">
        <is>
          <t>Sim</t>
        </is>
      </c>
      <c r="M10" s="5" t="inlineStr">
        <is>
          <t>Reputação ilibada;Conhecimento em gestão pública;Conhecimento em direitos humanos ou sistema penal;Experiência prévia em ouvidoria pública;</t>
        </is>
      </c>
      <c r="N10" s="6" t="inlineStr">
        <is>
          <t>Art. 8º, §1º.</t>
        </is>
      </c>
      <c r="O10" s="3" t="inlineStr">
        <is>
          <t>Sim</t>
        </is>
      </c>
      <c r="P10" s="5" t="inlineStr">
        <is>
          <t>92 9981033886 /92 99389-0160</t>
        </is>
      </c>
      <c r="Q10" s="6" t="inlineStr">
        <is>
          <t>Art. 4º, III e V; art. 7º, §2º — canal adicional não previsto nominalmente.</t>
        </is>
      </c>
      <c r="R10" s="3" t="inlineStr">
        <is>
          <t>Sim</t>
        </is>
      </c>
      <c r="S10" s="5" t="inlineStr">
        <is>
          <t>WhatsApp institucional ou outro aplicativo de mensagem;</t>
        </is>
      </c>
      <c r="T10" s="6" t="inlineStr">
        <is>
          <t>Art. 4º, III e V; art. 7º, §2º.</t>
        </is>
      </c>
      <c r="U10" s="3" t="inlineStr">
        <is>
          <t>Sim</t>
        </is>
      </c>
      <c r="V10" s="5" t="inlineStr">
        <is>
          <t>Conteúdos digitais no site ou portal institucional específicos da Ouvidoria de Serviços Penais;Materiais educativos voltados a pessoas privadas de liberdade, familiares ou servidores(as) penais;Folders, panfletos ou guias impressos explicando o papel da Ouvidoria e seus canais;</t>
        </is>
      </c>
      <c r="W10" s="6" t="inlineStr">
        <is>
          <t>Art. 7º, §6º, III.</t>
        </is>
      </c>
      <c r="X10" s="3">
        <f>SUM(IF(C10="Sim",3,0),IF(F10="Sim",1,0),IF(I10="Sim",1,0),IF(L10="Sim",1,0),IF(O10="Sim",1,0),IF(R10="Sim",1,0),IF(U10="Sim",2,0))</f>
        <v/>
      </c>
      <c r="Y10" s="3" t="inlineStr">
        <is>
          <t>Doc. SEI 37070578</t>
        </is>
      </c>
    </row>
    <row r="11" ht="36" customHeight="1">
      <c r="A11" s="3" t="inlineStr">
        <is>
          <t>BA</t>
        </is>
      </c>
      <c r="B11" s="3" t="inlineStr">
        <is>
          <t>Bahia</t>
        </is>
      </c>
      <c r="C11" s="3" t="inlineStr">
        <is>
          <t>Não</t>
        </is>
      </c>
      <c r="D11" s="5" t="inlineStr">
        <is>
          <t>Não utiliza o Fala.BR</t>
        </is>
      </c>
      <c r="E11" s="6" t="inlineStr">
        <is>
          <t>Art. 4º, V; art. 7º, §2º, III, e §5º.</t>
        </is>
      </c>
      <c r="F11" s="3" t="inlineStr">
        <is>
          <t>Não</t>
        </is>
      </c>
      <c r="G11" s="5" t="inlineStr">
        <is>
          <t>Não</t>
        </is>
      </c>
      <c r="H11" s="6" t="inlineStr">
        <is>
          <t>Art. 6º, §2º; art. 8º, §2º.</t>
        </is>
      </c>
      <c r="I11" s="3" t="inlineStr">
        <is>
          <t>Não</t>
        </is>
      </c>
      <c r="J11" s="5" t="inlineStr">
        <is>
          <t>Parte da equipe tem dedicação prioritária, mas acumula outras funções relevantes</t>
        </is>
      </c>
      <c r="K11" s="6" t="inlineStr">
        <is>
          <t>Art. 9º, caput.</t>
        </is>
      </c>
      <c r="L11" s="3" t="inlineStr">
        <is>
          <t>Sim</t>
        </is>
      </c>
      <c r="M11" s="5" t="inlineStr">
        <is>
          <t>Reputação ilibada;</t>
        </is>
      </c>
      <c r="N11" s="6" t="inlineStr">
        <is>
          <t>Art. 8º, §1º.</t>
        </is>
      </c>
      <c r="O11" s="3" t="inlineStr">
        <is>
          <t>Não</t>
        </is>
      </c>
      <c r="P11" s="5" t="inlineStr">
        <is>
          <t>Sem resposta no diagnóstico</t>
        </is>
      </c>
      <c r="Q11" s="6" t="inlineStr">
        <is>
          <t>Art. 4º, III e V; art. 7º, §2º — canal adicional não previsto nominalmente.</t>
        </is>
      </c>
      <c r="R11" s="3" t="inlineStr">
        <is>
          <t>Sim</t>
        </is>
      </c>
      <c r="S11" s="5" t="inlineStr">
        <is>
          <t>e-mail, telefone, TAG (sistema das ouvidorias - site e 0800);</t>
        </is>
      </c>
      <c r="T11" s="6" t="inlineStr">
        <is>
          <t>Art. 4º, III e V; art. 7º, §2º.</t>
        </is>
      </c>
      <c r="U11" s="3" t="inlineStr">
        <is>
          <t>Sim</t>
        </is>
      </c>
      <c r="V11" s="5" t="inlineStr">
        <is>
          <t>Cartões de contato da Ouvidoria;</t>
        </is>
      </c>
      <c r="W11" s="6" t="inlineStr">
        <is>
          <t>Art. 7º, §6º, III.</t>
        </is>
      </c>
      <c r="X11" s="3">
        <f>SUM(IF(C11="Sim",3,0),IF(F11="Sim",1,0),IF(I11="Sim",1,0),IF(L11="Sim",1,0),IF(O11="Sim",1,0),IF(R11="Sim",1,0),IF(U11="Sim",2,0))</f>
        <v/>
      </c>
      <c r="Y11" s="3" t="inlineStr">
        <is>
          <t>Doc. SEI 37070578</t>
        </is>
      </c>
    </row>
    <row r="12" ht="36" customHeight="1">
      <c r="A12" s="3" t="inlineStr">
        <is>
          <t>CE</t>
        </is>
      </c>
      <c r="B12" s="3" t="inlineStr">
        <is>
          <t>Ceará</t>
        </is>
      </c>
      <c r="C12" s="3" t="inlineStr">
        <is>
          <t>Não</t>
        </is>
      </c>
      <c r="D12" s="5" t="inlineStr">
        <is>
          <t>Não utiliza o Fala.BR</t>
        </is>
      </c>
      <c r="E12" s="6" t="inlineStr">
        <is>
          <t>Art. 4º, V; art. 7º, §2º, III, e §5º.</t>
        </is>
      </c>
      <c r="F12" s="3" t="inlineStr">
        <is>
          <t>Não</t>
        </is>
      </c>
      <c r="G12" s="5" t="inlineStr">
        <is>
          <t>Não. No Ceará designação se dá por livre nomeação e exoneração.</t>
        </is>
      </c>
      <c r="H12" s="6" t="inlineStr">
        <is>
          <t>Art. 6º, §2º; art. 8º, §2º.</t>
        </is>
      </c>
      <c r="I12" s="3" t="inlineStr">
        <is>
          <t>Sim</t>
        </is>
      </c>
      <c r="J12" s="5" t="inlineStr">
        <is>
          <t>A equipe atua com dedicação exclusiva na Ouvidoria de Serviços Penais</t>
        </is>
      </c>
      <c r="K12" s="6" t="inlineStr">
        <is>
          <t>Art. 9º, caput.</t>
        </is>
      </c>
      <c r="L12" s="3" t="inlineStr">
        <is>
          <t>Sim</t>
        </is>
      </c>
      <c r="M12" s="5" t="inlineStr">
        <is>
          <t>Reputação ilibada;Conhecimento em gestão pública;Conhecimento em direitos humanos ou sistema penal;Experiência prévia em ouvidoria pública;</t>
        </is>
      </c>
      <c r="N12" s="6" t="inlineStr">
        <is>
          <t>Art. 8º, §1º.</t>
        </is>
      </c>
      <c r="O12" s="3" t="inlineStr">
        <is>
          <t>Não</t>
        </is>
      </c>
      <c r="P12" s="5" t="inlineStr">
        <is>
          <t>155</t>
        </is>
      </c>
      <c r="Q12" s="6" t="inlineStr">
        <is>
          <t>Art. 4º, III e V; art. 7º, §2º — canal adicional não previsto nominalmente.</t>
        </is>
      </c>
      <c r="R12" s="3" t="inlineStr">
        <is>
          <t>Sim</t>
        </is>
      </c>
      <c r="S12" s="5" t="inlineStr">
        <is>
          <t>cearatransparente.ce.gov.br ;</t>
        </is>
      </c>
      <c r="T12" s="6" t="inlineStr">
        <is>
          <t>Art. 4º, III e V; art. 7º, §2º.</t>
        </is>
      </c>
      <c r="U12" s="3" t="inlineStr">
        <is>
          <t>Sim</t>
        </is>
      </c>
      <c r="V12" s="5" t="inlineStr">
        <is>
          <t>Folders, panfletos ou guias impressos explicando o papel da Ouvidoria e seus canais;</t>
        </is>
      </c>
      <c r="W12" s="6" t="inlineStr">
        <is>
          <t>Art. 7º, §6º, III.</t>
        </is>
      </c>
      <c r="X12" s="3">
        <f>SUM(IF(C12="Sim",3,0),IF(F12="Sim",1,0),IF(I12="Sim",1,0),IF(L12="Sim",1,0),IF(O12="Sim",1,0),IF(R12="Sim",1,0),IF(U12="Sim",2,0))</f>
        <v/>
      </c>
      <c r="Y12" s="3" t="inlineStr">
        <is>
          <t>Doc. SEI 37070578</t>
        </is>
      </c>
    </row>
    <row r="13" ht="36" customHeight="1">
      <c r="A13" s="3" t="inlineStr">
        <is>
          <t>DF</t>
        </is>
      </c>
      <c r="B13" s="3" t="inlineStr">
        <is>
          <t>Distrito Federal</t>
        </is>
      </c>
      <c r="C13" s="3" t="inlineStr">
        <is>
          <t>Não</t>
        </is>
      </c>
      <c r="D13" s="5" t="inlineStr">
        <is>
          <t>Não utiliza o Fala.BR</t>
        </is>
      </c>
      <c r="E13" s="6" t="inlineStr">
        <is>
          <t>Art. 4º, V; art. 7º, §2º, III, e §5º.</t>
        </is>
      </c>
      <c r="F13" s="3" t="inlineStr">
        <is>
          <t>Não</t>
        </is>
      </c>
      <c r="G13" s="5" t="inlineStr">
        <is>
          <t>Não.</t>
        </is>
      </c>
      <c r="H13" s="6" t="inlineStr">
        <is>
          <t>Art. 6º, §2º; art. 8º, §2º.</t>
        </is>
      </c>
      <c r="I13" s="3" t="inlineStr">
        <is>
          <t>Não</t>
        </is>
      </c>
      <c r="J13" s="5" t="inlineStr">
        <is>
          <t>Parte da equipe tem dedicação prioritária, mas acumula outras funções relevantes</t>
        </is>
      </c>
      <c r="K13" s="6" t="inlineStr">
        <is>
          <t>Art. 9º, caput.</t>
        </is>
      </c>
      <c r="L13" s="3" t="inlineStr">
        <is>
          <t>Sim</t>
        </is>
      </c>
      <c r="M13" s="5" t="inlineStr">
        <is>
          <t>Reputação ilibada;Conhecimento em gestão pública;</t>
        </is>
      </c>
      <c r="N13" s="6" t="inlineStr">
        <is>
          <t>Art. 8º, §1º.</t>
        </is>
      </c>
      <c r="O13" s="3" t="inlineStr">
        <is>
          <t>Não</t>
        </is>
      </c>
      <c r="P13" s="5" t="inlineStr">
        <is>
          <t>Sem resposta no diagnóstico</t>
        </is>
      </c>
      <c r="Q13" s="6" t="inlineStr">
        <is>
          <t>Art. 4º, III e V; art. 7º, §2º — canal adicional não previsto nominalmente.</t>
        </is>
      </c>
      <c r="R13" s="3" t="inlineStr">
        <is>
          <t>Não</t>
        </is>
      </c>
      <c r="S13" s="5" t="inlineStr">
        <is>
          <t>Não se aplica. Vedação legal do GDF;</t>
        </is>
      </c>
      <c r="T13" s="6" t="inlineStr">
        <is>
          <t>Art. 4º, III e V; art. 7º, §2º.</t>
        </is>
      </c>
      <c r="U13" s="3" t="inlineStr">
        <is>
          <t>Sim</t>
        </is>
      </c>
      <c r="V13" s="5" t="inlineStr">
        <is>
          <t>Folders, panfletos ou guias impressos explicando o papel da Ouvidoria e seus canais;Conteúdos digitais no site ou portal institucional específicos da Ouvidoria de Serviços Penais;</t>
        </is>
      </c>
      <c r="W13" s="6" t="inlineStr">
        <is>
          <t>Art. 7º, §6º, III.</t>
        </is>
      </c>
      <c r="X13" s="3">
        <f>SUM(IF(C13="Sim",3,0),IF(F13="Sim",1,0),IF(I13="Sim",1,0),IF(L13="Sim",1,0),IF(O13="Sim",1,0),IF(R13="Sim",1,0),IF(U13="Sim",2,0))</f>
        <v/>
      </c>
      <c r="Y13" s="3" t="inlineStr">
        <is>
          <t>Doc. SEI 37070578</t>
        </is>
      </c>
    </row>
    <row r="14" ht="60" customHeight="1">
      <c r="A14" s="3" t="inlineStr">
        <is>
          <t>ES</t>
        </is>
      </c>
      <c r="B14" s="3" t="inlineStr">
        <is>
          <t>Espírito Santo — Polícia Penal</t>
        </is>
      </c>
      <c r="C14" s="3" t="inlineStr">
        <is>
          <t>Não</t>
        </is>
      </c>
      <c r="D14" s="5" t="inlineStr">
        <is>
          <t>Não utiliza o Fala.BR</t>
        </is>
      </c>
      <c r="E14" s="6" t="inlineStr">
        <is>
          <t>Art. 4º, V; art. 7º, §2º, III, e §5º.</t>
        </is>
      </c>
      <c r="F14" s="3" t="inlineStr">
        <is>
          <t>Sim</t>
        </is>
      </c>
      <c r="G14" s="5" t="inlineStr">
        <is>
          <t>05/01/2026 a 03/02/2026</t>
        </is>
      </c>
      <c r="H14" s="6" t="inlineStr">
        <is>
          <t>Art. 6º, §2º; art. 8º, §2º.</t>
        </is>
      </c>
      <c r="I14" s="3" t="inlineStr">
        <is>
          <t>Sim</t>
        </is>
      </c>
      <c r="J14" s="5" t="inlineStr">
        <is>
          <t>A equipe atua com dedicação exclusiva na Ouvidoria de Serviços Penais</t>
        </is>
      </c>
      <c r="K14" s="6" t="inlineStr">
        <is>
          <t>Art. 9º, caput.</t>
        </is>
      </c>
      <c r="L14" s="3" t="inlineStr">
        <is>
          <t>Sim</t>
        </is>
      </c>
      <c r="M14" s="5" t="inlineStr">
        <is>
          <t>Reputação ilibada;Conhecimento em direitos humanos ou sistema penal;Conhecimento em gestão pública;</t>
        </is>
      </c>
      <c r="N14" s="6" t="inlineStr">
        <is>
          <t>Art. 8º, §1º.</t>
        </is>
      </c>
      <c r="O14" s="3" t="inlineStr">
        <is>
          <t>Sim</t>
        </is>
      </c>
      <c r="P14" s="5" t="inlineStr">
        <is>
          <t>(27) 99316-7687</t>
        </is>
      </c>
      <c r="Q14" s="6" t="inlineStr">
        <is>
          <t>Art. 4º, III e V; art. 7º, §2º — canal adicional não previsto nominalmente.</t>
        </is>
      </c>
      <c r="R14" s="3" t="inlineStr">
        <is>
          <t>Sim</t>
        </is>
      </c>
      <c r="S14" s="5" t="inlineStr">
        <is>
          <t>WhatsApp institucional ou outro aplicativo de mensagem;</t>
        </is>
      </c>
      <c r="T14" s="6" t="inlineStr">
        <is>
          <t>Art. 4º, III e V; art. 7º, §2º.</t>
        </is>
      </c>
      <c r="U14" s="3" t="inlineStr">
        <is>
          <t>Sim</t>
        </is>
      </c>
      <c r="V14" s="5" t="inlineStr">
        <is>
          <t>Folders, panfletos ou guias impressos explicando o papel da Ouvidoria e seus canais;Conteúdos digitais no site ou portal institucional específicos da Ouvidoria de Serviços Penais;Outras peças ou campanhas de comunicação ou educação em direitos;</t>
        </is>
      </c>
      <c r="W14" s="6" t="inlineStr">
        <is>
          <t>Art. 7º, §6º, III.</t>
        </is>
      </c>
      <c r="X14" s="3">
        <f>SUM(IF(C14="Sim",3,0),IF(F14="Sim",1,0),IF(I14="Sim",1,0),IF(L14="Sim",1,0),IF(O14="Sim",1,0),IF(R14="Sim",1,0),IF(U14="Sim",2,0))</f>
        <v/>
      </c>
      <c r="Y14" s="3" t="inlineStr">
        <is>
          <t>Doc. SEI 37070578</t>
        </is>
      </c>
    </row>
    <row r="15" ht="36" customHeight="1">
      <c r="A15" s="3" t="inlineStr">
        <is>
          <t>ES</t>
        </is>
      </c>
      <c r="B15" s="3" t="inlineStr">
        <is>
          <t>Espírito Santo — SEJUS/ES</t>
        </is>
      </c>
      <c r="C15" s="3" t="inlineStr">
        <is>
          <t>Não</t>
        </is>
      </c>
      <c r="D15" s="5" t="inlineStr">
        <is>
          <t>Não utiliza o Fala.BR</t>
        </is>
      </c>
      <c r="E15" s="6" t="inlineStr">
        <is>
          <t>Art. 4º, V; art. 7º, §2º, III, e §5º.</t>
        </is>
      </c>
      <c r="F15" s="3" t="inlineStr">
        <is>
          <t>Não</t>
        </is>
      </c>
      <c r="G15" s="5" t="inlineStr">
        <is>
          <t>Não.</t>
        </is>
      </c>
      <c r="H15" s="6" t="inlineStr">
        <is>
          <t>Art. 6º, §2º; art. 8º, §2º.</t>
        </is>
      </c>
      <c r="I15" s="3" t="inlineStr">
        <is>
          <t>Não</t>
        </is>
      </c>
      <c r="J15" s="5" t="inlineStr">
        <is>
          <t>A equipe atua de forma predominantemente residual (ouvidoria é atividade secundária)</t>
        </is>
      </c>
      <c r="K15" s="6" t="inlineStr">
        <is>
          <t>Art. 9º, caput.</t>
        </is>
      </c>
      <c r="L15" s="3" t="inlineStr">
        <is>
          <t>Sim</t>
        </is>
      </c>
      <c r="M15" s="5" t="inlineStr">
        <is>
          <t>Reputação ilibada;Conhecimento em gestão pública;Conhecimento em direitos humanos ou sistema penal;Experiência prévia em ouvidoria pública;</t>
        </is>
      </c>
      <c r="N15" s="6" t="inlineStr">
        <is>
          <t>Art. 8º, §1º.</t>
        </is>
      </c>
      <c r="O15" s="3" t="inlineStr">
        <is>
          <t>Não</t>
        </is>
      </c>
      <c r="P15" s="5" t="inlineStr">
        <is>
          <t>Não tem.</t>
        </is>
      </c>
      <c r="Q15" s="6" t="inlineStr">
        <is>
          <t>Art. 4º, III e V; art. 7º, §2º — canal adicional não previsto nominalmente.</t>
        </is>
      </c>
      <c r="R15" s="3" t="inlineStr">
        <is>
          <t>Sim</t>
        </is>
      </c>
      <c r="S15" s="5" t="inlineStr">
        <is>
          <t>Os canais da Ouvidoria Geral são: Presencial, site, e-mail e telefone.;</t>
        </is>
      </c>
      <c r="T15" s="6" t="inlineStr">
        <is>
          <t>Art. 4º, III e V; art. 7º, §2º.</t>
        </is>
      </c>
      <c r="U15" s="3" t="inlineStr">
        <is>
          <t>Sim</t>
        </is>
      </c>
      <c r="V15" s="5" t="inlineStr">
        <is>
          <t>Outras peças ou campanhas de comunicação ou educação em direitos;</t>
        </is>
      </c>
      <c r="W15" s="6" t="inlineStr">
        <is>
          <t>Art. 7º, §6º, III.</t>
        </is>
      </c>
      <c r="X15" s="3">
        <f>SUM(IF(C15="Sim",3,0),IF(F15="Sim",1,0),IF(I15="Sim",1,0),IF(L15="Sim",1,0),IF(O15="Sim",1,0),IF(R15="Sim",1,0),IF(U15="Sim",2,0))</f>
        <v/>
      </c>
      <c r="Y15" s="3" t="inlineStr">
        <is>
          <t>Doc. SEI 37070578</t>
        </is>
      </c>
    </row>
    <row r="16" ht="36" customHeight="1">
      <c r="A16" s="3" t="inlineStr">
        <is>
          <t>GO</t>
        </is>
      </c>
      <c r="B16" s="3" t="inlineStr">
        <is>
          <t>Goiás</t>
        </is>
      </c>
      <c r="C16" s="3" t="inlineStr">
        <is>
          <t>Não</t>
        </is>
      </c>
      <c r="D16" s="5" t="inlineStr">
        <is>
          <t>Não utiliza o Fala.BR</t>
        </is>
      </c>
      <c r="E16" s="6" t="inlineStr">
        <is>
          <t>Art. 4º, V; art. 7º, §2º, III, e §5º.</t>
        </is>
      </c>
      <c r="F16" s="3" t="inlineStr">
        <is>
          <t>Não</t>
        </is>
      </c>
      <c r="G16" s="5" t="inlineStr">
        <is>
          <t>Não</t>
        </is>
      </c>
      <c r="H16" s="6" t="inlineStr">
        <is>
          <t>Art. 6º, §2º; art. 8º, §2º.</t>
        </is>
      </c>
      <c r="I16" s="3" t="inlineStr">
        <is>
          <t>Sim</t>
        </is>
      </c>
      <c r="J16" s="5" t="inlineStr">
        <is>
          <t>A equipe atua com dedicação exclusiva na Ouvidoria de Serviços Penais</t>
        </is>
      </c>
      <c r="K16" s="6" t="inlineStr">
        <is>
          <t>Art. 9º, caput.</t>
        </is>
      </c>
      <c r="L16" s="3" t="inlineStr">
        <is>
          <t>Sim</t>
        </is>
      </c>
      <c r="M16" s="5" t="inlineStr">
        <is>
          <t>Reputação ilibada;Conhecimento em gestão pública;Conhecimento em direitos humanos ou sistema penal;</t>
        </is>
      </c>
      <c r="N16" s="6" t="inlineStr">
        <is>
          <t>Art. 8º, §1º.</t>
        </is>
      </c>
      <c r="O16" s="3" t="inlineStr">
        <is>
          <t>Não</t>
        </is>
      </c>
      <c r="P16" s="5" t="inlineStr">
        <is>
          <t>Sem resposta no diagnóstico</t>
        </is>
      </c>
      <c r="Q16" s="6" t="inlineStr">
        <is>
          <t>Art. 4º, III e V; art. 7º, §2º — canal adicional não previsto nominalmente.</t>
        </is>
      </c>
      <c r="R16" s="3" t="inlineStr">
        <is>
          <t>Sim</t>
        </is>
      </c>
      <c r="S16" s="5" t="inlineStr">
        <is>
          <t>Serviço 0800 ou linha telefônica especial;</t>
        </is>
      </c>
      <c r="T16" s="6" t="inlineStr">
        <is>
          <t>Art. 4º, III e V; art. 7º, §2º.</t>
        </is>
      </c>
      <c r="U16" s="3" t="inlineStr">
        <is>
          <t>Sim</t>
        </is>
      </c>
      <c r="V16" s="5" t="inlineStr">
        <is>
          <t>Conteúdos digitais no site ou portal institucional específicos da Ouvidoria de Serviços Penais;</t>
        </is>
      </c>
      <c r="W16" s="6" t="inlineStr">
        <is>
          <t>Art. 7º, §6º, III.</t>
        </is>
      </c>
      <c r="X16" s="3">
        <f>SUM(IF(C16="Sim",3,0),IF(F16="Sim",1,0),IF(I16="Sim",1,0),IF(L16="Sim",1,0),IF(O16="Sim",1,0),IF(R16="Sim",1,0),IF(U16="Sim",2,0))</f>
        <v/>
      </c>
      <c r="Y16" s="3" t="inlineStr">
        <is>
          <t>Doc. SEI 37070578</t>
        </is>
      </c>
    </row>
    <row r="17" ht="36" customHeight="1">
      <c r="A17" s="3" t="inlineStr">
        <is>
          <t>MA</t>
        </is>
      </c>
      <c r="B17" s="3" t="inlineStr">
        <is>
          <t>Maranhão</t>
        </is>
      </c>
      <c r="C17" s="3" t="inlineStr">
        <is>
          <t>Não</t>
        </is>
      </c>
      <c r="D17" s="5" t="inlineStr">
        <is>
          <t>Não utiliza o Fala.BR</t>
        </is>
      </c>
      <c r="E17" s="6" t="inlineStr">
        <is>
          <t>Art. 4º, V; art. 7º, §2º, III, e §5º.</t>
        </is>
      </c>
      <c r="F17" s="3" t="inlineStr">
        <is>
          <t>Não</t>
        </is>
      </c>
      <c r="G17" s="5" t="inlineStr">
        <is>
          <t>NÃO</t>
        </is>
      </c>
      <c r="H17" s="6" t="inlineStr">
        <is>
          <t>Art. 6º, §2º; art. 8º, §2º.</t>
        </is>
      </c>
      <c r="I17" s="3" t="inlineStr">
        <is>
          <t>Sim</t>
        </is>
      </c>
      <c r="J17" s="5" t="inlineStr">
        <is>
          <t>A equipe atua com dedicação exclusiva na Ouvidoria de Serviços Penais</t>
        </is>
      </c>
      <c r="K17" s="6" t="inlineStr">
        <is>
          <t>Art. 9º, caput.</t>
        </is>
      </c>
      <c r="L17" s="3" t="inlineStr">
        <is>
          <t>Sim</t>
        </is>
      </c>
      <c r="M17" s="5" t="inlineStr">
        <is>
          <t>Reputação ilibada;Conhecimento em gestão pública;Experiência prévia em ouvidoria pública;</t>
        </is>
      </c>
      <c r="N17" s="6" t="inlineStr">
        <is>
          <t>Art. 8º, §1º.</t>
        </is>
      </c>
      <c r="O17" s="3" t="inlineStr">
        <is>
          <t>Sim</t>
        </is>
      </c>
      <c r="P17" s="5" t="inlineStr">
        <is>
          <t>(98) 99181-7012</t>
        </is>
      </c>
      <c r="Q17" s="6" t="inlineStr">
        <is>
          <t>Art. 4º, III e V; art. 7º, §2º — canal adicional não previsto nominalmente.</t>
        </is>
      </c>
      <c r="R17" s="3" t="inlineStr">
        <is>
          <t>Sim</t>
        </is>
      </c>
      <c r="S17" s="5" t="inlineStr">
        <is>
          <t>WhatsApp institucional ou outro aplicativo de mensagem;Serviço 0800 ou linha telefônica especial;</t>
        </is>
      </c>
      <c r="T17" s="6" t="inlineStr">
        <is>
          <t>Art. 4º, III e V; art. 7º, §2º.</t>
        </is>
      </c>
      <c r="U17" s="3" t="inlineStr">
        <is>
          <t>Sim</t>
        </is>
      </c>
      <c r="V17" s="5" t="inlineStr">
        <is>
          <t>Cartões de contato da Ouvidoria;Conteúdos digitais no site ou portal institucional específicos da Ouvidoria de Serviços Penais;</t>
        </is>
      </c>
      <c r="W17" s="6" t="inlineStr">
        <is>
          <t>Art. 7º, §6º, III.</t>
        </is>
      </c>
      <c r="X17" s="3">
        <f>SUM(IF(C17="Sim",3,0),IF(F17="Sim",1,0),IF(I17="Sim",1,0),IF(L17="Sim",1,0),IF(O17="Sim",1,0),IF(R17="Sim",1,0),IF(U17="Sim",2,0))</f>
        <v/>
      </c>
      <c r="Y17" s="3" t="inlineStr">
        <is>
          <t>Doc. SEI 37070578</t>
        </is>
      </c>
    </row>
    <row r="18" ht="84" customHeight="1">
      <c r="A18" s="3" t="inlineStr">
        <is>
          <t>MT</t>
        </is>
      </c>
      <c r="B18" s="3" t="inlineStr">
        <is>
          <t>Mato Grosso</t>
        </is>
      </c>
      <c r="C18" s="3" t="inlineStr">
        <is>
          <t>Sim</t>
        </is>
      </c>
      <c r="D18" s="5" t="inlineStr">
        <is>
          <t>O Fala.BR é utilizado como sistema principal de registro e gestão das manifestações</t>
        </is>
      </c>
      <c r="E18" s="6" t="inlineStr">
        <is>
          <t>Art. 4º, V; art. 7º, §2º, III, e §5º.</t>
        </is>
      </c>
      <c r="F18" s="3" t="inlineStr">
        <is>
          <t>Sim</t>
        </is>
      </c>
      <c r="G18" s="5" t="inlineStr">
        <is>
          <t>permanente</t>
        </is>
      </c>
      <c r="H18" s="6" t="inlineStr">
        <is>
          <t>Art. 6º, §2º; art. 8º, §2º.</t>
        </is>
      </c>
      <c r="I18" s="3" t="inlineStr">
        <is>
          <t>Sim</t>
        </is>
      </c>
      <c r="J18" s="5" t="inlineStr">
        <is>
          <t>A equipe atua com dedicação exclusiva na Ouvidoria de Serviços Penais</t>
        </is>
      </c>
      <c r="K18" s="6" t="inlineStr">
        <is>
          <t>Art. 9º, caput.</t>
        </is>
      </c>
      <c r="L18" s="3" t="inlineStr">
        <is>
          <t>Sim</t>
        </is>
      </c>
      <c r="M18" s="5" t="inlineStr">
        <is>
          <t>Reputação ilibada;Conhecimento em gestão pública;Conhecimento em direitos humanos ou sistema penal;</t>
        </is>
      </c>
      <c r="N18" s="6" t="inlineStr">
        <is>
          <t>Art. 8º, §1º.</t>
        </is>
      </c>
      <c r="O18" s="3" t="inlineStr">
        <is>
          <t>Sim</t>
        </is>
      </c>
      <c r="P18" s="5" t="inlineStr">
        <is>
          <t>+556581300380</t>
        </is>
      </c>
      <c r="Q18" s="6" t="inlineStr">
        <is>
          <t>Art. 4º, III e V; art. 7º, §2º — canal adicional não previsto nominalmente.</t>
        </is>
      </c>
      <c r="R18" s="3" t="inlineStr">
        <is>
          <t>Sim</t>
        </is>
      </c>
      <c r="S18" s="5" t="inlineStr">
        <is>
          <t>WhatsApp institucional ou outro aplicativo de mensagem;fala Cidadão;</t>
        </is>
      </c>
      <c r="T18" s="6" t="inlineStr">
        <is>
          <t>Art. 4º, III e V; art. 7º, §2º.</t>
        </is>
      </c>
      <c r="U18" s="3" t="inlineStr">
        <is>
          <t>Sim</t>
        </is>
      </c>
      <c r="V18" s="5" t="inlineStr">
        <is>
          <t>Cartões de contato da Ouvidoria;Folders, panfletos ou guias impressos explicando o papel da Ouvidoria e seus canais;Materiais educativos voltados a pessoas privadas de liberdade, familiares ou servidores(as) penais;Conteúdos digitais no site ou portal institucional específicos da Ouvidoria de Serviços Penais;Outras peças ou campanhas de comunicação ou educação em direitos;</t>
        </is>
      </c>
      <c r="W18" s="6" t="inlineStr">
        <is>
          <t>Art. 7º, §6º, III.</t>
        </is>
      </c>
      <c r="X18" s="3">
        <f>SUM(IF(C18="Sim",3,0),IF(F18="Sim",1,0),IF(I18="Sim",1,0),IF(L18="Sim",1,0),IF(O18="Sim",1,0),IF(R18="Sim",1,0),IF(U18="Sim",2,0))</f>
        <v/>
      </c>
      <c r="Y18" s="3" t="inlineStr">
        <is>
          <t>Doc. SEI 37070578</t>
        </is>
      </c>
    </row>
    <row r="19" ht="36" customHeight="1">
      <c r="A19" s="3" t="inlineStr">
        <is>
          <t>MS</t>
        </is>
      </c>
      <c r="B19" s="3" t="inlineStr">
        <is>
          <t>Mato Grosso do Sul</t>
        </is>
      </c>
      <c r="C19" s="3" t="inlineStr">
        <is>
          <t>Sim</t>
        </is>
      </c>
      <c r="D19" s="5" t="inlineStr">
        <is>
          <t>O Fala.BR é utilizado como sistema principal de registro e gestão das manifestações</t>
        </is>
      </c>
      <c r="E19" s="6" t="inlineStr">
        <is>
          <t>Art. 4º, V; art. 7º, §2º, III, e §5º.</t>
        </is>
      </c>
      <c r="F19" s="3" t="inlineStr">
        <is>
          <t>Não</t>
        </is>
      </c>
      <c r="G19" s="5" t="inlineStr">
        <is>
          <t>NÃO</t>
        </is>
      </c>
      <c r="H19" s="6" t="inlineStr">
        <is>
          <t>Art. 6º, §2º; art. 8º, §2º.</t>
        </is>
      </c>
      <c r="I19" s="3" t="inlineStr">
        <is>
          <t>Sim</t>
        </is>
      </c>
      <c r="J19" s="5" t="inlineStr">
        <is>
          <t>A equipe atua com dedicação exclusiva na Ouvidoria de Serviços Penais</t>
        </is>
      </c>
      <c r="K19" s="6" t="inlineStr">
        <is>
          <t>Art. 9º, caput.</t>
        </is>
      </c>
      <c r="L19" s="3" t="inlineStr">
        <is>
          <t>Sim</t>
        </is>
      </c>
      <c r="M19" s="5" t="inlineStr">
        <is>
          <t>Reputação ilibada;Conhecimento em gestão pública;Conhecimento em direitos humanos ou sistema penal;</t>
        </is>
      </c>
      <c r="N19" s="6" t="inlineStr">
        <is>
          <t>Art. 8º, §1º.</t>
        </is>
      </c>
      <c r="O19" s="3" t="inlineStr">
        <is>
          <t>Sim</t>
        </is>
      </c>
      <c r="P19" s="5" t="inlineStr">
        <is>
          <t>(67)99971-4323</t>
        </is>
      </c>
      <c r="Q19" s="6" t="inlineStr">
        <is>
          <t>Art. 4º, III e V; art. 7º, §2º — canal adicional não previsto nominalmente.</t>
        </is>
      </c>
      <c r="R19" s="3" t="inlineStr">
        <is>
          <t>Sim</t>
        </is>
      </c>
      <c r="S19" s="5" t="inlineStr">
        <is>
          <t>WhatsApp institucional ou outro aplicativo de mensagem;</t>
        </is>
      </c>
      <c r="T19" s="6" t="inlineStr">
        <is>
          <t>Art. 4º, III e V; art. 7º, §2º.</t>
        </is>
      </c>
      <c r="U19" s="3" t="inlineStr">
        <is>
          <t>Sim</t>
        </is>
      </c>
      <c r="V19" s="5" t="inlineStr">
        <is>
          <t>Conteúdos digitais no site ou portal institucional específicos da Ouvidoria de Serviços Penais;</t>
        </is>
      </c>
      <c r="W19" s="6" t="inlineStr">
        <is>
          <t>Art. 7º, §6º, III.</t>
        </is>
      </c>
      <c r="X19" s="3">
        <f>SUM(IF(C19="Sim",3,0),IF(F19="Sim",1,0),IF(I19="Sim",1,0),IF(L19="Sim",1,0),IF(O19="Sim",1,0),IF(R19="Sim",1,0),IF(U19="Sim",2,0))</f>
        <v/>
      </c>
      <c r="Y19" s="3" t="inlineStr">
        <is>
          <t>Doc. SEI 37070578</t>
        </is>
      </c>
    </row>
    <row r="20" ht="36" customHeight="1">
      <c r="A20" s="3" t="inlineStr">
        <is>
          <t>MG</t>
        </is>
      </c>
      <c r="B20" s="3" t="inlineStr">
        <is>
          <t>Minas Gerais</t>
        </is>
      </c>
      <c r="C20" s="3" t="inlineStr">
        <is>
          <t>Não</t>
        </is>
      </c>
      <c r="D20" s="5" t="inlineStr">
        <is>
          <t>Não utiliza o Fala.BR</t>
        </is>
      </c>
      <c r="E20" s="6" t="inlineStr">
        <is>
          <t>Art. 4º, V; art. 7º, §2º, III, e §5º.</t>
        </is>
      </c>
      <c r="F20" s="3" t="inlineStr">
        <is>
          <t>Não</t>
        </is>
      </c>
      <c r="G20" s="5" t="inlineStr">
        <is>
          <t>Não</t>
        </is>
      </c>
      <c r="H20" s="6" t="inlineStr">
        <is>
          <t>Art. 6º, §2º; art. 8º, §2º.</t>
        </is>
      </c>
      <c r="I20" s="3" t="inlineStr">
        <is>
          <t>Sim</t>
        </is>
      </c>
      <c r="J20" s="5" t="inlineStr">
        <is>
          <t>A equipe atua com dedicação exclusiva na Ouvidoria de Serviços Penais</t>
        </is>
      </c>
      <c r="K20" s="6" t="inlineStr">
        <is>
          <t>Art. 9º, caput.</t>
        </is>
      </c>
      <c r="L20" s="3" t="inlineStr">
        <is>
          <t>Não</t>
        </is>
      </c>
      <c r="M20" s="5" t="inlineStr">
        <is>
          <t>Sem resposta no diagnóstico</t>
        </is>
      </c>
      <c r="N20" s="6" t="inlineStr">
        <is>
          <t>Art. 8º, §1º.</t>
        </is>
      </c>
      <c r="O20" s="3" t="inlineStr">
        <is>
          <t>Sim</t>
        </is>
      </c>
      <c r="P20" s="5" t="inlineStr">
        <is>
          <t>(31) 3915-2022</t>
        </is>
      </c>
      <c r="Q20" s="6" t="inlineStr">
        <is>
          <t>Art. 4º, III e V; art. 7º, §2º — canal adicional não previsto nominalmente.</t>
        </is>
      </c>
      <c r="R20" s="3" t="inlineStr">
        <is>
          <t>Sim</t>
        </is>
      </c>
      <c r="S20" s="5" t="inlineStr">
        <is>
          <t>WhatsApp institucional ou outro aplicativo de mensagem;Serviço 0800 ou linha telefônica especial;</t>
        </is>
      </c>
      <c r="T20" s="6" t="inlineStr">
        <is>
          <t>Art. 4º, III e V; art. 7º, §2º.</t>
        </is>
      </c>
      <c r="U20" s="3" t="inlineStr">
        <is>
          <t>Sim</t>
        </is>
      </c>
      <c r="V20" s="5" t="inlineStr">
        <is>
          <t>Folders, panfletos ou guias impressos explicando o papel da Ouvidoria e seus canais;Outras peças ou campanhas de comunicação ou educação em direitos;</t>
        </is>
      </c>
      <c r="W20" s="6" t="inlineStr">
        <is>
          <t>Art. 7º, §6º, III.</t>
        </is>
      </c>
      <c r="X20" s="3">
        <f>SUM(IF(C20="Sim",3,0),IF(F20="Sim",1,0),IF(I20="Sim",1,0),IF(L20="Sim",1,0),IF(O20="Sim",1,0),IF(R20="Sim",1,0),IF(U20="Sim",2,0))</f>
        <v/>
      </c>
      <c r="Y20" s="3" t="inlineStr">
        <is>
          <t>Doc. SEI 37070578</t>
        </is>
      </c>
    </row>
    <row r="21" ht="36" customHeight="1">
      <c r="A21" s="3" t="inlineStr">
        <is>
          <t>PA</t>
        </is>
      </c>
      <c r="B21" s="3" t="inlineStr">
        <is>
          <t>Pará</t>
        </is>
      </c>
      <c r="C21" s="3" t="inlineStr">
        <is>
          <t>Não</t>
        </is>
      </c>
      <c r="D21" s="5" t="inlineStr">
        <is>
          <t>Não utiliza o Fala.BR</t>
        </is>
      </c>
      <c r="E21" s="6" t="inlineStr">
        <is>
          <t>Art. 4º, V; art. 7º, §2º, III, e §5º.</t>
        </is>
      </c>
      <c r="F21" s="3" t="inlineStr">
        <is>
          <t>Não</t>
        </is>
      </c>
      <c r="G21" s="5" t="inlineStr">
        <is>
          <t>Não</t>
        </is>
      </c>
      <c r="H21" s="6" t="inlineStr">
        <is>
          <t>Art. 6º, §2º; art. 8º, §2º.</t>
        </is>
      </c>
      <c r="I21" s="3" t="inlineStr">
        <is>
          <t>Não</t>
        </is>
      </c>
      <c r="J21" s="5" t="inlineStr">
        <is>
          <t>Não há equipe</t>
        </is>
      </c>
      <c r="K21" s="6" t="inlineStr">
        <is>
          <t>Art. 9º, caput.</t>
        </is>
      </c>
      <c r="L21" s="3" t="inlineStr">
        <is>
          <t>Não</t>
        </is>
      </c>
      <c r="M21" s="5" t="inlineStr">
        <is>
          <t>Reputação ilibada;Conhecimento em gestão pública;Conhecimento em direitos humanos ou sistema penal;Experiência prévia em ouvidoria pública;</t>
        </is>
      </c>
      <c r="N21" s="6" t="inlineStr">
        <is>
          <t>Art. 8º, §1º.</t>
        </is>
      </c>
      <c r="O21" s="3" t="inlineStr">
        <is>
          <t>Não</t>
        </is>
      </c>
      <c r="P21" s="5" t="inlineStr">
        <is>
          <t>Não temos</t>
        </is>
      </c>
      <c r="Q21" s="6" t="inlineStr">
        <is>
          <t>Art. 4º, III e V; art. 7º, §2º — canal adicional não previsto nominalmente.</t>
        </is>
      </c>
      <c r="R21" s="3" t="inlineStr">
        <is>
          <t>Não</t>
        </is>
      </c>
      <c r="S21" s="5" t="inlineStr">
        <is>
          <t>Não temos;</t>
        </is>
      </c>
      <c r="T21" s="6" t="inlineStr">
        <is>
          <t>Art. 4º, III e V; art. 7º, §2º.</t>
        </is>
      </c>
      <c r="U21" s="3" t="inlineStr">
        <is>
          <t>Não</t>
        </is>
      </c>
      <c r="V21" s="5" t="inlineStr">
        <is>
          <t>Folders, panfletos ou guias impressos explicando o papel da Ouvidoria e seus canais;</t>
        </is>
      </c>
      <c r="W21" s="6" t="inlineStr">
        <is>
          <t>Art. 7º, §6º, III.</t>
        </is>
      </c>
      <c r="X21" s="3">
        <f>SUM(IF(C21="Sim",3,0),IF(F21="Sim",1,0),IF(I21="Sim",1,0),IF(L21="Sim",1,0),IF(O21="Sim",1,0),IF(R21="Sim",1,0),IF(U21="Sim",2,0))</f>
        <v/>
      </c>
      <c r="Y21" s="3" t="inlineStr">
        <is>
          <t>Doc. SEI 37070578</t>
        </is>
      </c>
    </row>
    <row r="22" ht="36" customHeight="1">
      <c r="A22" s="3" t="inlineStr">
        <is>
          <t>PB</t>
        </is>
      </c>
      <c r="B22" s="3" t="inlineStr">
        <is>
          <t>Paraíba</t>
        </is>
      </c>
      <c r="C22" s="3" t="inlineStr">
        <is>
          <t>Não</t>
        </is>
      </c>
      <c r="D22" s="5" t="inlineStr">
        <is>
          <t>Não utiliza o Fala.BR</t>
        </is>
      </c>
      <c r="E22" s="6" t="inlineStr">
        <is>
          <t>Art. 4º, V; art. 7º, §2º, III, e §5º.</t>
        </is>
      </c>
      <c r="F22" s="3" t="inlineStr">
        <is>
          <t>Não</t>
        </is>
      </c>
      <c r="G22" s="5" t="inlineStr">
        <is>
          <t>Não</t>
        </is>
      </c>
      <c r="H22" s="6" t="inlineStr">
        <is>
          <t>Art. 6º, §2º; art. 8º, §2º.</t>
        </is>
      </c>
      <c r="I22" s="3" t="inlineStr">
        <is>
          <t>Sim</t>
        </is>
      </c>
      <c r="J22" s="5" t="inlineStr">
        <is>
          <t>Parte da equipe tem dedicação prioritária, mas acumula outras funções relevantes</t>
        </is>
      </c>
      <c r="K22" s="6" t="inlineStr">
        <is>
          <t>Art. 9º, caput.</t>
        </is>
      </c>
      <c r="L22" s="3" t="inlineStr">
        <is>
          <t>Sim</t>
        </is>
      </c>
      <c r="M22" s="5" t="inlineStr">
        <is>
          <t>Conhecimento em direitos humanos ou sistema penal;Experiência prévia em ouvidoria pública;</t>
        </is>
      </c>
      <c r="N22" s="6" t="inlineStr">
        <is>
          <t>Art. 8º, §1º.</t>
        </is>
      </c>
      <c r="O22" s="3" t="inlineStr">
        <is>
          <t>Sim</t>
        </is>
      </c>
      <c r="P22" s="5" t="inlineStr">
        <is>
          <t>83 99121-7665</t>
        </is>
      </c>
      <c r="Q22" s="6" t="inlineStr">
        <is>
          <t>Art. 4º, III e V; art. 7º, §2º — canal adicional não previsto nominalmente.</t>
        </is>
      </c>
      <c r="R22" s="3" t="inlineStr">
        <is>
          <t>Sim</t>
        </is>
      </c>
      <c r="S22" s="5" t="inlineStr">
        <is>
          <t>WhatsApp institucional ou outro aplicativo de mensagem;Serviço 0800 ou linha telefônica especial;</t>
        </is>
      </c>
      <c r="T22" s="6" t="inlineStr">
        <is>
          <t>Art. 4º, III e V; art. 7º, §2º.</t>
        </is>
      </c>
      <c r="U22" s="3" t="inlineStr">
        <is>
          <t>Sim</t>
        </is>
      </c>
      <c r="V22" s="5" t="inlineStr">
        <is>
          <t>Conteúdos digitais no site ou portal institucional específicos da Ouvidoria de Serviços Penais;</t>
        </is>
      </c>
      <c r="W22" s="6" t="inlineStr">
        <is>
          <t>Art. 7º, §6º, III.</t>
        </is>
      </c>
      <c r="X22" s="3">
        <f>SUM(IF(C22="Sim",3,0),IF(F22="Sim",1,0),IF(I22="Sim",1,0),IF(L22="Sim",1,0),IF(O22="Sim",1,0),IF(R22="Sim",1,0),IF(U22="Sim",2,0))</f>
        <v/>
      </c>
      <c r="Y22" s="3" t="inlineStr">
        <is>
          <t>Doc. SEI 37070578</t>
        </is>
      </c>
    </row>
    <row r="23" ht="48" customHeight="1">
      <c r="A23" s="3" t="inlineStr">
        <is>
          <t>PR</t>
        </is>
      </c>
      <c r="B23" s="3" t="inlineStr">
        <is>
          <t>Paraná</t>
        </is>
      </c>
      <c r="C23" s="3" t="inlineStr">
        <is>
          <t>Não</t>
        </is>
      </c>
      <c r="D23" s="5" t="inlineStr">
        <is>
          <t>Não utiliza o Fala.BR</t>
        </is>
      </c>
      <c r="E23" s="6" t="inlineStr">
        <is>
          <t>Art. 4º, V; art. 7º, §2º, III, e §5º.</t>
        </is>
      </c>
      <c r="F23" s="3" t="inlineStr">
        <is>
          <t>Não</t>
        </is>
      </c>
      <c r="G23" s="5" t="inlineStr">
        <is>
          <t>Sem mandato definido.</t>
        </is>
      </c>
      <c r="H23" s="6" t="inlineStr">
        <is>
          <t>Art. 6º, §2º; art. 8º, §2º.</t>
        </is>
      </c>
      <c r="I23" s="3" t="inlineStr">
        <is>
          <t>Sim</t>
        </is>
      </c>
      <c r="J23" s="5" t="inlineStr">
        <is>
          <t>A equipe atua com dedicação exclusiva na Ouvidoria de Serviços Penais</t>
        </is>
      </c>
      <c r="K23" s="6" t="inlineStr">
        <is>
          <t>Art. 9º, caput.</t>
        </is>
      </c>
      <c r="L23" s="3" t="inlineStr">
        <is>
          <t>Sim</t>
        </is>
      </c>
      <c r="M23" s="5" t="inlineStr">
        <is>
          <t>Reputação ilibada;Conhecimento em gestão pública;Conhecimento em direitos humanos ou sistema penal;</t>
        </is>
      </c>
      <c r="N23" s="6" t="inlineStr">
        <is>
          <t>Art. 8º, §1º.</t>
        </is>
      </c>
      <c r="O23" s="3" t="inlineStr">
        <is>
          <t>Sim</t>
        </is>
      </c>
      <c r="P23" s="5" t="inlineStr">
        <is>
          <t>41 3294-2958</t>
        </is>
      </c>
      <c r="Q23" s="6" t="inlineStr">
        <is>
          <t>Art. 4º, III e V; art. 7º, §2º — canal adicional não previsto nominalmente.</t>
        </is>
      </c>
      <c r="R23" s="3" t="inlineStr">
        <is>
          <t>Sim</t>
        </is>
      </c>
      <c r="S23" s="5" t="inlineStr">
        <is>
          <t>WhatsApp institucional ou outro aplicativo de mensagem;</t>
        </is>
      </c>
      <c r="T23" s="6" t="inlineStr">
        <is>
          <t>Art. 4º, III e V; art. 7º, §2º.</t>
        </is>
      </c>
      <c r="U23" s="3" t="inlineStr">
        <is>
          <t>Sim</t>
        </is>
      </c>
      <c r="V23" s="5" t="inlineStr">
        <is>
          <t>Folders, panfletos ou guias impressos explicando o papel da Ouvidoria e seus canais;Conteúdos digitais no site ou portal institucional específicos da Ouvidoria de Serviços Penais;Cartões de contato da Ouvidoria;</t>
        </is>
      </c>
      <c r="W23" s="6" t="inlineStr">
        <is>
          <t>Art. 7º, §6º, III.</t>
        </is>
      </c>
      <c r="X23" s="3">
        <f>SUM(IF(C23="Sim",3,0),IF(F23="Sim",1,0),IF(I23="Sim",1,0),IF(L23="Sim",1,0),IF(O23="Sim",1,0),IF(R23="Sim",1,0),IF(U23="Sim",2,0))</f>
        <v/>
      </c>
      <c r="Y23" s="3" t="inlineStr">
        <is>
          <t>Doc. SEI 37070578</t>
        </is>
      </c>
    </row>
    <row r="24" ht="36" customHeight="1">
      <c r="A24" s="3" t="inlineStr">
        <is>
          <t>PE</t>
        </is>
      </c>
      <c r="B24" s="3" t="inlineStr">
        <is>
          <t>Pernambuco</t>
        </is>
      </c>
      <c r="C24" s="3" t="inlineStr">
        <is>
          <t>Não</t>
        </is>
      </c>
      <c r="D24" s="5" t="inlineStr">
        <is>
          <t>Não utiliza o Fala.BR</t>
        </is>
      </c>
      <c r="E24" s="6" t="inlineStr">
        <is>
          <t>Art. 4º, V; art. 7º, §2º, III, e §5º.</t>
        </is>
      </c>
      <c r="F24" s="3" t="inlineStr">
        <is>
          <t>Não</t>
        </is>
      </c>
      <c r="G24" s="5" t="inlineStr">
        <is>
          <t>Não</t>
        </is>
      </c>
      <c r="H24" s="6" t="inlineStr">
        <is>
          <t>Art. 6º, §2º; art. 8º, §2º.</t>
        </is>
      </c>
      <c r="I24" s="3" t="inlineStr">
        <is>
          <t>Sim</t>
        </is>
      </c>
      <c r="J24" s="5" t="inlineStr">
        <is>
          <t>A equipe atua com dedicação exclusiva na Ouvidoria de Serviços Penais</t>
        </is>
      </c>
      <c r="K24" s="6" t="inlineStr">
        <is>
          <t>Art. 9º, caput.</t>
        </is>
      </c>
      <c r="L24" s="3" t="inlineStr">
        <is>
          <t>Sim</t>
        </is>
      </c>
      <c r="M24" s="5" t="inlineStr">
        <is>
          <t>Reputação ilibada;Experiência prévia em ouvidoria pública;</t>
        </is>
      </c>
      <c r="N24" s="6" t="inlineStr">
        <is>
          <t>Art. 8º, §1º.</t>
        </is>
      </c>
      <c r="O24" s="3" t="inlineStr">
        <is>
          <t>Sim</t>
        </is>
      </c>
      <c r="P24" s="5" t="inlineStr">
        <is>
          <t>81 - 9 8491 6545</t>
        </is>
      </c>
      <c r="Q24" s="6" t="inlineStr">
        <is>
          <t>Art. 4º, III e V; art. 7º, §2º — canal adicional não previsto nominalmente.</t>
        </is>
      </c>
      <c r="R24" s="3" t="inlineStr">
        <is>
          <t>Sim</t>
        </is>
      </c>
      <c r="S24" s="5" t="inlineStr">
        <is>
          <t>WhatsApp institucional ou outro aplicativo de mensagem;</t>
        </is>
      </c>
      <c r="T24" s="6" t="inlineStr">
        <is>
          <t>Art. 4º, III e V; art. 7º, §2º.</t>
        </is>
      </c>
      <c r="U24" s="3" t="inlineStr">
        <is>
          <t>Sim</t>
        </is>
      </c>
      <c r="V24" s="5" t="inlineStr">
        <is>
          <t>Outras peças ou campanhas de comunicação ou educação em direitos;</t>
        </is>
      </c>
      <c r="W24" s="6" t="inlineStr">
        <is>
          <t>Art. 7º, §6º, III.</t>
        </is>
      </c>
      <c r="X24" s="3">
        <f>SUM(IF(C24="Sim",3,0),IF(F24="Sim",1,0),IF(I24="Sim",1,0),IF(L24="Sim",1,0),IF(O24="Sim",1,0),IF(R24="Sim",1,0),IF(U24="Sim",2,0))</f>
        <v/>
      </c>
      <c r="Y24" s="3" t="inlineStr">
        <is>
          <t>Doc. SEI 37070578</t>
        </is>
      </c>
    </row>
    <row r="25" ht="36" customHeight="1">
      <c r="A25" s="3" t="inlineStr">
        <is>
          <t>PI</t>
        </is>
      </c>
      <c r="B25" s="3" t="inlineStr">
        <is>
          <t>Piauí</t>
        </is>
      </c>
      <c r="C25" s="3" t="inlineStr">
        <is>
          <t>Sim</t>
        </is>
      </c>
      <c r="D25" s="5" t="inlineStr">
        <is>
          <t>O Fala.BR é utilizado como sistema principal de registro e gestão das manifestações</t>
        </is>
      </c>
      <c r="E25" s="6" t="inlineStr">
        <is>
          <t>Art. 4º, V; art. 7º, §2º, III, e §5º.</t>
        </is>
      </c>
      <c r="F25" s="3" t="inlineStr">
        <is>
          <t>Não</t>
        </is>
      </c>
      <c r="G25" s="5" t="inlineStr">
        <is>
          <t>Designação por nomeação, sem prazo de duração estabelecido.</t>
        </is>
      </c>
      <c r="H25" s="6" t="inlineStr">
        <is>
          <t>Art. 6º, §2º; art. 8º, §2º.</t>
        </is>
      </c>
      <c r="I25" s="3" t="inlineStr">
        <is>
          <t>Não</t>
        </is>
      </c>
      <c r="J25" s="5" t="inlineStr">
        <is>
          <t>Parte da equipe tem dedicação prioritária, mas acumula outras funções relevantes</t>
        </is>
      </c>
      <c r="K25" s="6" t="inlineStr">
        <is>
          <t>Art. 9º, caput.</t>
        </is>
      </c>
      <c r="L25" s="3" t="inlineStr">
        <is>
          <t>Sim</t>
        </is>
      </c>
      <c r="M25" s="5" t="inlineStr">
        <is>
          <t>Conhecimento em direitos humanos ou sistema penal;Experiência prévia em ouvidoria pública;Conhecimento em gestão pública;Reputação ilibada;</t>
        </is>
      </c>
      <c r="N25" s="6" t="inlineStr">
        <is>
          <t>Art. 8º, §1º.</t>
        </is>
      </c>
      <c r="O25" s="3" t="inlineStr">
        <is>
          <t>Não</t>
        </is>
      </c>
      <c r="P25" s="5" t="inlineStr">
        <is>
          <t>Sem resposta no diagnóstico</t>
        </is>
      </c>
      <c r="Q25" s="6" t="inlineStr">
        <is>
          <t>Art. 4º, III e V; art. 7º, §2º — canal adicional não previsto nominalmente.</t>
        </is>
      </c>
      <c r="R25" s="3" t="inlineStr">
        <is>
          <t>Sim</t>
        </is>
      </c>
      <c r="S25" s="5" t="inlineStr">
        <is>
          <t>email institucional;</t>
        </is>
      </c>
      <c r="T25" s="6" t="inlineStr">
        <is>
          <t>Art. 4º, III e V; art. 7º, §2º.</t>
        </is>
      </c>
      <c r="U25" s="3" t="inlineStr">
        <is>
          <t>Sim</t>
        </is>
      </c>
      <c r="V25" s="5" t="inlineStr">
        <is>
          <t>Conteúdos digitais no site ou portal institucional específicos da Ouvidoria de Serviços Penais;</t>
        </is>
      </c>
      <c r="W25" s="6" t="inlineStr">
        <is>
          <t>Art. 7º, §6º, III.</t>
        </is>
      </c>
      <c r="X25" s="3">
        <f>SUM(IF(C25="Sim",3,0),IF(F25="Sim",1,0),IF(I25="Sim",1,0),IF(L25="Sim",1,0),IF(O25="Sim",1,0),IF(R25="Sim",1,0),IF(U25="Sim",2,0))</f>
        <v/>
      </c>
      <c r="Y25" s="3" t="inlineStr">
        <is>
          <t>Doc. SEI 37070578</t>
        </is>
      </c>
    </row>
    <row r="26" ht="60" customHeight="1">
      <c r="A26" s="3" t="inlineStr">
        <is>
          <t>RJ</t>
        </is>
      </c>
      <c r="B26" s="3" t="inlineStr">
        <is>
          <t>Rio de Janeiro</t>
        </is>
      </c>
      <c r="C26" s="3" t="inlineStr">
        <is>
          <t>Não</t>
        </is>
      </c>
      <c r="D26" s="5" t="inlineStr">
        <is>
          <t>Não utiliza o Fala.BR</t>
        </is>
      </c>
      <c r="E26" s="6" t="inlineStr">
        <is>
          <t>Art. 4º, V; art. 7º, §2º, III, e §5º.</t>
        </is>
      </c>
      <c r="F26" s="3" t="inlineStr">
        <is>
          <t>Não</t>
        </is>
      </c>
      <c r="G26" s="5" t="inlineStr">
        <is>
          <t>não</t>
        </is>
      </c>
      <c r="H26" s="6" t="inlineStr">
        <is>
          <t>Art. 6º, §2º; art. 8º, §2º.</t>
        </is>
      </c>
      <c r="I26" s="3" t="inlineStr">
        <is>
          <t>Sim</t>
        </is>
      </c>
      <c r="J26" s="5" t="inlineStr">
        <is>
          <t>A equipe atua com dedicação exclusiva na Ouvidoria de Serviços Penais</t>
        </is>
      </c>
      <c r="K26" s="6" t="inlineStr">
        <is>
          <t>Art. 9º, caput.</t>
        </is>
      </c>
      <c r="L26" s="3" t="inlineStr">
        <is>
          <t>Sim</t>
        </is>
      </c>
      <c r="M26" s="5" t="inlineStr">
        <is>
          <t>Reputação ilibada;</t>
        </is>
      </c>
      <c r="N26" s="6" t="inlineStr">
        <is>
          <t>Art. 8º, §1º.</t>
        </is>
      </c>
      <c r="O26" s="3" t="inlineStr">
        <is>
          <t>Sim</t>
        </is>
      </c>
      <c r="P26" s="5" t="inlineStr">
        <is>
          <t>(21) 97067-0584 Atendimento virtual sem interação humana</t>
        </is>
      </c>
      <c r="Q26" s="6" t="inlineStr">
        <is>
          <t>Art. 4º, III e V; art. 7º, §2º — canal adicional não previsto nominalmente.</t>
        </is>
      </c>
      <c r="R26" s="3" t="inlineStr">
        <is>
          <t>Sim</t>
        </is>
      </c>
      <c r="S26" s="5" t="inlineStr">
        <is>
          <t>WhatsApp institucional ou outro aplicativo de mensagem;Serviço 0800 ou linha telefônica especial;OUVERJ;</t>
        </is>
      </c>
      <c r="T26" s="6" t="inlineStr">
        <is>
          <t>Art. 4º, III e V; art. 7º, §2º.</t>
        </is>
      </c>
      <c r="U26" s="3" t="inlineStr">
        <is>
          <t>Sim</t>
        </is>
      </c>
      <c r="V26" s="5" t="inlineStr">
        <is>
          <t>Folders, panfletos ou guias impressos explicando o papel da Ouvidoria e seus canais;Conteúdos digitais no site ou portal institucional específicos da Ouvidoria de Serviços Penais;Outras peças ou campanhas de comunicação ou educação em direitos;</t>
        </is>
      </c>
      <c r="W26" s="6" t="inlineStr">
        <is>
          <t>Art. 7º, §6º, III.</t>
        </is>
      </c>
      <c r="X26" s="3">
        <f>SUM(IF(C26="Sim",3,0),IF(F26="Sim",1,0),IF(I26="Sim",1,0),IF(L26="Sim",1,0),IF(O26="Sim",1,0),IF(R26="Sim",1,0),IF(U26="Sim",2,0))</f>
        <v/>
      </c>
      <c r="Y26" s="3" t="inlineStr">
        <is>
          <t>Doc. SEI 37070578</t>
        </is>
      </c>
    </row>
    <row r="27" ht="60" customHeight="1">
      <c r="A27" s="3" t="inlineStr">
        <is>
          <t>RN</t>
        </is>
      </c>
      <c r="B27" s="3" t="inlineStr">
        <is>
          <t>Rio Grande do Norte</t>
        </is>
      </c>
      <c r="C27" s="3" t="inlineStr">
        <is>
          <t>Sim</t>
        </is>
      </c>
      <c r="D27" s="5" t="inlineStr">
        <is>
          <t>O Fala.BR é utilizado como sistema principal de registro e gestão das manifestações</t>
        </is>
      </c>
      <c r="E27" s="6" t="inlineStr">
        <is>
          <t>Art. 4º, V; art. 7º, §2º, III, e §5º.</t>
        </is>
      </c>
      <c r="F27" s="3" t="inlineStr">
        <is>
          <t>Sim</t>
        </is>
      </c>
      <c r="G27" s="5" t="inlineStr">
        <is>
          <t>Mandato de 02 anos</t>
        </is>
      </c>
      <c r="H27" s="6" t="inlineStr">
        <is>
          <t>Art. 6º, §2º; art. 8º, §2º.</t>
        </is>
      </c>
      <c r="I27" s="3" t="inlineStr">
        <is>
          <t>Sim</t>
        </is>
      </c>
      <c r="J27" s="5" t="inlineStr">
        <is>
          <t>A equipe atua com dedicação exclusiva na Ouvidoria de Serviços Penais</t>
        </is>
      </c>
      <c r="K27" s="6" t="inlineStr">
        <is>
          <t>Art. 9º, caput.</t>
        </is>
      </c>
      <c r="L27" s="3" t="inlineStr">
        <is>
          <t>Sim</t>
        </is>
      </c>
      <c r="M27" s="5" t="inlineStr">
        <is>
          <t>Reputação ilibada;Conhecimento em direitos humanos ou sistema penal;Conhecimento em gestão pública;</t>
        </is>
      </c>
      <c r="N27" s="6" t="inlineStr">
        <is>
          <t>Art. 8º, §1º.</t>
        </is>
      </c>
      <c r="O27" s="3" t="inlineStr">
        <is>
          <t>Sim</t>
        </is>
      </c>
      <c r="P27" s="5" t="inlineStr">
        <is>
          <t>84981305243</t>
        </is>
      </c>
      <c r="Q27" s="6" t="inlineStr">
        <is>
          <t>Art. 4º, III e V; art. 7º, §2º — canal adicional não previsto nominalmente.</t>
        </is>
      </c>
      <c r="R27" s="3" t="inlineStr">
        <is>
          <t>Sim</t>
        </is>
      </c>
      <c r="S27" s="5" t="inlineStr">
        <is>
          <t>WhatsApp institucional ou outro aplicativo de mensagem;e-mail FalaBR SEIRN;</t>
        </is>
      </c>
      <c r="T27" s="6" t="inlineStr">
        <is>
          <t>Art. 4º, III e V; art. 7º, §2º.</t>
        </is>
      </c>
      <c r="U27" s="3" t="inlineStr">
        <is>
          <t>Sim</t>
        </is>
      </c>
      <c r="V27" s="5" t="inlineStr">
        <is>
          <t>Folders, panfletos ou guias impressos explicando o papel da Ouvidoria e seus canais;Outras peças ou campanhas de comunicação ou educação em direitos;Conteúdos digitais no site ou portal institucional específicos da Ouvidoria de Serviços Penais;</t>
        </is>
      </c>
      <c r="W27" s="6" t="inlineStr">
        <is>
          <t>Art. 7º, §6º, III.</t>
        </is>
      </c>
      <c r="X27" s="3">
        <f>SUM(IF(C27="Sim",3,0),IF(F27="Sim",1,0),IF(I27="Sim",1,0),IF(L27="Sim",1,0),IF(O27="Sim",1,0),IF(R27="Sim",1,0),IF(U27="Sim",2,0))</f>
        <v/>
      </c>
      <c r="Y27" s="3" t="inlineStr">
        <is>
          <t>Doc. SEI 37070578</t>
        </is>
      </c>
    </row>
    <row r="28" ht="36" customHeight="1">
      <c r="A28" s="3" t="inlineStr">
        <is>
          <t>RS</t>
        </is>
      </c>
      <c r="B28" s="3" t="inlineStr">
        <is>
          <t>Rio Grande do Sul</t>
        </is>
      </c>
      <c r="C28" s="3" t="inlineStr">
        <is>
          <t>Não</t>
        </is>
      </c>
      <c r="D28" s="5" t="inlineStr">
        <is>
          <t>Não utiliza o Fala.BR</t>
        </is>
      </c>
      <c r="E28" s="6" t="inlineStr">
        <is>
          <t>Art. 4º, V; art. 7º, §2º, III, e §5º.</t>
        </is>
      </c>
      <c r="F28" s="3" t="inlineStr">
        <is>
          <t>Não</t>
        </is>
      </c>
      <c r="G28" s="5" t="inlineStr">
        <is>
          <t>NÃO.</t>
        </is>
      </c>
      <c r="H28" s="6" t="inlineStr">
        <is>
          <t>Art. 6º, §2º; art. 8º, §2º.</t>
        </is>
      </c>
      <c r="I28" s="3" t="inlineStr">
        <is>
          <t>Sim</t>
        </is>
      </c>
      <c r="J28" s="5" t="inlineStr">
        <is>
          <t>A equipe atua com dedicação exclusiva na Ouvidoria de Serviços Penais</t>
        </is>
      </c>
      <c r="K28" s="6" t="inlineStr">
        <is>
          <t>Art. 9º, caput.</t>
        </is>
      </c>
      <c r="L28" s="3" t="inlineStr">
        <is>
          <t>Sim</t>
        </is>
      </c>
      <c r="M28" s="5" t="inlineStr">
        <is>
          <t>Reputação ilibada;Conhecimento em gestão pública;Conhecimento em direitos humanos ou sistema penal;Experiência prévia em ouvidoria pública;</t>
        </is>
      </c>
      <c r="N28" s="6" t="inlineStr">
        <is>
          <t>Art. 8º, §1º.</t>
        </is>
      </c>
      <c r="O28" s="3" t="inlineStr">
        <is>
          <t>Não</t>
        </is>
      </c>
      <c r="P28" s="5" t="inlineStr">
        <is>
          <t>Não temos</t>
        </is>
      </c>
      <c r="Q28" s="6" t="inlineStr">
        <is>
          <t>Art. 4º, III e V; art. 7º, §2º — canal adicional não previsto nominalmente.</t>
        </is>
      </c>
      <c r="R28" s="3" t="inlineStr">
        <is>
          <t>Sim</t>
        </is>
      </c>
      <c r="S28" s="5" t="inlineStr">
        <is>
          <t>Serviço 0800 ou linha telefônica especial;</t>
        </is>
      </c>
      <c r="T28" s="6" t="inlineStr">
        <is>
          <t>Art. 4º, III e V; art. 7º, §2º.</t>
        </is>
      </c>
      <c r="U28" s="3" t="inlineStr">
        <is>
          <t>Sim</t>
        </is>
      </c>
      <c r="V28" s="5" t="inlineStr">
        <is>
          <t>Cartões de contato da Ouvidoria;</t>
        </is>
      </c>
      <c r="W28" s="6" t="inlineStr">
        <is>
          <t>Art. 7º, §6º, III.</t>
        </is>
      </c>
      <c r="X28" s="3">
        <f>SUM(IF(C28="Sim",3,0),IF(F28="Sim",1,0),IF(I28="Sim",1,0),IF(L28="Sim",1,0),IF(O28="Sim",1,0),IF(R28="Sim",1,0),IF(U28="Sim",2,0))</f>
        <v/>
      </c>
      <c r="Y28" s="3" t="inlineStr">
        <is>
          <t>Doc. SEI 37070578</t>
        </is>
      </c>
    </row>
    <row r="29" ht="36" customHeight="1">
      <c r="A29" s="3" t="inlineStr">
        <is>
          <t>RO</t>
        </is>
      </c>
      <c r="B29" s="3" t="inlineStr">
        <is>
          <t>Rondônia</t>
        </is>
      </c>
      <c r="C29" s="3" t="inlineStr">
        <is>
          <t>Não</t>
        </is>
      </c>
      <c r="D29" s="5" t="inlineStr">
        <is>
          <t>O Fala.BR é utilizado apenas para parte das manifestações</t>
        </is>
      </c>
      <c r="E29" s="6" t="inlineStr">
        <is>
          <t>Art. 4º, V; art. 7º, §2º, III, e §5º.</t>
        </is>
      </c>
      <c r="F29" s="3" t="inlineStr">
        <is>
          <t>Não</t>
        </is>
      </c>
      <c r="G29" s="5" t="inlineStr">
        <is>
          <t>NÃO</t>
        </is>
      </c>
      <c r="H29" s="6" t="inlineStr">
        <is>
          <t>Art. 6º, §2º; art. 8º, §2º.</t>
        </is>
      </c>
      <c r="I29" s="3" t="inlineStr">
        <is>
          <t>Não</t>
        </is>
      </c>
      <c r="J29" s="5" t="inlineStr">
        <is>
          <t>A equipe atua com dedicação exclusiva na Ouvidoria de Serviços Penais</t>
        </is>
      </c>
      <c r="K29" s="6" t="inlineStr">
        <is>
          <t>Art. 9º, caput.</t>
        </is>
      </c>
      <c r="L29" s="3" t="inlineStr">
        <is>
          <t>Não</t>
        </is>
      </c>
      <c r="M29" s="5" t="inlineStr">
        <is>
          <t>E POR NOMEAÇÃO;</t>
        </is>
      </c>
      <c r="N29" s="6" t="inlineStr">
        <is>
          <t>Art. 8º, §1º.</t>
        </is>
      </c>
      <c r="O29" s="3" t="inlineStr">
        <is>
          <t>Não</t>
        </is>
      </c>
      <c r="P29" s="5" t="inlineStr">
        <is>
          <t>NÃO HÁ</t>
        </is>
      </c>
      <c r="Q29" s="6" t="inlineStr">
        <is>
          <t>Art. 4º, III e V; art. 7º, §2º — canal adicional não previsto nominalmente.</t>
        </is>
      </c>
      <c r="R29" s="3" t="inlineStr">
        <is>
          <t>Não</t>
        </is>
      </c>
      <c r="S29" s="5" t="inlineStr">
        <is>
          <t>Serviço 0800 ou linha telefônica especial;</t>
        </is>
      </c>
      <c r="T29" s="6" t="inlineStr">
        <is>
          <t>Art. 4º, III e V; art. 7º, §2º.</t>
        </is>
      </c>
      <c r="U29" s="3" t="inlineStr">
        <is>
          <t>Não</t>
        </is>
      </c>
      <c r="V29" s="5" t="inlineStr">
        <is>
          <t>Materiais educativos voltados a pessoas privadas de liberdade, familiares ou servidores(as) penais;</t>
        </is>
      </c>
      <c r="W29" s="6" t="inlineStr">
        <is>
          <t>Art. 7º, §6º, III.</t>
        </is>
      </c>
      <c r="X29" s="3">
        <f>SUM(IF(C29="Sim",3,0),IF(F29="Sim",1,0),IF(I29="Sim",1,0),IF(L29="Sim",1,0),IF(O29="Sim",1,0),IF(R29="Sim",1,0),IF(U29="Sim",2,0))</f>
        <v/>
      </c>
      <c r="Y29" s="3" t="inlineStr">
        <is>
          <t>Doc. SEI 37070578</t>
        </is>
      </c>
    </row>
    <row r="30" ht="48" customHeight="1">
      <c r="A30" s="3" t="inlineStr">
        <is>
          <t>RR</t>
        </is>
      </c>
      <c r="B30" s="3" t="inlineStr">
        <is>
          <t>Roraima</t>
        </is>
      </c>
      <c r="C30" s="3" t="inlineStr">
        <is>
          <t>Sim</t>
        </is>
      </c>
      <c r="D30" s="5" t="inlineStr">
        <is>
          <t>O Fala.BR é utilizado como sistema principal de registro e gestão das manifestações</t>
        </is>
      </c>
      <c r="E30" s="6" t="inlineStr">
        <is>
          <t>Art. 4º, V; art. 7º, §2º, III, e §5º.</t>
        </is>
      </c>
      <c r="F30" s="3" t="inlineStr">
        <is>
          <t>Não</t>
        </is>
      </c>
      <c r="G30" s="5" t="inlineStr">
        <is>
          <t>NÃO</t>
        </is>
      </c>
      <c r="H30" s="6" t="inlineStr">
        <is>
          <t>Art. 6º, §2º; art. 8º, §2º.</t>
        </is>
      </c>
      <c r="I30" s="3" t="inlineStr">
        <is>
          <t>Sim</t>
        </is>
      </c>
      <c r="J30" s="5" t="inlineStr">
        <is>
          <t>A equipe atua com dedicação exclusiva na Ouvidoria de Serviços Penais</t>
        </is>
      </c>
      <c r="K30" s="6" t="inlineStr">
        <is>
          <t>Art. 9º, caput.</t>
        </is>
      </c>
      <c r="L30" s="3" t="inlineStr">
        <is>
          <t>Sim</t>
        </is>
      </c>
      <c r="M30" s="5" t="inlineStr">
        <is>
          <t>Reputação ilibada;Conhecimento em gestão pública;Conhecimento em direitos humanos ou sistema penal;Experiência prévia em ouvidoria pública;</t>
        </is>
      </c>
      <c r="N30" s="6" t="inlineStr">
        <is>
          <t>Art. 8º, §1º.</t>
        </is>
      </c>
      <c r="O30" s="3" t="inlineStr">
        <is>
          <t>Não</t>
        </is>
      </c>
      <c r="P30" s="5" t="inlineStr">
        <is>
          <t>EM</t>
        </is>
      </c>
      <c r="Q30" s="6" t="inlineStr">
        <is>
          <t>Art. 4º, III e V; art. 7º, §2º — canal adicional não previsto nominalmente.</t>
        </is>
      </c>
      <c r="R30" s="3" t="inlineStr">
        <is>
          <t>Não</t>
        </is>
      </c>
      <c r="S30" s="5" t="inlineStr">
        <is>
          <t>NÃO TEM;</t>
        </is>
      </c>
      <c r="T30" s="6" t="inlineStr">
        <is>
          <t>Art. 4º, III e V; art. 7º, §2º.</t>
        </is>
      </c>
      <c r="U30" s="3" t="inlineStr">
        <is>
          <t>Sim</t>
        </is>
      </c>
      <c r="V30" s="5" t="inlineStr">
        <is>
          <t>Conteúdos digitais no site ou portal institucional específicos da Ouvidoria de Serviços Penais;Folders, panfletos ou guias impressos explicando o papel da Ouvidoria e seus canais;Cartões de contato da Ouvidoria;</t>
        </is>
      </c>
      <c r="W30" s="6" t="inlineStr">
        <is>
          <t>Art. 7º, §6º, III.</t>
        </is>
      </c>
      <c r="X30" s="3">
        <f>SUM(IF(C30="Sim",3,0),IF(F30="Sim",1,0),IF(I30="Sim",1,0),IF(L30="Sim",1,0),IF(O30="Sim",1,0),IF(R30="Sim",1,0),IF(U30="Sim",2,0))</f>
        <v/>
      </c>
      <c r="Y30" s="3" t="inlineStr">
        <is>
          <t>Doc. SEI 37070578</t>
        </is>
      </c>
    </row>
    <row r="31" ht="36" customHeight="1">
      <c r="A31" s="3" t="inlineStr">
        <is>
          <t>SC</t>
        </is>
      </c>
      <c r="B31" s="3" t="inlineStr">
        <is>
          <t>Santa Catarina</t>
        </is>
      </c>
      <c r="C31" s="3" t="inlineStr">
        <is>
          <t>Não</t>
        </is>
      </c>
      <c r="D31" s="5" t="inlineStr">
        <is>
          <t>Não utiliza o Fala.BR</t>
        </is>
      </c>
      <c r="E31" s="6" t="inlineStr">
        <is>
          <t>Art. 4º, V; art. 7º, §2º, III, e §5º.</t>
        </is>
      </c>
      <c r="F31" s="3" t="inlineStr">
        <is>
          <t>Não</t>
        </is>
      </c>
      <c r="G31" s="5" t="inlineStr">
        <is>
          <t>Não</t>
        </is>
      </c>
      <c r="H31" s="6" t="inlineStr">
        <is>
          <t>Art. 6º, §2º; art. 8º, §2º.</t>
        </is>
      </c>
      <c r="I31" s="3" t="inlineStr">
        <is>
          <t>Sim</t>
        </is>
      </c>
      <c r="J31" s="5" t="inlineStr">
        <is>
          <t>A equipe atua com dedicação exclusiva na Ouvidoria de Serviços Penais</t>
        </is>
      </c>
      <c r="K31" s="6" t="inlineStr">
        <is>
          <t>Art. 9º, caput.</t>
        </is>
      </c>
      <c r="L31" s="3" t="inlineStr">
        <is>
          <t>Sim</t>
        </is>
      </c>
      <c r="M31" s="5" t="inlineStr">
        <is>
          <t>Reputação ilibada;Experiência prévia em ouvidoria pública;</t>
        </is>
      </c>
      <c r="N31" s="6" t="inlineStr">
        <is>
          <t>Art. 8º, §1º.</t>
        </is>
      </c>
      <c r="O31" s="3" t="inlineStr">
        <is>
          <t>Não</t>
        </is>
      </c>
      <c r="P31" s="5" t="inlineStr">
        <is>
          <t>Sem resposta no diagnóstico</t>
        </is>
      </c>
      <c r="Q31" s="6" t="inlineStr">
        <is>
          <t>Art. 4º, III e V; art. 7º, §2º — canal adicional não previsto nominalmente.</t>
        </is>
      </c>
      <c r="R31" s="3" t="inlineStr">
        <is>
          <t>Sim</t>
        </is>
      </c>
      <c r="S31" s="5" t="inlineStr">
        <is>
          <t>Canais de Ouvidoria do Estado Santa Catarina;</t>
        </is>
      </c>
      <c r="T31" s="6" t="inlineStr">
        <is>
          <t>Art. 4º, III e V; art. 7º, §2º.</t>
        </is>
      </c>
      <c r="U31" s="3" t="inlineStr">
        <is>
          <t>Sim</t>
        </is>
      </c>
      <c r="V31" s="5" t="inlineStr">
        <is>
          <t>Folders, panfletos ou guias impressos explicando o papel da Ouvidoria e seus canais;</t>
        </is>
      </c>
      <c r="W31" s="6" t="inlineStr">
        <is>
          <t>Art. 7º, §6º, III.</t>
        </is>
      </c>
      <c r="X31" s="3">
        <f>SUM(IF(C31="Sim",3,0),IF(F31="Sim",1,0),IF(I31="Sim",1,0),IF(L31="Sim",1,0),IF(O31="Sim",1,0),IF(R31="Sim",1,0),IF(U31="Sim",2,0))</f>
        <v/>
      </c>
      <c r="Y31" s="3" t="inlineStr">
        <is>
          <t>Doc. SEI 37070578</t>
        </is>
      </c>
    </row>
    <row r="32" ht="60" customHeight="1">
      <c r="A32" s="3" t="inlineStr">
        <is>
          <t>SP</t>
        </is>
      </c>
      <c r="B32" s="3" t="inlineStr">
        <is>
          <t>São Paulo</t>
        </is>
      </c>
      <c r="C32" s="3" t="inlineStr">
        <is>
          <t>Não</t>
        </is>
      </c>
      <c r="D32" s="5" t="inlineStr">
        <is>
          <t>Não utiliza o Fala.BR</t>
        </is>
      </c>
      <c r="E32" s="6" t="inlineStr">
        <is>
          <t>Art. 4º, V; art. 7º, §2º, III, e §5º.</t>
        </is>
      </c>
      <c r="F32" s="3" t="inlineStr">
        <is>
          <t>Sim</t>
        </is>
      </c>
      <c r="G32" s="5" t="inlineStr">
        <is>
          <t>Duração de 02 anos</t>
        </is>
      </c>
      <c r="H32" s="6" t="inlineStr">
        <is>
          <t>Art. 6º, §2º; art. 8º, §2º.</t>
        </is>
      </c>
      <c r="I32" s="3" t="inlineStr">
        <is>
          <t>Sim</t>
        </is>
      </c>
      <c r="J32" s="5" t="inlineStr">
        <is>
          <t>A equipe atua com dedicação exclusiva na Ouvidoria de Serviços Penais</t>
        </is>
      </c>
      <c r="K32" s="6" t="inlineStr">
        <is>
          <t>Art. 9º, caput.</t>
        </is>
      </c>
      <c r="L32" s="3" t="inlineStr">
        <is>
          <t>Sim</t>
        </is>
      </c>
      <c r="M32" s="5" t="inlineStr">
        <is>
          <t>Reputação ilibada;Conhecimento em direitos humanos ou sistema penal;</t>
        </is>
      </c>
      <c r="N32" s="6" t="inlineStr">
        <is>
          <t>Art. 8º, §1º.</t>
        </is>
      </c>
      <c r="O32" s="3" t="inlineStr">
        <is>
          <t>Sim</t>
        </is>
      </c>
      <c r="P32" s="5" t="inlineStr">
        <is>
          <t>011 3206-4759</t>
        </is>
      </c>
      <c r="Q32" s="6" t="inlineStr">
        <is>
          <t>Art. 4º, III e V; art. 7º, §2º — canal adicional não previsto nominalmente.</t>
        </is>
      </c>
      <c r="R32" s="3" t="inlineStr">
        <is>
          <t>Sim</t>
        </is>
      </c>
      <c r="S32" s="5" t="inlineStr">
        <is>
          <t>WhatsApp institucional ou outro aplicativo de mensagem;</t>
        </is>
      </c>
      <c r="T32" s="6" t="inlineStr">
        <is>
          <t>Art. 4º, III e V; art. 7º, §2º.</t>
        </is>
      </c>
      <c r="U32" s="3" t="inlineStr">
        <is>
          <t>Sim</t>
        </is>
      </c>
      <c r="V32" s="5" t="inlineStr">
        <is>
          <t>Folders, panfletos ou guias impressos explicando o papel da Ouvidoria e seus canais;Conteúdos digitais no site ou portal institucional específicos da Ouvidoria de Serviços Penais;Outras peças ou campanhas de comunicação ou educação em direitos;</t>
        </is>
      </c>
      <c r="W32" s="6" t="inlineStr">
        <is>
          <t>Art. 7º, §6º, III.</t>
        </is>
      </c>
      <c r="X32" s="3">
        <f>SUM(IF(C32="Sim",3,0),IF(F32="Sim",1,0),IF(I32="Sim",1,0),IF(L32="Sim",1,0),IF(O32="Sim",1,0),IF(R32="Sim",1,0),IF(U32="Sim",2,0))</f>
        <v/>
      </c>
      <c r="Y32" s="3" t="inlineStr">
        <is>
          <t>Doc. SEI 37070578</t>
        </is>
      </c>
    </row>
    <row r="33" ht="36" customHeight="1">
      <c r="A33" s="3" t="inlineStr">
        <is>
          <t>SE</t>
        </is>
      </c>
      <c r="B33" s="3" t="inlineStr">
        <is>
          <t>Sergipe</t>
        </is>
      </c>
      <c r="C33" s="3" t="inlineStr">
        <is>
          <t>Não</t>
        </is>
      </c>
      <c r="D33" s="5" t="inlineStr">
        <is>
          <t>Sem resposta no diagnóstico</t>
        </is>
      </c>
      <c r="E33" s="6" t="inlineStr">
        <is>
          <t>Art. 4º, V; art. 7º, §2º, III, e §5º.</t>
        </is>
      </c>
      <c r="F33" s="3" t="inlineStr">
        <is>
          <t>Não</t>
        </is>
      </c>
      <c r="G33" s="5" t="inlineStr">
        <is>
          <t>Sem resposta no diagnóstico</t>
        </is>
      </c>
      <c r="H33" s="6" t="inlineStr">
        <is>
          <t>Art. 6º, §2º; art. 8º, §2º.</t>
        </is>
      </c>
      <c r="I33" s="3" t="inlineStr">
        <is>
          <t>Não</t>
        </is>
      </c>
      <c r="J33" s="5" t="inlineStr">
        <is>
          <t>Sem resposta no diagnóstico</t>
        </is>
      </c>
      <c r="K33" s="6" t="inlineStr">
        <is>
          <t>Art. 9º, caput.</t>
        </is>
      </c>
      <c r="L33" s="3" t="inlineStr">
        <is>
          <t>Não</t>
        </is>
      </c>
      <c r="M33" s="5" t="inlineStr">
        <is>
          <t>Sem resposta no diagnóstico</t>
        </is>
      </c>
      <c r="N33" s="6" t="inlineStr">
        <is>
          <t>Art. 8º, §1º.</t>
        </is>
      </c>
      <c r="O33" s="3" t="inlineStr">
        <is>
          <t>Não</t>
        </is>
      </c>
      <c r="P33" s="5" t="inlineStr">
        <is>
          <t>Sem resposta no diagnóstico</t>
        </is>
      </c>
      <c r="Q33" s="6" t="inlineStr">
        <is>
          <t>Art. 4º, III e V; art. 7º, §2º — canal adicional não previsto nominalmente.</t>
        </is>
      </c>
      <c r="R33" s="3" t="inlineStr">
        <is>
          <t>Não</t>
        </is>
      </c>
      <c r="S33" s="5" t="inlineStr">
        <is>
          <t>Sem resposta no diagnóstico</t>
        </is>
      </c>
      <c r="T33" s="6" t="inlineStr">
        <is>
          <t>Art. 4º, III e V; art. 7º, §2º.</t>
        </is>
      </c>
      <c r="U33" s="3" t="inlineStr">
        <is>
          <t>Não</t>
        </is>
      </c>
      <c r="V33" s="5" t="inlineStr">
        <is>
          <t>Sem resposta no diagnóstico</t>
        </is>
      </c>
      <c r="W33" s="6" t="inlineStr">
        <is>
          <t>Art. 7º, §6º, III.</t>
        </is>
      </c>
      <c r="X33" s="3">
        <f>SUM(IF(C33="Sim",3,0),IF(F33="Sim",1,0),IF(I33="Sim",1,0),IF(L33="Sim",1,0),IF(O33="Sim",1,0),IF(R33="Sim",1,0),IF(U33="Sim",2,0))</f>
        <v/>
      </c>
      <c r="Y33" s="3" t="inlineStr">
        <is>
          <t>Doc. SEI 37070578</t>
        </is>
      </c>
    </row>
    <row r="34" ht="36" customHeight="1">
      <c r="A34" s="3" t="inlineStr">
        <is>
          <t>TO</t>
        </is>
      </c>
      <c r="B34" s="3" t="inlineStr">
        <is>
          <t>Tocantins</t>
        </is>
      </c>
      <c r="C34" s="3" t="inlineStr">
        <is>
          <t>Não</t>
        </is>
      </c>
      <c r="D34" s="5" t="inlineStr">
        <is>
          <t>O Fala.BR é utilizado como sistema principal de registro e gestão das manifestações</t>
        </is>
      </c>
      <c r="E34" s="6" t="inlineStr">
        <is>
          <t>Art. 4º, V; art. 7º, §2º, III, e §5º.</t>
        </is>
      </c>
      <c r="F34" s="3" t="inlineStr">
        <is>
          <t>Não</t>
        </is>
      </c>
      <c r="G34" s="5" t="inlineStr">
        <is>
          <t>NÃO</t>
        </is>
      </c>
      <c r="H34" s="6" t="inlineStr">
        <is>
          <t>Art. 6º, §2º; art. 8º, §2º.</t>
        </is>
      </c>
      <c r="I34" s="3" t="inlineStr">
        <is>
          <t>Não</t>
        </is>
      </c>
      <c r="J34" s="5" t="inlineStr">
        <is>
          <t>A equipe atua com dedicação exclusiva na Ouvidoria de Serviços Penais</t>
        </is>
      </c>
      <c r="K34" s="6" t="inlineStr">
        <is>
          <t>Art. 9º, caput.</t>
        </is>
      </c>
      <c r="L34" s="3" t="inlineStr">
        <is>
          <t>Não</t>
        </is>
      </c>
      <c r="M34" s="5" t="inlineStr">
        <is>
          <t>Reputação ilibada;</t>
        </is>
      </c>
      <c r="N34" s="6" t="inlineStr">
        <is>
          <t>Art. 8º, §1º.</t>
        </is>
      </c>
      <c r="O34" s="3" t="inlineStr">
        <is>
          <t>Não</t>
        </is>
      </c>
      <c r="P34" s="5" t="inlineStr">
        <is>
          <t>Sem resposta no diagnóstico</t>
        </is>
      </c>
      <c r="Q34" s="6" t="inlineStr">
        <is>
          <t>Art. 4º, III e V; art. 7º, §2º — canal adicional não previsto nominalmente.</t>
        </is>
      </c>
      <c r="R34" s="3" t="inlineStr">
        <is>
          <t>Não</t>
        </is>
      </c>
      <c r="S34" s="5" t="inlineStr">
        <is>
          <t>WhatsApp institucional ou outro aplicativo de mensagem;</t>
        </is>
      </c>
      <c r="T34" s="6" t="inlineStr">
        <is>
          <t>Art. 4º, III e V; art. 7º, §2º.</t>
        </is>
      </c>
      <c r="U34" s="3" t="inlineStr">
        <is>
          <t>Não</t>
        </is>
      </c>
      <c r="V34" s="5" t="inlineStr">
        <is>
          <t>Outras peças ou campanhas de comunicação ou educação em direitos;</t>
        </is>
      </c>
      <c r="W34" s="6" t="inlineStr">
        <is>
          <t>Art. 7º, §6º, III.</t>
        </is>
      </c>
      <c r="X34" s="3">
        <f>SUM(IF(C34="Sim",3,0),IF(F34="Sim",1,0),IF(I34="Sim",1,0),IF(L34="Sim",1,0),IF(O34="Sim",1,0),IF(R34="Sim",1,0),IF(U34="Sim",2,0))</f>
        <v/>
      </c>
      <c r="Y34" s="3" t="inlineStr">
        <is>
          <t>Doc. SEI 37070578</t>
        </is>
      </c>
    </row>
  </sheetData>
  <mergeCells count="12">
    <mergeCell ref="A4:B4"/>
    <mergeCell ref="X4:Y4"/>
    <mergeCell ref="A2:Y2"/>
    <mergeCell ref="O4:Q4"/>
    <mergeCell ref="R4:T4"/>
    <mergeCell ref="A1:Y1"/>
    <mergeCell ref="C4:E4"/>
    <mergeCell ref="U4:W4"/>
    <mergeCell ref="F4:H4"/>
    <mergeCell ref="I4:K4"/>
    <mergeCell ref="L4:N4"/>
    <mergeCell ref="A6:B6"/>
  </mergeCells>
  <conditionalFormatting sqref="C7:C34">
    <cfRule type="expression" priority="37" dxfId="2">
      <formula>C7="Sim"</formula>
    </cfRule>
    <cfRule type="expression" priority="38" dxfId="1">
      <formula>C7="Não"</formula>
    </cfRule>
    <cfRule type="expression" priority="39" dxfId="0">
      <formula>C7="Sem evidência"</formula>
    </cfRule>
  </conditionalFormatting>
  <conditionalFormatting sqref="F7:F34">
    <cfRule type="expression" priority="40" dxfId="2">
      <formula>F7="Sim"</formula>
    </cfRule>
    <cfRule type="expression" priority="41" dxfId="1">
      <formula>F7="Não"</formula>
    </cfRule>
    <cfRule type="expression" priority="42" dxfId="0">
      <formula>F7="Sem evidência"</formula>
    </cfRule>
  </conditionalFormatting>
  <conditionalFormatting sqref="I7:I34">
    <cfRule type="expression" priority="43" dxfId="2">
      <formula>I7="Sim"</formula>
    </cfRule>
    <cfRule type="expression" priority="44" dxfId="1">
      <formula>I7="Não"</formula>
    </cfRule>
    <cfRule type="expression" priority="45" dxfId="0">
      <formula>I7="Sem evidência"</formula>
    </cfRule>
  </conditionalFormatting>
  <conditionalFormatting sqref="L7:L34">
    <cfRule type="expression" priority="46" dxfId="2">
      <formula>L7="Sim"</formula>
    </cfRule>
    <cfRule type="expression" priority="47" dxfId="1">
      <formula>L7="Não"</formula>
    </cfRule>
    <cfRule type="expression" priority="48" dxfId="0">
      <formula>L7="Sem evidência"</formula>
    </cfRule>
  </conditionalFormatting>
  <conditionalFormatting sqref="O7:O34">
    <cfRule type="expression" priority="25" dxfId="2">
      <formula>O7="Sim"</formula>
    </cfRule>
    <cfRule type="expression" priority="26" dxfId="1">
      <formula>O7="Não"</formula>
    </cfRule>
    <cfRule type="expression" priority="27" dxfId="0">
      <formula>O7="Sem evidência"</formula>
    </cfRule>
  </conditionalFormatting>
  <conditionalFormatting sqref="R7:R34">
    <cfRule type="expression" priority="13" dxfId="2">
      <formula>R7="Sim"</formula>
    </cfRule>
    <cfRule type="expression" priority="14" dxfId="1">
      <formula>R7="Não"</formula>
    </cfRule>
    <cfRule type="expression" priority="15" dxfId="0">
      <formula>R7="Sem evidência"</formula>
    </cfRule>
  </conditionalFormatting>
  <conditionalFormatting sqref="U7:U34">
    <cfRule type="expression" priority="1" dxfId="2">
      <formula>U7="Sim"</formula>
    </cfRule>
    <cfRule type="expression" priority="2" dxfId="1">
      <formula>U7="Não"</formula>
    </cfRule>
    <cfRule type="expression" priority="3" dxfId="0">
      <formula>U7="Sem evidência"</formula>
    </cfRule>
  </conditionalFormatting>
  <dataValidations count="1">
    <dataValidation sqref="C7:C34 F7:F34 I7:I34 L7:L34 O7:O34 R7:R34 U7:U34" showDropDown="0" showInputMessage="0" showErrorMessage="0" allowBlank="0" type="list">
      <formula1>"Sim,Não,Sem evidência"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2"/>
  <sheetViews>
    <sheetView topLeftCell="A4" workbookViewId="0">
      <selection activeCell="A1" sqref="A1:P1"/>
    </sheetView>
  </sheetViews>
  <sheetFormatPr baseColWidth="8" defaultRowHeight="14.4"/>
  <cols>
    <col width="8" customWidth="1" min="1" max="1"/>
    <col width="29" customWidth="1" min="2" max="2"/>
    <col width="18" customWidth="1" min="3" max="3"/>
    <col width="14" customWidth="1" min="4" max="4"/>
    <col width="16" customWidth="1" min="5" max="7"/>
    <col width="20" customWidth="1" min="8" max="8"/>
    <col width="14" customWidth="1" min="9" max="9"/>
    <col width="18" customWidth="1" min="10" max="10"/>
    <col width="14" customWidth="1" min="11" max="12"/>
    <col width="18" customWidth="1" min="13" max="13"/>
    <col width="17" customWidth="1" min="14" max="14"/>
    <col width="46" customWidth="1" min="15" max="15"/>
    <col width="35" customWidth="1" min="16" max="16"/>
    <col width="31" customWidth="1" min="18" max="18"/>
    <col width="12" customWidth="1" min="19" max="19"/>
  </cols>
  <sheetData>
    <row r="1" ht="22.35" customHeight="1">
      <c r="A1" s="8" t="inlineStr">
        <is>
          <t>Resumo e classificação por unidade de avaliação</t>
        </is>
      </c>
    </row>
    <row r="2" ht="38.4" customHeight="1">
      <c r="A2" s="9" t="inlineStr">
        <is>
          <t>Pontuação-base máxima: 100. Bônus disponível: até 10. Nenhuma pergunta é contabilizada em mais de uma dimensão.</t>
        </is>
      </c>
    </row>
    <row r="4" ht="28.8" customHeight="1">
      <c r="A4" s="2" t="inlineStr">
        <is>
          <t>UF</t>
        </is>
      </c>
      <c r="B4" s="2" t="inlineStr">
        <is>
          <t>Unidade Federativa</t>
        </is>
      </c>
      <c r="C4" s="2" t="inlineStr">
        <is>
          <t>Institucionalização /15</t>
        </is>
      </c>
      <c r="D4" s="2" t="inlineStr">
        <is>
          <t>Autonomia /15</t>
        </is>
      </c>
      <c r="E4" s="2" t="inlineStr">
        <is>
          <t>Imparcialidade /15</t>
        </is>
      </c>
      <c r="F4" s="2" t="inlineStr">
        <is>
          <t>Acessibilidade /15</t>
        </is>
      </c>
      <c r="G4" s="2" t="inlineStr">
        <is>
          <t>Transparência /15</t>
        </is>
      </c>
      <c r="H4" s="2" t="inlineStr">
        <is>
          <t>Integração tecnológica /25</t>
        </is>
      </c>
      <c r="I4" s="2" t="inlineStr">
        <is>
          <t>Nota-base /100</t>
        </is>
      </c>
      <c r="J4" s="2" t="inlineStr">
        <is>
          <t>Bônus disponível /10</t>
        </is>
      </c>
      <c r="K4" s="2" t="inlineStr">
        <is>
          <t>Bônus aplicado</t>
        </is>
      </c>
      <c r="L4" s="2" t="inlineStr">
        <is>
          <t>Nota final /100</t>
        </is>
      </c>
      <c r="M4" s="2" t="inlineStr">
        <is>
          <t>Situação institucional</t>
        </is>
      </c>
      <c r="N4" s="2" t="inlineStr">
        <is>
          <t>Trava dimensão zerada</t>
        </is>
      </c>
      <c r="O4" s="2" t="inlineStr">
        <is>
          <t>Classificação</t>
        </is>
      </c>
      <c r="P4" s="2" t="inlineStr">
        <is>
          <t>Observação</t>
        </is>
      </c>
      <c r="R4" s="2" t="inlineStr">
        <is>
          <t>Indicador</t>
        </is>
      </c>
      <c r="S4" s="2" t="inlineStr">
        <is>
          <t>Valor</t>
        </is>
      </c>
    </row>
    <row r="5">
      <c r="A5" s="3" t="inlineStr">
        <is>
          <t>AC</t>
        </is>
      </c>
      <c r="B5" s="3" t="inlineStr">
        <is>
          <t>Acre</t>
        </is>
      </c>
      <c r="C5" s="3">
        <f>'01_Institucionalização'!G7</f>
        <v/>
      </c>
      <c r="D5" s="3">
        <f>'02_Autonomia'!W7</f>
        <v/>
      </c>
      <c r="E5" s="3">
        <f>'03_Imparcialidade'!K7</f>
        <v/>
      </c>
      <c r="F5" s="3">
        <f>'04_Acessibilidade'!AA7</f>
        <v/>
      </c>
      <c r="G5" s="3">
        <f>'05_Transparência'!K7</f>
        <v/>
      </c>
      <c r="H5" s="3">
        <f>'06_Integração Tec'!AE7</f>
        <v/>
      </c>
      <c r="I5" s="3">
        <f>IF(M5&lt;&gt;"Instituída","",SUM(C5:H5))</f>
        <v/>
      </c>
      <c r="J5" s="3">
        <f>IF(M5&lt;&gt;"Instituída","",'07_Maturidade'!X7)</f>
        <v/>
      </c>
      <c r="K5" s="3">
        <f>IF(M5&lt;&gt;"Instituída","",MIN(J5,MAX(0,100-I5)))</f>
        <v/>
      </c>
      <c r="L5" s="3">
        <f>IF(M5&lt;&gt;"Instituída","",MIN(100,I5+K5))</f>
        <v/>
      </c>
      <c r="M5" s="3">
        <f>'01_Institucionalização'!H7</f>
        <v/>
      </c>
      <c r="N5" s="3">
        <f>IF(M5&lt;&gt;"Instituída","",IF(OR(D5=0,E5=0,F5=0,G5=0,H5=0),"Sim","Não"))</f>
        <v/>
      </c>
      <c r="O5" s="3">
        <f>IF(M5="Não instituída","Não instituída",IF(M5&lt;&gt;"Instituída","Sem evidência",IF(N5="Sim","Instituída — aderência insuficiente (dimensão essencial zerada)",IF(L5&lt;50,"Instituída — baixa aderência",IF(L5&lt;70,"Instituída — aderência parcial",IF(L5&lt;90,"Instituída — aderência satisfatória","Instituída — elevada aderência"))))))</f>
        <v/>
      </c>
      <c r="P5" s="3">
        <f>IF(M5&lt;&gt;"Instituída","",IF(K5=0,"Bônus não aplicado",IF(K5&lt;J5,"Bônus limitado ao necessário para atingir 100","Bônus integralmente aplicado")))</f>
        <v/>
      </c>
      <c r="R5" t="inlineStr">
        <is>
          <t>Unidades de avaliação</t>
        </is>
      </c>
      <c r="S5">
        <f>COUNTA(A5:A32)</f>
        <v/>
      </c>
    </row>
    <row r="6">
      <c r="A6" s="3" t="inlineStr">
        <is>
          <t>AL</t>
        </is>
      </c>
      <c r="B6" s="3" t="inlineStr">
        <is>
          <t>Alagoas</t>
        </is>
      </c>
      <c r="C6" s="3">
        <f>'01_Institucionalização'!G8</f>
        <v/>
      </c>
      <c r="D6" s="3">
        <f>'02_Autonomia'!W8</f>
        <v/>
      </c>
      <c r="E6" s="3">
        <f>'03_Imparcialidade'!K8</f>
        <v/>
      </c>
      <c r="F6" s="3">
        <f>'04_Acessibilidade'!AA8</f>
        <v/>
      </c>
      <c r="G6" s="3">
        <f>'05_Transparência'!K8</f>
        <v/>
      </c>
      <c r="H6" s="3">
        <f>'06_Integração Tec'!AE8</f>
        <v/>
      </c>
      <c r="I6" s="3">
        <f>IF(M6&lt;&gt;"Instituída","",SUM(C6:H6))</f>
        <v/>
      </c>
      <c r="J6" s="3">
        <f>IF(M6&lt;&gt;"Instituída","",'07_Maturidade'!X8)</f>
        <v/>
      </c>
      <c r="K6" s="3">
        <f>IF(M6&lt;&gt;"Instituída","",MIN(J6,MAX(0,100-I6)))</f>
        <v/>
      </c>
      <c r="L6" s="3">
        <f>IF(M6&lt;&gt;"Instituída","",MIN(100,I6+K6))</f>
        <v/>
      </c>
      <c r="M6" s="3">
        <f>'01_Institucionalização'!H8</f>
        <v/>
      </c>
      <c r="N6" s="3">
        <f>IF(M6&lt;&gt;"Instituída","",IF(OR(D6=0,E6=0,F6=0,G6=0,H6=0),"Sim","Não"))</f>
        <v/>
      </c>
      <c r="O6" s="3">
        <f>IF(M6="Não instituída","Não instituída",IF(M6&lt;&gt;"Instituída","Sem evidência",IF(N6="Sim","Instituída — aderência insuficiente (dimensão essencial zerada)",IF(L6&lt;50,"Instituída — baixa aderência",IF(L6&lt;70,"Instituída — aderência parcial",IF(L6&lt;90,"Instituída — aderência satisfatória","Instituída — elevada aderência"))))))</f>
        <v/>
      </c>
      <c r="P6" s="3">
        <f>IF(M6&lt;&gt;"Instituída","",IF(K6=0,"Bônus não aplicado",IF(K6&lt;J6,"Bônus limitado ao necessário para atingir 100","Bônus integralmente aplicado")))</f>
        <v/>
      </c>
      <c r="R6" t="inlineStr">
        <is>
          <t>Instituídas</t>
        </is>
      </c>
      <c r="S6">
        <f>COUNTIF(M5:M32,"Instituída")</f>
        <v/>
      </c>
    </row>
    <row r="7">
      <c r="A7" s="3" t="inlineStr">
        <is>
          <t>AP</t>
        </is>
      </c>
      <c r="B7" s="3" t="inlineStr">
        <is>
          <t>Amapá</t>
        </is>
      </c>
      <c r="C7" s="3">
        <f>'01_Institucionalização'!G9</f>
        <v/>
      </c>
      <c r="D7" s="3">
        <f>'02_Autonomia'!W9</f>
        <v/>
      </c>
      <c r="E7" s="3">
        <f>'03_Imparcialidade'!K9</f>
        <v/>
      </c>
      <c r="F7" s="3">
        <f>'04_Acessibilidade'!AA9</f>
        <v/>
      </c>
      <c r="G7" s="3">
        <f>'05_Transparência'!K9</f>
        <v/>
      </c>
      <c r="H7" s="3">
        <f>'06_Integração Tec'!AE9</f>
        <v/>
      </c>
      <c r="I7" s="3">
        <f>IF(M7&lt;&gt;"Instituída","",SUM(C7:H7))</f>
        <v/>
      </c>
      <c r="J7" s="3">
        <f>IF(M7&lt;&gt;"Instituída","",'07_Maturidade'!X9)</f>
        <v/>
      </c>
      <c r="K7" s="3">
        <f>IF(M7&lt;&gt;"Instituída","",MIN(J7,MAX(0,100-I7)))</f>
        <v/>
      </c>
      <c r="L7" s="3">
        <f>IF(M7&lt;&gt;"Instituída","",MIN(100,I7+K7))</f>
        <v/>
      </c>
      <c r="M7" s="3">
        <f>'01_Institucionalização'!H9</f>
        <v/>
      </c>
      <c r="N7" s="3">
        <f>IF(M7&lt;&gt;"Instituída","",IF(OR(D7=0,E7=0,F7=0,G7=0,H7=0),"Sim","Não"))</f>
        <v/>
      </c>
      <c r="O7" s="3">
        <f>IF(M7="Não instituída","Não instituída",IF(M7&lt;&gt;"Instituída","Sem evidência",IF(N7="Sim","Instituída — aderência insuficiente (dimensão essencial zerada)",IF(L7&lt;50,"Instituída — baixa aderência",IF(L7&lt;70,"Instituída — aderência parcial",IF(L7&lt;90,"Instituída — aderência satisfatória","Instituída — elevada aderência"))))))</f>
        <v/>
      </c>
      <c r="P7" s="3">
        <f>IF(M7&lt;&gt;"Instituída","",IF(K7=0,"Bônus não aplicado",IF(K7&lt;J7,"Bônus limitado ao necessário para atingir 100","Bônus integralmente aplicado")))</f>
        <v/>
      </c>
      <c r="R7" t="inlineStr">
        <is>
          <t>Não instituídas</t>
        </is>
      </c>
      <c r="S7">
        <f>COUNTIF(M5:M32,"Não instituída")</f>
        <v/>
      </c>
    </row>
    <row r="8" ht="28.8" customHeight="1">
      <c r="A8" s="3" t="inlineStr">
        <is>
          <t>AM</t>
        </is>
      </c>
      <c r="B8" s="3" t="inlineStr">
        <is>
          <t>Amazonas</t>
        </is>
      </c>
      <c r="C8" s="3">
        <f>'01_Institucionalização'!G10</f>
        <v/>
      </c>
      <c r="D8" s="3">
        <f>'02_Autonomia'!W10</f>
        <v/>
      </c>
      <c r="E8" s="3">
        <f>'03_Imparcialidade'!K10</f>
        <v/>
      </c>
      <c r="F8" s="3">
        <f>'04_Acessibilidade'!AA10</f>
        <v/>
      </c>
      <c r="G8" s="3">
        <f>'05_Transparência'!K10</f>
        <v/>
      </c>
      <c r="H8" s="3">
        <f>'06_Integração Tec'!AE10</f>
        <v/>
      </c>
      <c r="I8" s="3">
        <f>IF(M8&lt;&gt;"Instituída","",SUM(C8:H8))</f>
        <v/>
      </c>
      <c r="J8" s="3">
        <f>IF(M8&lt;&gt;"Instituída","",'07_Maturidade'!X10)</f>
        <v/>
      </c>
      <c r="K8" s="3">
        <f>IF(M8&lt;&gt;"Instituída","",MIN(J8,MAX(0,100-I8)))</f>
        <v/>
      </c>
      <c r="L8" s="3">
        <f>IF(M8&lt;&gt;"Instituída","",MIN(100,I8+K8))</f>
        <v/>
      </c>
      <c r="M8" s="3">
        <f>'01_Institucionalização'!H10</f>
        <v/>
      </c>
      <c r="N8" s="3">
        <f>IF(M8&lt;&gt;"Instituída","",IF(OR(D8=0,E8=0,F8=0,G8=0,H8=0),"Sim","Não"))</f>
        <v/>
      </c>
      <c r="O8" s="3">
        <f>IF(M8="Não instituída","Não instituída",IF(M8&lt;&gt;"Instituída","Sem evidência",IF(N8="Sim","Instituída — aderência insuficiente (dimensão essencial zerada)",IF(L8&lt;50,"Instituída — baixa aderência",IF(L8&lt;70,"Instituída — aderência parcial",IF(L8&lt;90,"Instituída — aderência satisfatória","Instituída — elevada aderência"))))))</f>
        <v/>
      </c>
      <c r="P8" s="3">
        <f>IF(M8&lt;&gt;"Instituída","",IF(K8=0,"Bônus não aplicado",IF(K8&lt;J8,"Bônus limitado ao necessário para atingir 100","Bônus integralmente aplicado")))</f>
        <v/>
      </c>
      <c r="R8" t="inlineStr">
        <is>
          <t>Sem evidência institucional</t>
        </is>
      </c>
      <c r="S8">
        <f>COUNTIF(M5:M32,"Sem evidência")</f>
        <v/>
      </c>
    </row>
    <row r="9">
      <c r="A9" s="3" t="inlineStr">
        <is>
          <t>BA</t>
        </is>
      </c>
      <c r="B9" s="3" t="inlineStr">
        <is>
          <t>Bahia</t>
        </is>
      </c>
      <c r="C9" s="3">
        <f>'01_Institucionalização'!G11</f>
        <v/>
      </c>
      <c r="D9" s="3">
        <f>'02_Autonomia'!W11</f>
        <v/>
      </c>
      <c r="E9" s="3">
        <f>'03_Imparcialidade'!K11</f>
        <v/>
      </c>
      <c r="F9" s="3">
        <f>'04_Acessibilidade'!AA11</f>
        <v/>
      </c>
      <c r="G9" s="3">
        <f>'05_Transparência'!K11</f>
        <v/>
      </c>
      <c r="H9" s="3">
        <f>'06_Integração Tec'!AE11</f>
        <v/>
      </c>
      <c r="I9" s="3">
        <f>IF(M9&lt;&gt;"Instituída","",SUM(C9:H9))</f>
        <v/>
      </c>
      <c r="J9" s="3">
        <f>IF(M9&lt;&gt;"Instituída","",'07_Maturidade'!X11)</f>
        <v/>
      </c>
      <c r="K9" s="3">
        <f>IF(M9&lt;&gt;"Instituída","",MIN(J9,MAX(0,100-I9)))</f>
        <v/>
      </c>
      <c r="L9" s="3">
        <f>IF(M9&lt;&gt;"Instituída","",MIN(100,I9+K9))</f>
        <v/>
      </c>
      <c r="M9" s="3">
        <f>'01_Institucionalização'!H11</f>
        <v/>
      </c>
      <c r="N9" s="3">
        <f>IF(M9&lt;&gt;"Instituída","",IF(OR(D9=0,E9=0,F9=0,G9=0,H9=0),"Sim","Não"))</f>
        <v/>
      </c>
      <c r="O9" s="3">
        <f>IF(M9="Não instituída","Não instituída",IF(M9&lt;&gt;"Instituída","Sem evidência",IF(N9="Sim","Instituída — aderência insuficiente (dimensão essencial zerada)",IF(L9&lt;50,"Instituída — baixa aderência",IF(L9&lt;70,"Instituída — aderência parcial",IF(L9&lt;90,"Instituída — aderência satisfatória","Instituída — elevada aderência"))))))</f>
        <v/>
      </c>
      <c r="P9" s="3">
        <f>IF(M9&lt;&gt;"Instituída","",IF(K9=0,"Bônus não aplicado",IF(K9&lt;J9,"Bônus limitado ao necessário para atingir 100","Bônus integralmente aplicado")))</f>
        <v/>
      </c>
      <c r="R9" t="inlineStr">
        <is>
          <t>Elevada aderência</t>
        </is>
      </c>
      <c r="S9">
        <f>COUNTIF(O5:O32,"*elevada*")</f>
        <v/>
      </c>
    </row>
    <row r="10">
      <c r="A10" s="3" t="inlineStr">
        <is>
          <t>CE</t>
        </is>
      </c>
      <c r="B10" s="3" t="inlineStr">
        <is>
          <t>Ceará</t>
        </is>
      </c>
      <c r="C10" s="3">
        <f>'01_Institucionalização'!G12</f>
        <v/>
      </c>
      <c r="D10" s="3">
        <f>'02_Autonomia'!W12</f>
        <v/>
      </c>
      <c r="E10" s="3">
        <f>'03_Imparcialidade'!K12</f>
        <v/>
      </c>
      <c r="F10" s="3">
        <f>'04_Acessibilidade'!AA12</f>
        <v/>
      </c>
      <c r="G10" s="3">
        <f>'05_Transparência'!K12</f>
        <v/>
      </c>
      <c r="H10" s="3">
        <f>'06_Integração Tec'!AE12</f>
        <v/>
      </c>
      <c r="I10" s="3">
        <f>IF(M10&lt;&gt;"Instituída","",SUM(C10:H10))</f>
        <v/>
      </c>
      <c r="J10" s="3">
        <f>IF(M10&lt;&gt;"Instituída","",'07_Maturidade'!X12)</f>
        <v/>
      </c>
      <c r="K10" s="3">
        <f>IF(M10&lt;&gt;"Instituída","",MIN(J10,MAX(0,100-I10)))</f>
        <v/>
      </c>
      <c r="L10" s="3">
        <f>IF(M10&lt;&gt;"Instituída","",MIN(100,I10+K10))</f>
        <v/>
      </c>
      <c r="M10" s="3">
        <f>'01_Institucionalização'!H12</f>
        <v/>
      </c>
      <c r="N10" s="3">
        <f>IF(M10&lt;&gt;"Instituída","",IF(OR(D10=0,E10=0,F10=0,G10=0,H10=0),"Sim","Não"))</f>
        <v/>
      </c>
      <c r="O10" s="3">
        <f>IF(M10="Não instituída","Não instituída",IF(M10&lt;&gt;"Instituída","Sem evidência",IF(N10="Sim","Instituída — aderência insuficiente (dimensão essencial zerada)",IF(L10&lt;50,"Instituída — baixa aderência",IF(L10&lt;70,"Instituída — aderência parcial",IF(L10&lt;90,"Instituída — aderência satisfatória","Instituída — elevada aderência"))))))</f>
        <v/>
      </c>
      <c r="P10" s="3">
        <f>IF(M10&lt;&gt;"Instituída","",IF(K10=0,"Bônus não aplicado",IF(K10&lt;J10,"Bônus limitado ao necessário para atingir 100","Bônus integralmente aplicado")))</f>
        <v/>
      </c>
      <c r="R10" t="inlineStr">
        <is>
          <t>Aderência satisfatória</t>
        </is>
      </c>
      <c r="S10">
        <f>COUNTIF(O5:O32,"*satisfatória*")</f>
        <v/>
      </c>
    </row>
    <row r="11">
      <c r="A11" s="3" t="inlineStr">
        <is>
          <t>DF</t>
        </is>
      </c>
      <c r="B11" s="3" t="inlineStr">
        <is>
          <t>Distrito Federal</t>
        </is>
      </c>
      <c r="C11" s="3">
        <f>'01_Institucionalização'!G13</f>
        <v/>
      </c>
      <c r="D11" s="3">
        <f>'02_Autonomia'!W13</f>
        <v/>
      </c>
      <c r="E11" s="3">
        <f>'03_Imparcialidade'!K13</f>
        <v/>
      </c>
      <c r="F11" s="3">
        <f>'04_Acessibilidade'!AA13</f>
        <v/>
      </c>
      <c r="G11" s="3">
        <f>'05_Transparência'!K13</f>
        <v/>
      </c>
      <c r="H11" s="3">
        <f>'06_Integração Tec'!AE13</f>
        <v/>
      </c>
      <c r="I11" s="3">
        <f>IF(M11&lt;&gt;"Instituída","",SUM(C11:H11))</f>
        <v/>
      </c>
      <c r="J11" s="3">
        <f>IF(M11&lt;&gt;"Instituída","",'07_Maturidade'!X13)</f>
        <v/>
      </c>
      <c r="K11" s="3">
        <f>IF(M11&lt;&gt;"Instituída","",MIN(J11,MAX(0,100-I11)))</f>
        <v/>
      </c>
      <c r="L11" s="3">
        <f>IF(M11&lt;&gt;"Instituída","",MIN(100,I11+K11))</f>
        <v/>
      </c>
      <c r="M11" s="3">
        <f>'01_Institucionalização'!H13</f>
        <v/>
      </c>
      <c r="N11" s="3">
        <f>IF(M11&lt;&gt;"Instituída","",IF(OR(D11=0,E11=0,F11=0,G11=0,H11=0),"Sim","Não"))</f>
        <v/>
      </c>
      <c r="O11" s="3">
        <f>IF(M11="Não instituída","Não instituída",IF(M11&lt;&gt;"Instituída","Sem evidência",IF(N11="Sim","Instituída — aderência insuficiente (dimensão essencial zerada)",IF(L11&lt;50,"Instituída — baixa aderência",IF(L11&lt;70,"Instituída — aderência parcial",IF(L11&lt;90,"Instituída — aderência satisfatória","Instituída — elevada aderência"))))))</f>
        <v/>
      </c>
      <c r="P11" s="3">
        <f>IF(M11&lt;&gt;"Instituída","",IF(K11=0,"Bônus não aplicado",IF(K11&lt;J11,"Bônus limitado ao necessário para atingir 100","Bônus integralmente aplicado")))</f>
        <v/>
      </c>
      <c r="R11" t="inlineStr">
        <is>
          <t>Aderência parcial</t>
        </is>
      </c>
      <c r="S11">
        <f>COUNTIF(O5:O32,"*parcial*")</f>
        <v/>
      </c>
    </row>
    <row r="12">
      <c r="A12" s="3" t="inlineStr">
        <is>
          <t>ES</t>
        </is>
      </c>
      <c r="B12" s="3" t="inlineStr">
        <is>
          <t>Espírito Santo — Polícia Penal</t>
        </is>
      </c>
      <c r="C12" s="3">
        <f>'01_Institucionalização'!G14</f>
        <v/>
      </c>
      <c r="D12" s="3">
        <f>'02_Autonomia'!W14</f>
        <v/>
      </c>
      <c r="E12" s="3">
        <f>'03_Imparcialidade'!K14</f>
        <v/>
      </c>
      <c r="F12" s="3">
        <f>'04_Acessibilidade'!AA14</f>
        <v/>
      </c>
      <c r="G12" s="3">
        <f>'05_Transparência'!K14</f>
        <v/>
      </c>
      <c r="H12" s="3">
        <f>'06_Integração Tec'!AE14</f>
        <v/>
      </c>
      <c r="I12" s="3">
        <f>IF(M12&lt;&gt;"Instituída","",SUM(C12:H12))</f>
        <v/>
      </c>
      <c r="J12" s="3">
        <f>IF(M12&lt;&gt;"Instituída","",'07_Maturidade'!X14)</f>
        <v/>
      </c>
      <c r="K12" s="3">
        <f>IF(M12&lt;&gt;"Instituída","",MIN(J12,MAX(0,100-I12)))</f>
        <v/>
      </c>
      <c r="L12" s="3">
        <f>IF(M12&lt;&gt;"Instituída","",MIN(100,I12+K12))</f>
        <v/>
      </c>
      <c r="M12" s="3">
        <f>'01_Institucionalização'!H14</f>
        <v/>
      </c>
      <c r="N12" s="3">
        <f>IF(M12&lt;&gt;"Instituída","",IF(OR(D12=0,E12=0,F12=0,G12=0,H12=0),"Sim","Não"))</f>
        <v/>
      </c>
      <c r="O12" s="3">
        <f>IF(M12="Não instituída","Não instituída",IF(M12&lt;&gt;"Instituída","Sem evidência",IF(N12="Sim","Instituída — aderência insuficiente (dimensão essencial zerada)",IF(L12&lt;50,"Instituída — baixa aderência",IF(L12&lt;70,"Instituída — aderência parcial",IF(L12&lt;90,"Instituída — aderência satisfatória","Instituída — elevada aderência"))))))</f>
        <v/>
      </c>
      <c r="P12" s="3">
        <f>IF(M12&lt;&gt;"Instituída","",IF(K12=0,"Bônus não aplicado",IF(K12&lt;J12,"Bônus limitado ao necessário para atingir 100","Bônus integralmente aplicado")))</f>
        <v/>
      </c>
      <c r="R12" t="inlineStr">
        <is>
          <t>Baixa/insuficiente aderência</t>
        </is>
      </c>
      <c r="S12">
        <f>COUNTIF(O5:O32,"*baixa*")+COUNTIF(O5:O32,"*insuficiente*")</f>
        <v/>
      </c>
    </row>
    <row r="13">
      <c r="A13" s="3" t="inlineStr">
        <is>
          <t>ES</t>
        </is>
      </c>
      <c r="B13" s="3" t="inlineStr">
        <is>
          <t>Espírito Santo — SEJUS/ES</t>
        </is>
      </c>
      <c r="C13" s="3">
        <f>'01_Institucionalização'!G15</f>
        <v/>
      </c>
      <c r="D13" s="3">
        <f>'02_Autonomia'!W15</f>
        <v/>
      </c>
      <c r="E13" s="3">
        <f>'03_Imparcialidade'!K15</f>
        <v/>
      </c>
      <c r="F13" s="3">
        <f>'04_Acessibilidade'!AA15</f>
        <v/>
      </c>
      <c r="G13" s="3">
        <f>'05_Transparência'!K15</f>
        <v/>
      </c>
      <c r="H13" s="3">
        <f>'06_Integração Tec'!AE15</f>
        <v/>
      </c>
      <c r="I13" s="3">
        <f>IF(M13&lt;&gt;"Instituída","",SUM(C13:H13))</f>
        <v/>
      </c>
      <c r="J13" s="3">
        <f>IF(M13&lt;&gt;"Instituída","",'07_Maturidade'!X15)</f>
        <v/>
      </c>
      <c r="K13" s="3">
        <f>IF(M13&lt;&gt;"Instituída","",MIN(J13,MAX(0,100-I13)))</f>
        <v/>
      </c>
      <c r="L13" s="3">
        <f>IF(M13&lt;&gt;"Instituída","",MIN(100,I13+K13))</f>
        <v/>
      </c>
      <c r="M13" s="3">
        <f>'01_Institucionalização'!H15</f>
        <v/>
      </c>
      <c r="N13" s="3">
        <f>IF(M13&lt;&gt;"Instituída","",IF(OR(D13=0,E13=0,F13=0,G13=0,H13=0),"Sim","Não"))</f>
        <v/>
      </c>
      <c r="O13" s="3">
        <f>IF(M13="Não instituída","Não instituída",IF(M13&lt;&gt;"Instituída","Sem evidência",IF(N13="Sim","Instituída — aderência insuficiente (dimensão essencial zerada)",IF(L13&lt;50,"Instituída — baixa aderência",IF(L13&lt;70,"Instituída — aderência parcial",IF(L13&lt;90,"Instituída — aderência satisfatória","Instituída — elevada aderência"))))))</f>
        <v/>
      </c>
      <c r="P13" s="3">
        <f>IF(M13&lt;&gt;"Instituída","",IF(K13=0,"Bônus não aplicado",IF(K13&lt;J13,"Bônus limitado ao necessário para atingir 100","Bônus integralmente aplicado")))</f>
        <v/>
      </c>
    </row>
    <row r="14">
      <c r="A14" s="3" t="inlineStr">
        <is>
          <t>GO</t>
        </is>
      </c>
      <c r="B14" s="3" t="inlineStr">
        <is>
          <t>Goiás</t>
        </is>
      </c>
      <c r="C14" s="3">
        <f>'01_Institucionalização'!G16</f>
        <v/>
      </c>
      <c r="D14" s="3">
        <f>'02_Autonomia'!W16</f>
        <v/>
      </c>
      <c r="E14" s="3">
        <f>'03_Imparcialidade'!K16</f>
        <v/>
      </c>
      <c r="F14" s="3">
        <f>'04_Acessibilidade'!AA16</f>
        <v/>
      </c>
      <c r="G14" s="3">
        <f>'05_Transparência'!K16</f>
        <v/>
      </c>
      <c r="H14" s="3">
        <f>'06_Integração Tec'!AE16</f>
        <v/>
      </c>
      <c r="I14" s="3">
        <f>IF(M14&lt;&gt;"Instituída","",SUM(C14:H14))</f>
        <v/>
      </c>
      <c r="J14" s="3">
        <f>IF(M14&lt;&gt;"Instituída","",'07_Maturidade'!X16)</f>
        <v/>
      </c>
      <c r="K14" s="3">
        <f>IF(M14&lt;&gt;"Instituída","",MIN(J14,MAX(0,100-I14)))</f>
        <v/>
      </c>
      <c r="L14" s="3">
        <f>IF(M14&lt;&gt;"Instituída","",MIN(100,I14+K14))</f>
        <v/>
      </c>
      <c r="M14" s="3">
        <f>'01_Institucionalização'!H16</f>
        <v/>
      </c>
      <c r="N14" s="3">
        <f>IF(M14&lt;&gt;"Instituída","",IF(OR(D14=0,E14=0,F14=0,G14=0,H14=0),"Sim","Não"))</f>
        <v/>
      </c>
      <c r="O14" s="3">
        <f>IF(M14="Não instituída","Não instituída",IF(M14&lt;&gt;"Instituída","Sem evidência",IF(N14="Sim","Instituída — aderência insuficiente (dimensão essencial zerada)",IF(L14&lt;50,"Instituída — baixa aderência",IF(L14&lt;70,"Instituída — aderência parcial",IF(L14&lt;90,"Instituída — aderência satisfatória","Instituída — elevada aderência"))))))</f>
        <v/>
      </c>
      <c r="P14" s="3">
        <f>IF(M14&lt;&gt;"Instituída","",IF(K14=0,"Bônus não aplicado",IF(K14&lt;J14,"Bônus limitado ao necessário para atingir 100","Bônus integralmente aplicado")))</f>
        <v/>
      </c>
    </row>
    <row r="15">
      <c r="A15" s="3" t="inlineStr">
        <is>
          <t>MA</t>
        </is>
      </c>
      <c r="B15" s="3" t="inlineStr">
        <is>
          <t>Maranhão</t>
        </is>
      </c>
      <c r="C15" s="3">
        <f>'01_Institucionalização'!G17</f>
        <v/>
      </c>
      <c r="D15" s="3">
        <f>'02_Autonomia'!W17</f>
        <v/>
      </c>
      <c r="E15" s="3">
        <f>'03_Imparcialidade'!K17</f>
        <v/>
      </c>
      <c r="F15" s="3">
        <f>'04_Acessibilidade'!AA17</f>
        <v/>
      </c>
      <c r="G15" s="3">
        <f>'05_Transparência'!K17</f>
        <v/>
      </c>
      <c r="H15" s="3">
        <f>'06_Integração Tec'!AE17</f>
        <v/>
      </c>
      <c r="I15" s="3">
        <f>IF(M15&lt;&gt;"Instituída","",SUM(C15:H15))</f>
        <v/>
      </c>
      <c r="J15" s="3">
        <f>IF(M15&lt;&gt;"Instituída","",'07_Maturidade'!X17)</f>
        <v/>
      </c>
      <c r="K15" s="3">
        <f>IF(M15&lt;&gt;"Instituída","",MIN(J15,MAX(0,100-I15)))</f>
        <v/>
      </c>
      <c r="L15" s="3">
        <f>IF(M15&lt;&gt;"Instituída","",MIN(100,I15+K15))</f>
        <v/>
      </c>
      <c r="M15" s="3">
        <f>'01_Institucionalização'!H17</f>
        <v/>
      </c>
      <c r="N15" s="3">
        <f>IF(M15&lt;&gt;"Instituída","",IF(OR(D15=0,E15=0,F15=0,G15=0,H15=0),"Sim","Não"))</f>
        <v/>
      </c>
      <c r="O15" s="3">
        <f>IF(M15="Não instituída","Não instituída",IF(M15&lt;&gt;"Instituída","Sem evidência",IF(N15="Sim","Instituída — aderência insuficiente (dimensão essencial zerada)",IF(L15&lt;50,"Instituída — baixa aderência",IF(L15&lt;70,"Instituída — aderência parcial",IF(L15&lt;90,"Instituída — aderência satisfatória","Instituída — elevada aderência"))))))</f>
        <v/>
      </c>
      <c r="P15" s="3">
        <f>IF(M15&lt;&gt;"Instituída","",IF(K15=0,"Bônus não aplicado",IF(K15&lt;J15,"Bônus limitado ao necessário para atingir 100","Bônus integralmente aplicado")))</f>
        <v/>
      </c>
    </row>
    <row r="16">
      <c r="A16" s="3" t="inlineStr">
        <is>
          <t>MT</t>
        </is>
      </c>
      <c r="B16" s="3" t="inlineStr">
        <is>
          <t>Mato Grosso</t>
        </is>
      </c>
      <c r="C16" s="3">
        <f>'01_Institucionalização'!G18</f>
        <v/>
      </c>
      <c r="D16" s="3">
        <f>'02_Autonomia'!W18</f>
        <v/>
      </c>
      <c r="E16" s="3">
        <f>'03_Imparcialidade'!K18</f>
        <v/>
      </c>
      <c r="F16" s="3">
        <f>'04_Acessibilidade'!AA18</f>
        <v/>
      </c>
      <c r="G16" s="3">
        <f>'05_Transparência'!K18</f>
        <v/>
      </c>
      <c r="H16" s="3">
        <f>'06_Integração Tec'!AE18</f>
        <v/>
      </c>
      <c r="I16" s="3">
        <f>IF(M16&lt;&gt;"Instituída","",SUM(C16:H16))</f>
        <v/>
      </c>
      <c r="J16" s="3">
        <f>IF(M16&lt;&gt;"Instituída","",'07_Maturidade'!X18)</f>
        <v/>
      </c>
      <c r="K16" s="3">
        <f>IF(M16&lt;&gt;"Instituída","",MIN(J16,MAX(0,100-I16)))</f>
        <v/>
      </c>
      <c r="L16" s="3">
        <f>IF(M16&lt;&gt;"Instituída","",MIN(100,I16+K16))</f>
        <v/>
      </c>
      <c r="M16" s="3">
        <f>'01_Institucionalização'!H18</f>
        <v/>
      </c>
      <c r="N16" s="3">
        <f>IF(M16&lt;&gt;"Instituída","",IF(OR(D16=0,E16=0,F16=0,G16=0,H16=0),"Sim","Não"))</f>
        <v/>
      </c>
      <c r="O16" s="3">
        <f>IF(M16="Não instituída","Não instituída",IF(M16&lt;&gt;"Instituída","Sem evidência",IF(N16="Sim","Instituída — aderência insuficiente (dimensão essencial zerada)",IF(L16&lt;50,"Instituída — baixa aderência",IF(L16&lt;70,"Instituída — aderência parcial",IF(L16&lt;90,"Instituída — aderência satisfatória","Instituída — elevada aderência"))))))</f>
        <v/>
      </c>
      <c r="P16" s="3">
        <f>IF(M16&lt;&gt;"Instituída","",IF(K16=0,"Bônus não aplicado",IF(K16&lt;J16,"Bônus limitado ao necessário para atingir 100","Bônus integralmente aplicado")))</f>
        <v/>
      </c>
    </row>
    <row r="17">
      <c r="A17" s="3" t="inlineStr">
        <is>
          <t>MS</t>
        </is>
      </c>
      <c r="B17" s="3" t="inlineStr">
        <is>
          <t>Mato Grosso do Sul</t>
        </is>
      </c>
      <c r="C17" s="3">
        <f>'01_Institucionalização'!G19</f>
        <v/>
      </c>
      <c r="D17" s="3">
        <f>'02_Autonomia'!W19</f>
        <v/>
      </c>
      <c r="E17" s="3">
        <f>'03_Imparcialidade'!K19</f>
        <v/>
      </c>
      <c r="F17" s="3">
        <f>'04_Acessibilidade'!AA19</f>
        <v/>
      </c>
      <c r="G17" s="3">
        <f>'05_Transparência'!K19</f>
        <v/>
      </c>
      <c r="H17" s="3">
        <f>'06_Integração Tec'!AE19</f>
        <v/>
      </c>
      <c r="I17" s="3">
        <f>IF(M17&lt;&gt;"Instituída","",SUM(C17:H17))</f>
        <v/>
      </c>
      <c r="J17" s="3">
        <f>IF(M17&lt;&gt;"Instituída","",'07_Maturidade'!X19)</f>
        <v/>
      </c>
      <c r="K17" s="3">
        <f>IF(M17&lt;&gt;"Instituída","",MIN(J17,MAX(0,100-I17)))</f>
        <v/>
      </c>
      <c r="L17" s="3">
        <f>IF(M17&lt;&gt;"Instituída","",MIN(100,I17+K17))</f>
        <v/>
      </c>
      <c r="M17" s="3">
        <f>'01_Institucionalização'!H19</f>
        <v/>
      </c>
      <c r="N17" s="3">
        <f>IF(M17&lt;&gt;"Instituída","",IF(OR(D17=0,E17=0,F17=0,G17=0,H17=0),"Sim","Não"))</f>
        <v/>
      </c>
      <c r="O17" s="3">
        <f>IF(M17="Não instituída","Não instituída",IF(M17&lt;&gt;"Instituída","Sem evidência",IF(N17="Sim","Instituída — aderência insuficiente (dimensão essencial zerada)",IF(L17&lt;50,"Instituída — baixa aderência",IF(L17&lt;70,"Instituída — aderência parcial",IF(L17&lt;90,"Instituída — aderência satisfatória","Instituída — elevada aderência"))))))</f>
        <v/>
      </c>
      <c r="P17" s="3">
        <f>IF(M17&lt;&gt;"Instituída","",IF(K17=0,"Bônus não aplicado",IF(K17&lt;J17,"Bônus limitado ao necessário para atingir 100","Bônus integralmente aplicado")))</f>
        <v/>
      </c>
    </row>
    <row r="18">
      <c r="A18" s="3" t="inlineStr">
        <is>
          <t>MG</t>
        </is>
      </c>
      <c r="B18" s="3" t="inlineStr">
        <is>
          <t>Minas Gerais</t>
        </is>
      </c>
      <c r="C18" s="3">
        <f>'01_Institucionalização'!G20</f>
        <v/>
      </c>
      <c r="D18" s="3">
        <f>'02_Autonomia'!W20</f>
        <v/>
      </c>
      <c r="E18" s="3">
        <f>'03_Imparcialidade'!K20</f>
        <v/>
      </c>
      <c r="F18" s="3">
        <f>'04_Acessibilidade'!AA20</f>
        <v/>
      </c>
      <c r="G18" s="3">
        <f>'05_Transparência'!K20</f>
        <v/>
      </c>
      <c r="H18" s="3">
        <f>'06_Integração Tec'!AE20</f>
        <v/>
      </c>
      <c r="I18" s="3">
        <f>IF(M18&lt;&gt;"Instituída","",SUM(C18:H18))</f>
        <v/>
      </c>
      <c r="J18" s="3">
        <f>IF(M18&lt;&gt;"Instituída","",'07_Maturidade'!X20)</f>
        <v/>
      </c>
      <c r="K18" s="3">
        <f>IF(M18&lt;&gt;"Instituída","",MIN(J18,MAX(0,100-I18)))</f>
        <v/>
      </c>
      <c r="L18" s="3">
        <f>IF(M18&lt;&gt;"Instituída","",MIN(100,I18+K18))</f>
        <v/>
      </c>
      <c r="M18" s="3">
        <f>'01_Institucionalização'!H20</f>
        <v/>
      </c>
      <c r="N18" s="3">
        <f>IF(M18&lt;&gt;"Instituída","",IF(OR(D18=0,E18=0,F18=0,G18=0,H18=0),"Sim","Não"))</f>
        <v/>
      </c>
      <c r="O18" s="3">
        <f>IF(M18="Não instituída","Não instituída",IF(M18&lt;&gt;"Instituída","Sem evidência",IF(N18="Sim","Instituída — aderência insuficiente (dimensão essencial zerada)",IF(L18&lt;50,"Instituída — baixa aderência",IF(L18&lt;70,"Instituída — aderência parcial",IF(L18&lt;90,"Instituída — aderência satisfatória","Instituída — elevada aderência"))))))</f>
        <v/>
      </c>
      <c r="P18" s="3">
        <f>IF(M18&lt;&gt;"Instituída","",IF(K18=0,"Bônus não aplicado",IF(K18&lt;J18,"Bônus limitado ao necessário para atingir 100","Bônus integralmente aplicado")))</f>
        <v/>
      </c>
    </row>
    <row r="19">
      <c r="A19" s="3" t="inlineStr">
        <is>
          <t>PA</t>
        </is>
      </c>
      <c r="B19" s="3" t="inlineStr">
        <is>
          <t>Pará</t>
        </is>
      </c>
      <c r="C19" s="3">
        <f>'01_Institucionalização'!G21</f>
        <v/>
      </c>
      <c r="D19" s="3">
        <f>'02_Autonomia'!W21</f>
        <v/>
      </c>
      <c r="E19" s="3">
        <f>'03_Imparcialidade'!K21</f>
        <v/>
      </c>
      <c r="F19" s="3">
        <f>'04_Acessibilidade'!AA21</f>
        <v/>
      </c>
      <c r="G19" s="3">
        <f>'05_Transparência'!K21</f>
        <v/>
      </c>
      <c r="H19" s="3">
        <f>'06_Integração Tec'!AE21</f>
        <v/>
      </c>
      <c r="I19" s="3">
        <f>IF(M19&lt;&gt;"Instituída","",SUM(C19:H19))</f>
        <v/>
      </c>
      <c r="J19" s="3">
        <f>IF(M19&lt;&gt;"Instituída","",'07_Maturidade'!X21)</f>
        <v/>
      </c>
      <c r="K19" s="3">
        <f>IF(M19&lt;&gt;"Instituída","",MIN(J19,MAX(0,100-I19)))</f>
        <v/>
      </c>
      <c r="L19" s="3">
        <f>IF(M19&lt;&gt;"Instituída","",MIN(100,I19+K19))</f>
        <v/>
      </c>
      <c r="M19" s="3">
        <f>'01_Institucionalização'!H21</f>
        <v/>
      </c>
      <c r="N19" s="3">
        <f>IF(M19&lt;&gt;"Instituída","",IF(OR(D19=0,E19=0,F19=0,G19=0,H19=0),"Sim","Não"))</f>
        <v/>
      </c>
      <c r="O19" s="3">
        <f>IF(M19="Não instituída","Não instituída",IF(M19&lt;&gt;"Instituída","Sem evidência",IF(N19="Sim","Instituída — aderência insuficiente (dimensão essencial zerada)",IF(L19&lt;50,"Instituída — baixa aderência",IF(L19&lt;70,"Instituída — aderência parcial",IF(L19&lt;90,"Instituída — aderência satisfatória","Instituída — elevada aderência"))))))</f>
        <v/>
      </c>
      <c r="P19" s="3">
        <f>IF(M19&lt;&gt;"Instituída","",IF(K19=0,"Bônus não aplicado",IF(K19&lt;J19,"Bônus limitado ao necessário para atingir 100","Bônus integralmente aplicado")))</f>
        <v/>
      </c>
    </row>
    <row r="20">
      <c r="A20" s="3" t="inlineStr">
        <is>
          <t>PB</t>
        </is>
      </c>
      <c r="B20" s="3" t="inlineStr">
        <is>
          <t>Paraíba</t>
        </is>
      </c>
      <c r="C20" s="3">
        <f>'01_Institucionalização'!G22</f>
        <v/>
      </c>
      <c r="D20" s="3">
        <f>'02_Autonomia'!W22</f>
        <v/>
      </c>
      <c r="E20" s="3">
        <f>'03_Imparcialidade'!K22</f>
        <v/>
      </c>
      <c r="F20" s="3">
        <f>'04_Acessibilidade'!AA22</f>
        <v/>
      </c>
      <c r="G20" s="3">
        <f>'05_Transparência'!K22</f>
        <v/>
      </c>
      <c r="H20" s="3">
        <f>'06_Integração Tec'!AE22</f>
        <v/>
      </c>
      <c r="I20" s="3">
        <f>IF(M20&lt;&gt;"Instituída","",SUM(C20:H20))</f>
        <v/>
      </c>
      <c r="J20" s="3">
        <f>IF(M20&lt;&gt;"Instituída","",'07_Maturidade'!X22)</f>
        <v/>
      </c>
      <c r="K20" s="3">
        <f>IF(M20&lt;&gt;"Instituída","",MIN(J20,MAX(0,100-I20)))</f>
        <v/>
      </c>
      <c r="L20" s="3">
        <f>IF(M20&lt;&gt;"Instituída","",MIN(100,I20+K20))</f>
        <v/>
      </c>
      <c r="M20" s="3">
        <f>'01_Institucionalização'!H22</f>
        <v/>
      </c>
      <c r="N20" s="3">
        <f>IF(M20&lt;&gt;"Instituída","",IF(OR(D20=0,E20=0,F20=0,G20=0,H20=0),"Sim","Não"))</f>
        <v/>
      </c>
      <c r="O20" s="3">
        <f>IF(M20="Não instituída","Não instituída",IF(M20&lt;&gt;"Instituída","Sem evidência",IF(N20="Sim","Instituída — aderência insuficiente (dimensão essencial zerada)",IF(L20&lt;50,"Instituída — baixa aderência",IF(L20&lt;70,"Instituída — aderência parcial",IF(L20&lt;90,"Instituída — aderência satisfatória","Instituída — elevada aderência"))))))</f>
        <v/>
      </c>
      <c r="P20" s="3">
        <f>IF(M20&lt;&gt;"Instituída","",IF(K20=0,"Bônus não aplicado",IF(K20&lt;J20,"Bônus limitado ao necessário para atingir 100","Bônus integralmente aplicado")))</f>
        <v/>
      </c>
    </row>
    <row r="21">
      <c r="A21" s="3" t="inlineStr">
        <is>
          <t>PR</t>
        </is>
      </c>
      <c r="B21" s="3" t="inlineStr">
        <is>
          <t>Paraná</t>
        </is>
      </c>
      <c r="C21" s="3">
        <f>'01_Institucionalização'!G23</f>
        <v/>
      </c>
      <c r="D21" s="3">
        <f>'02_Autonomia'!W23</f>
        <v/>
      </c>
      <c r="E21" s="3">
        <f>'03_Imparcialidade'!K23</f>
        <v/>
      </c>
      <c r="F21" s="3">
        <f>'04_Acessibilidade'!AA23</f>
        <v/>
      </c>
      <c r="G21" s="3">
        <f>'05_Transparência'!K23</f>
        <v/>
      </c>
      <c r="H21" s="3">
        <f>'06_Integração Tec'!AE23</f>
        <v/>
      </c>
      <c r="I21" s="3">
        <f>IF(M21&lt;&gt;"Instituída","",SUM(C21:H21))</f>
        <v/>
      </c>
      <c r="J21" s="3">
        <f>IF(M21&lt;&gt;"Instituída","",'07_Maturidade'!X23)</f>
        <v/>
      </c>
      <c r="K21" s="3">
        <f>IF(M21&lt;&gt;"Instituída","",MIN(J21,MAX(0,100-I21)))</f>
        <v/>
      </c>
      <c r="L21" s="3">
        <f>IF(M21&lt;&gt;"Instituída","",MIN(100,I21+K21))</f>
        <v/>
      </c>
      <c r="M21" s="3">
        <f>'01_Institucionalização'!H23</f>
        <v/>
      </c>
      <c r="N21" s="3">
        <f>IF(M21&lt;&gt;"Instituída","",IF(OR(D21=0,E21=0,F21=0,G21=0,H21=0),"Sim","Não"))</f>
        <v/>
      </c>
      <c r="O21" s="3">
        <f>IF(M21="Não instituída","Não instituída",IF(M21&lt;&gt;"Instituída","Sem evidência",IF(N21="Sim","Instituída — aderência insuficiente (dimensão essencial zerada)",IF(L21&lt;50,"Instituída — baixa aderência",IF(L21&lt;70,"Instituída — aderência parcial",IF(L21&lt;90,"Instituída — aderência satisfatória","Instituída — elevada aderência"))))))</f>
        <v/>
      </c>
      <c r="P21" s="3">
        <f>IF(M21&lt;&gt;"Instituída","",IF(K21=0,"Bônus não aplicado",IF(K21&lt;J21,"Bônus limitado ao necessário para atingir 100","Bônus integralmente aplicado")))</f>
        <v/>
      </c>
    </row>
    <row r="22">
      <c r="A22" s="3" t="inlineStr">
        <is>
          <t>PE</t>
        </is>
      </c>
      <c r="B22" s="3" t="inlineStr">
        <is>
          <t>Pernambuco</t>
        </is>
      </c>
      <c r="C22" s="3">
        <f>'01_Institucionalização'!G24</f>
        <v/>
      </c>
      <c r="D22" s="3">
        <f>'02_Autonomia'!W24</f>
        <v/>
      </c>
      <c r="E22" s="3">
        <f>'03_Imparcialidade'!K24</f>
        <v/>
      </c>
      <c r="F22" s="3">
        <f>'04_Acessibilidade'!AA24</f>
        <v/>
      </c>
      <c r="G22" s="3">
        <f>'05_Transparência'!K24</f>
        <v/>
      </c>
      <c r="H22" s="3">
        <f>'06_Integração Tec'!AE24</f>
        <v/>
      </c>
      <c r="I22" s="3">
        <f>IF(M22&lt;&gt;"Instituída","",SUM(C22:H22))</f>
        <v/>
      </c>
      <c r="J22" s="3">
        <f>IF(M22&lt;&gt;"Instituída","",'07_Maturidade'!X24)</f>
        <v/>
      </c>
      <c r="K22" s="3">
        <f>IF(M22&lt;&gt;"Instituída","",MIN(J22,MAX(0,100-I22)))</f>
        <v/>
      </c>
      <c r="L22" s="3">
        <f>IF(M22&lt;&gt;"Instituída","",MIN(100,I22+K22))</f>
        <v/>
      </c>
      <c r="M22" s="3">
        <f>'01_Institucionalização'!H24</f>
        <v/>
      </c>
      <c r="N22" s="3">
        <f>IF(M22&lt;&gt;"Instituída","",IF(OR(D22=0,E22=0,F22=0,G22=0,H22=0),"Sim","Não"))</f>
        <v/>
      </c>
      <c r="O22" s="3">
        <f>IF(M22="Não instituída","Não instituída",IF(M22&lt;&gt;"Instituída","Sem evidência",IF(N22="Sim","Instituída — aderência insuficiente (dimensão essencial zerada)",IF(L22&lt;50,"Instituída — baixa aderência",IF(L22&lt;70,"Instituída — aderência parcial",IF(L22&lt;90,"Instituída — aderência satisfatória","Instituída — elevada aderência"))))))</f>
        <v/>
      </c>
      <c r="P22" s="3">
        <f>IF(M22&lt;&gt;"Instituída","",IF(K22=0,"Bônus não aplicado",IF(K22&lt;J22,"Bônus limitado ao necessário para atingir 100","Bônus integralmente aplicado")))</f>
        <v/>
      </c>
    </row>
    <row r="23">
      <c r="A23" s="3" t="inlineStr">
        <is>
          <t>PI</t>
        </is>
      </c>
      <c r="B23" s="3" t="inlineStr">
        <is>
          <t>Piauí</t>
        </is>
      </c>
      <c r="C23" s="3">
        <f>'01_Institucionalização'!G25</f>
        <v/>
      </c>
      <c r="D23" s="3">
        <f>'02_Autonomia'!W25</f>
        <v/>
      </c>
      <c r="E23" s="3">
        <f>'03_Imparcialidade'!K25</f>
        <v/>
      </c>
      <c r="F23" s="3">
        <f>'04_Acessibilidade'!AA25</f>
        <v/>
      </c>
      <c r="G23" s="3">
        <f>'05_Transparência'!K25</f>
        <v/>
      </c>
      <c r="H23" s="3">
        <f>'06_Integração Tec'!AE25</f>
        <v/>
      </c>
      <c r="I23" s="3">
        <f>IF(M23&lt;&gt;"Instituída","",SUM(C23:H23))</f>
        <v/>
      </c>
      <c r="J23" s="3">
        <f>IF(M23&lt;&gt;"Instituída","",'07_Maturidade'!X25)</f>
        <v/>
      </c>
      <c r="K23" s="3">
        <f>IF(M23&lt;&gt;"Instituída","",MIN(J23,MAX(0,100-I23)))</f>
        <v/>
      </c>
      <c r="L23" s="3">
        <f>IF(M23&lt;&gt;"Instituída","",MIN(100,I23+K23))</f>
        <v/>
      </c>
      <c r="M23" s="3">
        <f>'01_Institucionalização'!H25</f>
        <v/>
      </c>
      <c r="N23" s="3">
        <f>IF(M23&lt;&gt;"Instituída","",IF(OR(D23=0,E23=0,F23=0,G23=0,H23=0),"Sim","Não"))</f>
        <v/>
      </c>
      <c r="O23" s="3">
        <f>IF(M23="Não instituída","Não instituída",IF(M23&lt;&gt;"Instituída","Sem evidência",IF(N23="Sim","Instituída — aderência insuficiente (dimensão essencial zerada)",IF(L23&lt;50,"Instituída — baixa aderência",IF(L23&lt;70,"Instituída — aderência parcial",IF(L23&lt;90,"Instituída — aderência satisfatória","Instituída — elevada aderência"))))))</f>
        <v/>
      </c>
      <c r="P23" s="3">
        <f>IF(M23&lt;&gt;"Instituída","",IF(K23=0,"Bônus não aplicado",IF(K23&lt;J23,"Bônus limitado ao necessário para atingir 100","Bônus integralmente aplicado")))</f>
        <v/>
      </c>
    </row>
    <row r="24">
      <c r="A24" s="3" t="inlineStr">
        <is>
          <t>RJ</t>
        </is>
      </c>
      <c r="B24" s="3" t="inlineStr">
        <is>
          <t>Rio de Janeiro</t>
        </is>
      </c>
      <c r="C24" s="3">
        <f>'01_Institucionalização'!G26</f>
        <v/>
      </c>
      <c r="D24" s="3">
        <f>'02_Autonomia'!W26</f>
        <v/>
      </c>
      <c r="E24" s="3">
        <f>'03_Imparcialidade'!K26</f>
        <v/>
      </c>
      <c r="F24" s="3">
        <f>'04_Acessibilidade'!AA26</f>
        <v/>
      </c>
      <c r="G24" s="3">
        <f>'05_Transparência'!K26</f>
        <v/>
      </c>
      <c r="H24" s="3">
        <f>'06_Integração Tec'!AE26</f>
        <v/>
      </c>
      <c r="I24" s="3">
        <f>IF(M24&lt;&gt;"Instituída","",SUM(C24:H24))</f>
        <v/>
      </c>
      <c r="J24" s="3">
        <f>IF(M24&lt;&gt;"Instituída","",'07_Maturidade'!X26)</f>
        <v/>
      </c>
      <c r="K24" s="3">
        <f>IF(M24&lt;&gt;"Instituída","",MIN(J24,MAX(0,100-I24)))</f>
        <v/>
      </c>
      <c r="L24" s="3">
        <f>IF(M24&lt;&gt;"Instituída","",MIN(100,I24+K24))</f>
        <v/>
      </c>
      <c r="M24" s="3">
        <f>'01_Institucionalização'!H26</f>
        <v/>
      </c>
      <c r="N24" s="3">
        <f>IF(M24&lt;&gt;"Instituída","",IF(OR(D24=0,E24=0,F24=0,G24=0,H24=0),"Sim","Não"))</f>
        <v/>
      </c>
      <c r="O24" s="3">
        <f>IF(M24="Não instituída","Não instituída",IF(M24&lt;&gt;"Instituída","Sem evidência",IF(N24="Sim","Instituída — aderência insuficiente (dimensão essencial zerada)",IF(L24&lt;50,"Instituída — baixa aderência",IF(L24&lt;70,"Instituída — aderência parcial",IF(L24&lt;90,"Instituída — aderência satisfatória","Instituída — elevada aderência"))))))</f>
        <v/>
      </c>
      <c r="P24" s="3">
        <f>IF(M24&lt;&gt;"Instituída","",IF(K24=0,"Bônus não aplicado",IF(K24&lt;J24,"Bônus limitado ao necessário para atingir 100","Bônus integralmente aplicado")))</f>
        <v/>
      </c>
    </row>
    <row r="25">
      <c r="A25" s="3" t="inlineStr">
        <is>
          <t>RN</t>
        </is>
      </c>
      <c r="B25" s="3" t="inlineStr">
        <is>
          <t>Rio Grande do Norte</t>
        </is>
      </c>
      <c r="C25" s="3">
        <f>'01_Institucionalização'!G27</f>
        <v/>
      </c>
      <c r="D25" s="3">
        <f>'02_Autonomia'!W27</f>
        <v/>
      </c>
      <c r="E25" s="3">
        <f>'03_Imparcialidade'!K27</f>
        <v/>
      </c>
      <c r="F25" s="3">
        <f>'04_Acessibilidade'!AA27</f>
        <v/>
      </c>
      <c r="G25" s="3">
        <f>'05_Transparência'!K27</f>
        <v/>
      </c>
      <c r="H25" s="3">
        <f>'06_Integração Tec'!AE27</f>
        <v/>
      </c>
      <c r="I25" s="3">
        <f>IF(M25&lt;&gt;"Instituída","",SUM(C25:H25))</f>
        <v/>
      </c>
      <c r="J25" s="3">
        <f>IF(M25&lt;&gt;"Instituída","",'07_Maturidade'!X27)</f>
        <v/>
      </c>
      <c r="K25" s="3">
        <f>IF(M25&lt;&gt;"Instituída","",MIN(J25,MAX(0,100-I25)))</f>
        <v/>
      </c>
      <c r="L25" s="3">
        <f>IF(M25&lt;&gt;"Instituída","",MIN(100,I25+K25))</f>
        <v/>
      </c>
      <c r="M25" s="3">
        <f>'01_Institucionalização'!H27</f>
        <v/>
      </c>
      <c r="N25" s="3">
        <f>IF(M25&lt;&gt;"Instituída","",IF(OR(D25=0,E25=0,F25=0,G25=0,H25=0),"Sim","Não"))</f>
        <v/>
      </c>
      <c r="O25" s="3">
        <f>IF(M25="Não instituída","Não instituída",IF(M25&lt;&gt;"Instituída","Sem evidência",IF(N25="Sim","Instituída — aderência insuficiente (dimensão essencial zerada)",IF(L25&lt;50,"Instituída — baixa aderência",IF(L25&lt;70,"Instituída — aderência parcial",IF(L25&lt;90,"Instituída — aderência satisfatória","Instituída — elevada aderência"))))))</f>
        <v/>
      </c>
      <c r="P25" s="3">
        <f>IF(M25&lt;&gt;"Instituída","",IF(K25=0,"Bônus não aplicado",IF(K25&lt;J25,"Bônus limitado ao necessário para atingir 100","Bônus integralmente aplicado")))</f>
        <v/>
      </c>
    </row>
    <row r="26">
      <c r="A26" s="3" t="inlineStr">
        <is>
          <t>RS</t>
        </is>
      </c>
      <c r="B26" s="3" t="inlineStr">
        <is>
          <t>Rio Grande do Sul</t>
        </is>
      </c>
      <c r="C26" s="3">
        <f>'01_Institucionalização'!G28</f>
        <v/>
      </c>
      <c r="D26" s="3">
        <f>'02_Autonomia'!W28</f>
        <v/>
      </c>
      <c r="E26" s="3">
        <f>'03_Imparcialidade'!K28</f>
        <v/>
      </c>
      <c r="F26" s="3">
        <f>'04_Acessibilidade'!AA28</f>
        <v/>
      </c>
      <c r="G26" s="3">
        <f>'05_Transparência'!K28</f>
        <v/>
      </c>
      <c r="H26" s="3">
        <f>'06_Integração Tec'!AE28</f>
        <v/>
      </c>
      <c r="I26" s="3">
        <f>IF(M26&lt;&gt;"Instituída","",SUM(C26:H26))</f>
        <v/>
      </c>
      <c r="J26" s="3">
        <f>IF(M26&lt;&gt;"Instituída","",'07_Maturidade'!X28)</f>
        <v/>
      </c>
      <c r="K26" s="3">
        <f>IF(M26&lt;&gt;"Instituída","",MIN(J26,MAX(0,100-I26)))</f>
        <v/>
      </c>
      <c r="L26" s="3">
        <f>IF(M26&lt;&gt;"Instituída","",MIN(100,I26+K26))</f>
        <v/>
      </c>
      <c r="M26" s="3">
        <f>'01_Institucionalização'!H28</f>
        <v/>
      </c>
      <c r="N26" s="3">
        <f>IF(M26&lt;&gt;"Instituída","",IF(OR(D26=0,E26=0,F26=0,G26=0,H26=0),"Sim","Não"))</f>
        <v/>
      </c>
      <c r="O26" s="3">
        <f>IF(M26="Não instituída","Não instituída",IF(M26&lt;&gt;"Instituída","Sem evidência",IF(N26="Sim","Instituída — aderência insuficiente (dimensão essencial zerada)",IF(L26&lt;50,"Instituída — baixa aderência",IF(L26&lt;70,"Instituída — aderência parcial",IF(L26&lt;90,"Instituída — aderência satisfatória","Instituída — elevada aderência"))))))</f>
        <v/>
      </c>
      <c r="P26" s="3">
        <f>IF(M26&lt;&gt;"Instituída","",IF(K26=0,"Bônus não aplicado",IF(K26&lt;J26,"Bônus limitado ao necessário para atingir 100","Bônus integralmente aplicado")))</f>
        <v/>
      </c>
    </row>
    <row r="27">
      <c r="A27" s="3" t="inlineStr">
        <is>
          <t>RO</t>
        </is>
      </c>
      <c r="B27" s="3" t="inlineStr">
        <is>
          <t>Rondônia</t>
        </is>
      </c>
      <c r="C27" s="3">
        <f>'01_Institucionalização'!G29</f>
        <v/>
      </c>
      <c r="D27" s="3">
        <f>'02_Autonomia'!W29</f>
        <v/>
      </c>
      <c r="E27" s="3">
        <f>'03_Imparcialidade'!K29</f>
        <v/>
      </c>
      <c r="F27" s="3">
        <f>'04_Acessibilidade'!AA29</f>
        <v/>
      </c>
      <c r="G27" s="3">
        <f>'05_Transparência'!K29</f>
        <v/>
      </c>
      <c r="H27" s="3">
        <f>'06_Integração Tec'!AE29</f>
        <v/>
      </c>
      <c r="I27" s="3">
        <f>IF(M27&lt;&gt;"Instituída","",SUM(C27:H27))</f>
        <v/>
      </c>
      <c r="J27" s="3">
        <f>IF(M27&lt;&gt;"Instituída","",'07_Maturidade'!X29)</f>
        <v/>
      </c>
      <c r="K27" s="3">
        <f>IF(M27&lt;&gt;"Instituída","",MIN(J27,MAX(0,100-I27)))</f>
        <v/>
      </c>
      <c r="L27" s="3">
        <f>IF(M27&lt;&gt;"Instituída","",MIN(100,I27+K27))</f>
        <v/>
      </c>
      <c r="M27" s="3">
        <f>'01_Institucionalização'!H29</f>
        <v/>
      </c>
      <c r="N27" s="3">
        <f>IF(M27&lt;&gt;"Instituída","",IF(OR(D27=0,E27=0,F27=0,G27=0,H27=0),"Sim","Não"))</f>
        <v/>
      </c>
      <c r="O27" s="3">
        <f>IF(M27="Não instituída","Não instituída",IF(M27&lt;&gt;"Instituída","Sem evidência",IF(N27="Sim","Instituída — aderência insuficiente (dimensão essencial zerada)",IF(L27&lt;50,"Instituída — baixa aderência",IF(L27&lt;70,"Instituída — aderência parcial",IF(L27&lt;90,"Instituída — aderência satisfatória","Instituída — elevada aderência"))))))</f>
        <v/>
      </c>
      <c r="P27" s="3">
        <f>IF(M27&lt;&gt;"Instituída","",IF(K27=0,"Bônus não aplicado",IF(K27&lt;J27,"Bônus limitado ao necessário para atingir 100","Bônus integralmente aplicado")))</f>
        <v/>
      </c>
    </row>
    <row r="28" ht="28.8" customHeight="1">
      <c r="A28" s="3" t="inlineStr">
        <is>
          <t>RR</t>
        </is>
      </c>
      <c r="B28" s="3" t="inlineStr">
        <is>
          <t>Roraima</t>
        </is>
      </c>
      <c r="C28" s="3">
        <f>'01_Institucionalização'!G30</f>
        <v/>
      </c>
      <c r="D28" s="3">
        <f>'02_Autonomia'!W30</f>
        <v/>
      </c>
      <c r="E28" s="3">
        <f>'03_Imparcialidade'!K30</f>
        <v/>
      </c>
      <c r="F28" s="3">
        <f>'04_Acessibilidade'!AA30</f>
        <v/>
      </c>
      <c r="G28" s="3">
        <f>'05_Transparência'!K30</f>
        <v/>
      </c>
      <c r="H28" s="3">
        <f>'06_Integração Tec'!AE30</f>
        <v/>
      </c>
      <c r="I28" s="3">
        <f>IF(M28&lt;&gt;"Instituída","",SUM(C28:H28))</f>
        <v/>
      </c>
      <c r="J28" s="3">
        <f>IF(M28&lt;&gt;"Instituída","",'07_Maturidade'!X30)</f>
        <v/>
      </c>
      <c r="K28" s="3">
        <f>IF(M28&lt;&gt;"Instituída","",MIN(J28,MAX(0,100-I28)))</f>
        <v/>
      </c>
      <c r="L28" s="3">
        <f>IF(M28&lt;&gt;"Instituída","",MIN(100,I28+K28))</f>
        <v/>
      </c>
      <c r="M28" s="3">
        <f>'01_Institucionalização'!H30</f>
        <v/>
      </c>
      <c r="N28" s="3">
        <f>IF(M28&lt;&gt;"Instituída","",IF(OR(D28=0,E28=0,F28=0,G28=0,H28=0),"Sim","Não"))</f>
        <v/>
      </c>
      <c r="O28" s="3">
        <f>IF(M28="Não instituída","Não instituída",IF(M28&lt;&gt;"Instituída","Sem evidência",IF(N28="Sim","Instituída — aderência insuficiente (dimensão essencial zerada)",IF(L28&lt;50,"Instituída — baixa aderência",IF(L28&lt;70,"Instituída — aderência parcial",IF(L28&lt;90,"Instituída — aderência satisfatória","Instituída — elevada aderência"))))))</f>
        <v/>
      </c>
      <c r="P28" s="3">
        <f>IF(M28&lt;&gt;"Instituída","",IF(K28=0,"Bônus não aplicado",IF(K28&lt;J28,"Bônus limitado ao necessário para atingir 100","Bônus integralmente aplicado")))</f>
        <v/>
      </c>
    </row>
    <row r="29">
      <c r="A29" s="3" t="inlineStr">
        <is>
          <t>SC</t>
        </is>
      </c>
      <c r="B29" s="3" t="inlineStr">
        <is>
          <t>Santa Catarina</t>
        </is>
      </c>
      <c r="C29" s="3">
        <f>'01_Institucionalização'!G31</f>
        <v/>
      </c>
      <c r="D29" s="3">
        <f>'02_Autonomia'!W31</f>
        <v/>
      </c>
      <c r="E29" s="3">
        <f>'03_Imparcialidade'!K31</f>
        <v/>
      </c>
      <c r="F29" s="3">
        <f>'04_Acessibilidade'!AA31</f>
        <v/>
      </c>
      <c r="G29" s="3">
        <f>'05_Transparência'!K31</f>
        <v/>
      </c>
      <c r="H29" s="3">
        <f>'06_Integração Tec'!AE31</f>
        <v/>
      </c>
      <c r="I29" s="3">
        <f>IF(M29&lt;&gt;"Instituída","",SUM(C29:H29))</f>
        <v/>
      </c>
      <c r="J29" s="3">
        <f>IF(M29&lt;&gt;"Instituída","",'07_Maturidade'!X31)</f>
        <v/>
      </c>
      <c r="K29" s="3">
        <f>IF(M29&lt;&gt;"Instituída","",MIN(J29,MAX(0,100-I29)))</f>
        <v/>
      </c>
      <c r="L29" s="3">
        <f>IF(M29&lt;&gt;"Instituída","",MIN(100,I29+K29))</f>
        <v/>
      </c>
      <c r="M29" s="3">
        <f>'01_Institucionalização'!H31</f>
        <v/>
      </c>
      <c r="N29" s="3">
        <f>IF(M29&lt;&gt;"Instituída","",IF(OR(D29=0,E29=0,F29=0,G29=0,H29=0),"Sim","Não"))</f>
        <v/>
      </c>
      <c r="O29" s="3">
        <f>IF(M29="Não instituída","Não instituída",IF(M29&lt;&gt;"Instituída","Sem evidência",IF(N29="Sim","Instituída — aderência insuficiente (dimensão essencial zerada)",IF(L29&lt;50,"Instituída — baixa aderência",IF(L29&lt;70,"Instituída — aderência parcial",IF(L29&lt;90,"Instituída — aderência satisfatória","Instituída — elevada aderência"))))))</f>
        <v/>
      </c>
      <c r="P29" s="3">
        <f>IF(M29&lt;&gt;"Instituída","",IF(K29=0,"Bônus não aplicado",IF(K29&lt;J29,"Bônus limitado ao necessário para atingir 100","Bônus integralmente aplicado")))</f>
        <v/>
      </c>
    </row>
    <row r="30" ht="28.8" customHeight="1">
      <c r="A30" s="3" t="inlineStr">
        <is>
          <t>SP</t>
        </is>
      </c>
      <c r="B30" s="3" t="inlineStr">
        <is>
          <t>São Paulo</t>
        </is>
      </c>
      <c r="C30" s="3">
        <f>'01_Institucionalização'!G32</f>
        <v/>
      </c>
      <c r="D30" s="3">
        <f>'02_Autonomia'!W32</f>
        <v/>
      </c>
      <c r="E30" s="3">
        <f>'03_Imparcialidade'!K32</f>
        <v/>
      </c>
      <c r="F30" s="3">
        <f>'04_Acessibilidade'!AA32</f>
        <v/>
      </c>
      <c r="G30" s="3">
        <f>'05_Transparência'!K32</f>
        <v/>
      </c>
      <c r="H30" s="3">
        <f>'06_Integração Tec'!AE32</f>
        <v/>
      </c>
      <c r="I30" s="3">
        <f>IF(M30&lt;&gt;"Instituída","",SUM(C30:H30))</f>
        <v/>
      </c>
      <c r="J30" s="3">
        <f>IF(M30&lt;&gt;"Instituída","",'07_Maturidade'!X32)</f>
        <v/>
      </c>
      <c r="K30" s="3">
        <f>IF(M30&lt;&gt;"Instituída","",MIN(J30,MAX(0,100-I30)))</f>
        <v/>
      </c>
      <c r="L30" s="3">
        <f>IF(M30&lt;&gt;"Instituída","",MIN(100,I30+K30))</f>
        <v/>
      </c>
      <c r="M30" s="3">
        <f>'01_Institucionalização'!H32</f>
        <v/>
      </c>
      <c r="N30" s="3">
        <f>IF(M30&lt;&gt;"Instituída","",IF(OR(D30=0,E30=0,F30=0,G30=0,H30=0),"Sim","Não"))</f>
        <v/>
      </c>
      <c r="O30" s="3">
        <f>IF(M30="Não instituída","Não instituída",IF(M30&lt;&gt;"Instituída","Sem evidência",IF(N30="Sim","Instituída — aderência insuficiente (dimensão essencial zerada)",IF(L30&lt;50,"Instituída — baixa aderência",IF(L30&lt;70,"Instituída — aderência parcial",IF(L30&lt;90,"Instituída — aderência satisfatória","Instituída — elevada aderência"))))))</f>
        <v/>
      </c>
      <c r="P30" s="3">
        <f>IF(M30&lt;&gt;"Instituída","",IF(K30=0,"Bônus não aplicado",IF(K30&lt;J30,"Bônus limitado ao necessário para atingir 100","Bônus integralmente aplicado")))</f>
        <v/>
      </c>
    </row>
    <row r="31" ht="28.8" customHeight="1">
      <c r="A31" s="3" t="inlineStr">
        <is>
          <t>SE</t>
        </is>
      </c>
      <c r="B31" s="3" t="inlineStr">
        <is>
          <t>Sergipe</t>
        </is>
      </c>
      <c r="C31" s="3">
        <f>'01_Institucionalização'!G33</f>
        <v/>
      </c>
      <c r="D31" s="3">
        <f>'02_Autonomia'!W33</f>
        <v/>
      </c>
      <c r="E31" s="3">
        <f>'03_Imparcialidade'!K33</f>
        <v/>
      </c>
      <c r="F31" s="3">
        <f>'04_Acessibilidade'!AA33</f>
        <v/>
      </c>
      <c r="G31" s="3">
        <f>'05_Transparência'!K33</f>
        <v/>
      </c>
      <c r="H31" s="3">
        <f>'06_Integração Tec'!AE33</f>
        <v/>
      </c>
      <c r="I31" s="3">
        <f>IF(M31&lt;&gt;"Instituída","",SUM(C31:H31))</f>
        <v/>
      </c>
      <c r="J31" s="3">
        <f>IF(M31&lt;&gt;"Instituída","",'07_Maturidade'!X33)</f>
        <v/>
      </c>
      <c r="K31" s="3">
        <f>IF(M31&lt;&gt;"Instituída","",MIN(J31,MAX(0,100-I31)))</f>
        <v/>
      </c>
      <c r="L31" s="3">
        <f>IF(M31&lt;&gt;"Instituída","",MIN(100,I31+K31))</f>
        <v/>
      </c>
      <c r="M31" s="3">
        <f>'01_Institucionalização'!H33</f>
        <v/>
      </c>
      <c r="N31" s="3">
        <f>IF(M31&lt;&gt;"Instituída","",IF(OR(D31=0,E31=0,F31=0,G31=0,H31=0),"Sim","Não"))</f>
        <v/>
      </c>
      <c r="O31" s="3">
        <f>IF(M31="Não instituída","Não instituída",IF(M31&lt;&gt;"Instituída","Sem evidência",IF(N31="Sim","Instituída — aderência insuficiente (dimensão essencial zerada)",IF(L31&lt;50,"Instituída — baixa aderência",IF(L31&lt;70,"Instituída — aderência parcial",IF(L31&lt;90,"Instituída — aderência satisfatória","Instituída — elevada aderência"))))))</f>
        <v/>
      </c>
      <c r="P31" s="3">
        <f>IF(M31&lt;&gt;"Instituída","",IF(K31=0,"Bônus não aplicado",IF(K31&lt;J31,"Bônus limitado ao necessário para atingir 100","Bônus integralmente aplicado")))</f>
        <v/>
      </c>
    </row>
    <row r="32">
      <c r="A32" s="3" t="inlineStr">
        <is>
          <t>TO</t>
        </is>
      </c>
      <c r="B32" s="3" t="inlineStr">
        <is>
          <t>Tocantins</t>
        </is>
      </c>
      <c r="C32" s="3">
        <f>'01_Institucionalização'!G34</f>
        <v/>
      </c>
      <c r="D32" s="3">
        <f>'02_Autonomia'!W34</f>
        <v/>
      </c>
      <c r="E32" s="3">
        <f>'03_Imparcialidade'!K34</f>
        <v/>
      </c>
      <c r="F32" s="3">
        <f>'04_Acessibilidade'!AA34</f>
        <v/>
      </c>
      <c r="G32" s="3">
        <f>'05_Transparência'!K34</f>
        <v/>
      </c>
      <c r="H32" s="3">
        <f>'06_Integração Tec'!AE34</f>
        <v/>
      </c>
      <c r="I32" s="3">
        <f>IF(M32&lt;&gt;"Instituída","",SUM(C32:H32))</f>
        <v/>
      </c>
      <c r="J32" s="3">
        <f>IF(M32&lt;&gt;"Instituída","",'07_Maturidade'!X34)</f>
        <v/>
      </c>
      <c r="K32" s="3">
        <f>IF(M32&lt;&gt;"Instituída","",MIN(J32,MAX(0,100-I32)))</f>
        <v/>
      </c>
      <c r="L32" s="3">
        <f>IF(M32&lt;&gt;"Instituída","",MIN(100,I32+K32))</f>
        <v/>
      </c>
      <c r="M32" s="3">
        <f>'01_Institucionalização'!H34</f>
        <v/>
      </c>
      <c r="N32" s="3">
        <f>IF(M32&lt;&gt;"Instituída","",IF(OR(D32=0,E32=0,F32=0,G32=0,H32=0),"Sim","Não"))</f>
        <v/>
      </c>
      <c r="O32" s="3">
        <f>IF(M32="Não instituída","Não instituída",IF(M32&lt;&gt;"Instituída","Sem evidência",IF(N32="Sim","Instituída — aderência insuficiente (dimensão essencial zerada)",IF(L32&lt;50,"Instituída — baixa aderência",IF(L32&lt;70,"Instituída — aderência parcial",IF(L32&lt;90,"Instituída — aderência satisfatória","Instituída — elevada aderência"))))))</f>
        <v/>
      </c>
      <c r="P32" s="3">
        <f>IF(M32&lt;&gt;"Instituída","",IF(K32=0,"Bônus não aplicado",IF(K32&lt;J32,"Bônus limitado ao necessário para atingir 100","Bônus integralmente aplicado")))</f>
        <v/>
      </c>
    </row>
  </sheetData>
  <mergeCells count="2">
    <mergeCell ref="A1:P1"/>
    <mergeCell ref="A2:P2"/>
  </mergeCells>
  <conditionalFormatting sqref="L5:L32">
    <cfRule type="dataBar" priority="1">
      <dataBar>
        <cfvo type="min"/>
        <cfvo type="max"/>
        <color rgb="FFA02B93"/>
      </dataBar>
    </cfRule>
    <cfRule type="dataBar" priority="2">
      <dataBar>
        <cfvo type="min"/>
        <cfvo type="max"/>
        <color rgb="FFA02B93"/>
      </dataBar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entity_key</t>
        </is>
      </c>
      <c r="C1" t="inlineStr">
        <is>
          <t>uf</t>
        </is>
      </c>
      <c r="D1" t="inlineStr">
        <is>
          <t>unidade_label</t>
        </is>
      </c>
      <c r="E1" t="inlineStr">
        <is>
          <t>sheet_name</t>
        </is>
      </c>
      <c r="F1" t="inlineStr">
        <is>
          <t>dimension_name</t>
        </is>
      </c>
      <c r="G1" t="inlineStr">
        <is>
          <t>item_name</t>
        </is>
      </c>
      <c r="H1" t="inlineStr">
        <is>
          <t>question_code</t>
        </is>
      </c>
      <c r="I1" t="inlineStr">
        <is>
          <t>occurrence_key</t>
        </is>
      </c>
      <c r="J1" t="inlineStr">
        <is>
          <t>evidence_text</t>
        </is>
      </c>
      <c r="K1" t="inlineStr">
        <is>
          <t>updated_at</t>
        </is>
      </c>
    </row>
    <row r="2">
      <c r="A2" t="n">
        <v>1</v>
      </c>
      <c r="B2" t="inlineStr">
        <is>
          <t>AC</t>
        </is>
      </c>
      <c r="C2" t="inlineStr">
        <is>
          <t>AC</t>
        </is>
      </c>
      <c r="D2" t="inlineStr">
        <is>
          <t>Acre</t>
        </is>
      </c>
      <c r="E2" t="inlineStr">
        <is>
          <t>01_Institucionalização</t>
        </is>
      </c>
      <c r="F2" t="inlineStr">
        <is>
          <t>Institucionalização</t>
        </is>
      </c>
      <c r="G2" t="inlineStr">
        <is>
          <t>Item 1 — Instituição formal da Ouvidoria de Serviços Penais</t>
        </is>
      </c>
      <c r="H2" t="inlineStr">
        <is>
          <t>M1-11</t>
        </is>
      </c>
      <c r="I2" t="inlineStr">
        <is>
          <t>01_Institucionalização:M1-11</t>
        </is>
      </c>
      <c r="J2" t="inlineStr">
        <is>
          <t>Doc. SEI 37070578</t>
        </is>
      </c>
      <c r="K2" t="inlineStr">
        <is>
          <t>2026-09-23T11:46:31</t>
        </is>
      </c>
    </row>
    <row r="3">
      <c r="A3" t="n">
        <v>2</v>
      </c>
      <c r="B3" t="inlineStr">
        <is>
          <t>AC</t>
        </is>
      </c>
      <c r="C3" t="inlineStr">
        <is>
          <t>AC</t>
        </is>
      </c>
      <c r="D3" t="inlineStr">
        <is>
          <t>Acre</t>
        </is>
      </c>
      <c r="E3" t="inlineStr">
        <is>
          <t>02_Autonomia</t>
        </is>
      </c>
      <c r="F3" t="inlineStr">
        <is>
          <t>Autonomia técnica e funcional</t>
        </is>
      </c>
      <c r="G3" t="inlineStr">
        <is>
          <t>Item 1 — Garantia normativa de autonomia técnica/funcional</t>
        </is>
      </c>
      <c r="H3" t="inlineStr">
        <is>
          <t>M3-56</t>
        </is>
      </c>
      <c r="I3" t="inlineStr">
        <is>
          <t>02_Autonomia:M3-56</t>
        </is>
      </c>
      <c r="J3" t="inlineStr">
        <is>
          <t>Doc. SEI 37070578</t>
        </is>
      </c>
      <c r="K3" t="inlineStr">
        <is>
          <t>2026-09-23T11:46:31</t>
        </is>
      </c>
    </row>
    <row r="4">
      <c r="A4" t="n">
        <v>3</v>
      </c>
      <c r="B4" t="inlineStr">
        <is>
          <t>AC</t>
        </is>
      </c>
      <c r="C4" t="inlineStr">
        <is>
          <t>AC</t>
        </is>
      </c>
      <c r="D4" t="inlineStr">
        <is>
          <t>Acre</t>
        </is>
      </c>
      <c r="E4" t="inlineStr">
        <is>
          <t>02_Autonomia</t>
        </is>
      </c>
      <c r="F4" t="inlineStr">
        <is>
          <t>Autonomia técnica e funcional</t>
        </is>
      </c>
      <c r="G4" t="inlineStr">
        <is>
          <t>Item 1 — Garantia normativa de autonomia técnica/funcional</t>
        </is>
      </c>
      <c r="H4" t="inlineStr">
        <is>
          <t>M3-57</t>
        </is>
      </c>
      <c r="I4" t="inlineStr">
        <is>
          <t>02_Autonomia:M3-57</t>
        </is>
      </c>
      <c r="J4" t="inlineStr">
        <is>
          <t>Doc. SEI 37070578</t>
        </is>
      </c>
      <c r="K4" t="inlineStr">
        <is>
          <t>2026-09-23T11:46:31</t>
        </is>
      </c>
    </row>
    <row r="5">
      <c r="A5" t="n">
        <v>4</v>
      </c>
      <c r="B5" t="inlineStr">
        <is>
          <t>AC</t>
        </is>
      </c>
      <c r="C5" t="inlineStr">
        <is>
          <t>AC</t>
        </is>
      </c>
      <c r="D5" t="inlineStr">
        <is>
          <t>Acre</t>
        </is>
      </c>
      <c r="E5" t="inlineStr">
        <is>
          <t>02_Autonomia</t>
        </is>
      </c>
      <c r="F5" t="inlineStr">
        <is>
          <t>Autonomia técnica e funcional</t>
        </is>
      </c>
      <c r="G5" t="inlineStr">
        <is>
          <t>Item 2 — Condições institucionais de atuação sem interferência indevida</t>
        </is>
      </c>
      <c r="H5" t="inlineStr">
        <is>
          <t>M1-12</t>
        </is>
      </c>
      <c r="I5" t="inlineStr">
        <is>
          <t>02_Autonomia:M1-12</t>
        </is>
      </c>
      <c r="J5" t="inlineStr">
        <is>
          <t>Doc. SEI 37070578</t>
        </is>
      </c>
      <c r="K5" t="inlineStr">
        <is>
          <t>2026-09-23T11:46:31</t>
        </is>
      </c>
    </row>
    <row r="6">
      <c r="A6" t="n">
        <v>5</v>
      </c>
      <c r="B6" t="inlineStr">
        <is>
          <t>AC</t>
        </is>
      </c>
      <c r="C6" t="inlineStr">
        <is>
          <t>AC</t>
        </is>
      </c>
      <c r="D6" t="inlineStr">
        <is>
          <t>Acre</t>
        </is>
      </c>
      <c r="E6" t="inlineStr">
        <is>
          <t>02_Autonomia</t>
        </is>
      </c>
      <c r="F6" t="inlineStr">
        <is>
          <t>Autonomia técnica e funcional</t>
        </is>
      </c>
      <c r="G6" t="inlineStr">
        <is>
          <t>Item 2 — Condições institucionais de atuação sem interferência indevida</t>
        </is>
      </c>
      <c r="H6" t="inlineStr">
        <is>
          <t>M4-67</t>
        </is>
      </c>
      <c r="I6" t="inlineStr">
        <is>
          <t>02_Autonomia:M4-67</t>
        </is>
      </c>
      <c r="J6" t="inlineStr">
        <is>
          <t>Doc. SEI 37070578</t>
        </is>
      </c>
      <c r="K6" t="inlineStr">
        <is>
          <t>2026-09-23T11:46:31</t>
        </is>
      </c>
    </row>
    <row r="7">
      <c r="A7" t="n">
        <v>6</v>
      </c>
      <c r="B7" t="inlineStr">
        <is>
          <t>AC</t>
        </is>
      </c>
      <c r="C7" t="inlineStr">
        <is>
          <t>AC</t>
        </is>
      </c>
      <c r="D7" t="inlineStr">
        <is>
          <t>Acre</t>
        </is>
      </c>
      <c r="E7" t="inlineStr">
        <is>
          <t>02_Autonomia</t>
        </is>
      </c>
      <c r="F7" t="inlineStr">
        <is>
          <t>Autonomia técnica e funcional</t>
        </is>
      </c>
      <c r="G7" t="inlineStr">
        <is>
          <t>Item 2 — Condições institucionais de atuação sem interferência indevida</t>
        </is>
      </c>
      <c r="H7" t="inlineStr">
        <is>
          <t>M4-68</t>
        </is>
      </c>
      <c r="I7" t="inlineStr">
        <is>
          <t>02_Autonomia:M4-68</t>
        </is>
      </c>
      <c r="J7" t="inlineStr">
        <is>
          <t>Doc. SEI 37070578</t>
        </is>
      </c>
      <c r="K7" t="inlineStr">
        <is>
          <t>2026-09-23T11:46:31</t>
        </is>
      </c>
    </row>
    <row r="8">
      <c r="A8" t="n">
        <v>7</v>
      </c>
      <c r="B8" t="inlineStr">
        <is>
          <t>AC</t>
        </is>
      </c>
      <c r="C8" t="inlineStr">
        <is>
          <t>AC</t>
        </is>
      </c>
      <c r="D8" t="inlineStr">
        <is>
          <t>Acre</t>
        </is>
      </c>
      <c r="E8" t="inlineStr">
        <is>
          <t>03_Imparcialidade</t>
        </is>
      </c>
      <c r="F8" t="inlineStr">
        <is>
          <t>Imparcialidade, sigilo e proteção</t>
        </is>
      </c>
      <c r="G8" t="inlineStr">
        <is>
          <t>Item 1 — Proteção e tratamento de denúncias graves e sensíveis</t>
        </is>
      </c>
      <c r="H8" t="inlineStr">
        <is>
          <t>M4-69</t>
        </is>
      </c>
      <c r="I8" t="inlineStr">
        <is>
          <t>03_Imparcialidade:M4-69</t>
        </is>
      </c>
      <c r="J8" t="inlineStr">
        <is>
          <t>Doc. SEI 37070578</t>
        </is>
      </c>
      <c r="K8" t="inlineStr">
        <is>
          <t>2026-09-23T11:46:31</t>
        </is>
      </c>
    </row>
    <row r="9">
      <c r="A9" t="n">
        <v>8</v>
      </c>
      <c r="B9" t="inlineStr">
        <is>
          <t>AC</t>
        </is>
      </c>
      <c r="C9" t="inlineStr">
        <is>
          <t>AC</t>
        </is>
      </c>
      <c r="D9" t="inlineStr">
        <is>
          <t>Acre</t>
        </is>
      </c>
      <c r="E9" t="inlineStr">
        <is>
          <t>03_Imparcialidade</t>
        </is>
      </c>
      <c r="F9" t="inlineStr">
        <is>
          <t>Imparcialidade, sigilo e proteção</t>
        </is>
      </c>
      <c r="G9" t="inlineStr">
        <is>
          <t>Item 2 — Confidencialidade e sigilo da equipe</t>
        </is>
      </c>
      <c r="H9" t="inlineStr">
        <is>
          <t>M3-63</t>
        </is>
      </c>
      <c r="I9" t="inlineStr">
        <is>
          <t>03_Imparcialidade:M3-63</t>
        </is>
      </c>
      <c r="J9" t="inlineStr">
        <is>
          <t>Doc. SEI 37070578</t>
        </is>
      </c>
      <c r="K9" t="inlineStr">
        <is>
          <t>2026-09-23T11:46:31</t>
        </is>
      </c>
    </row>
    <row r="10">
      <c r="A10" t="n">
        <v>9</v>
      </c>
      <c r="B10" t="inlineStr">
        <is>
          <t>AC</t>
        </is>
      </c>
      <c r="C10" t="inlineStr">
        <is>
          <t>AC</t>
        </is>
      </c>
      <c r="D10" t="inlineStr">
        <is>
          <t>Acre</t>
        </is>
      </c>
      <c r="E10" t="inlineStr">
        <is>
          <t>04_Acessibilidade</t>
        </is>
      </c>
      <c r="F10" t="inlineStr">
        <is>
          <t>Acessibilidade e atendimento humanizado</t>
        </is>
      </c>
      <c r="G10" t="inlineStr">
        <is>
          <t>Item 1 — Canais institucionais acessíveis</t>
        </is>
      </c>
      <c r="H10" t="inlineStr">
        <is>
          <t>M2-41</t>
        </is>
      </c>
      <c r="I10" t="inlineStr">
        <is>
          <t>04_Acessibilidade:M2-41</t>
        </is>
      </c>
      <c r="J10" t="inlineStr">
        <is>
          <t>Doc. SEI 37070578</t>
        </is>
      </c>
      <c r="K10" t="inlineStr">
        <is>
          <t>2026-09-23T11:46:31</t>
        </is>
      </c>
    </row>
    <row r="11">
      <c r="A11" t="n">
        <v>10</v>
      </c>
      <c r="B11" t="inlineStr">
        <is>
          <t>AC</t>
        </is>
      </c>
      <c r="C11" t="inlineStr">
        <is>
          <t>AC</t>
        </is>
      </c>
      <c r="D11" t="inlineStr">
        <is>
          <t>Acre</t>
        </is>
      </c>
      <c r="E11" t="inlineStr">
        <is>
          <t>04_Acessibilidade</t>
        </is>
      </c>
      <c r="F11" t="inlineStr">
        <is>
          <t>Acessibilidade e atendimento humanizado</t>
        </is>
      </c>
      <c r="G11" t="inlineStr">
        <is>
          <t>Item 1 — Canais institucionais acessíveis</t>
        </is>
      </c>
      <c r="H11" t="inlineStr">
        <is>
          <t>M2-43</t>
        </is>
      </c>
      <c r="I11" t="inlineStr">
        <is>
          <t>04_Acessibilidade:M2-43</t>
        </is>
      </c>
      <c r="J11" t="inlineStr">
        <is>
          <t>Doc. SEI 37070578</t>
        </is>
      </c>
      <c r="K11" t="inlineStr">
        <is>
          <t>2026-09-23T11:46:31</t>
        </is>
      </c>
    </row>
    <row r="12">
      <c r="A12" t="n">
        <v>11</v>
      </c>
      <c r="B12" t="inlineStr">
        <is>
          <t>AC</t>
        </is>
      </c>
      <c r="C12" t="inlineStr">
        <is>
          <t>AC</t>
        </is>
      </c>
      <c r="D12" t="inlineStr">
        <is>
          <t>Acre</t>
        </is>
      </c>
      <c r="E12" t="inlineStr">
        <is>
          <t>04_Acessibilidade</t>
        </is>
      </c>
      <c r="F12" t="inlineStr">
        <is>
          <t>Acessibilidade e atendimento humanizado</t>
        </is>
      </c>
      <c r="G12" t="inlineStr">
        <is>
          <t>Item 1 — Canais institucionais acessíveis</t>
        </is>
      </c>
      <c r="H12" t="inlineStr">
        <is>
          <t>M2-47</t>
        </is>
      </c>
      <c r="I12" t="inlineStr">
        <is>
          <t>04_Acessibilidade:M2-47</t>
        </is>
      </c>
      <c r="J12" t="inlineStr">
        <is>
          <t>Doc. SEI 37070578</t>
        </is>
      </c>
      <c r="K12" t="inlineStr">
        <is>
          <t>2026-09-23T11:46:31</t>
        </is>
      </c>
    </row>
    <row r="13">
      <c r="A13" t="n">
        <v>12</v>
      </c>
      <c r="B13" t="inlineStr">
        <is>
          <t>AC</t>
        </is>
      </c>
      <c r="C13" t="inlineStr">
        <is>
          <t>AC</t>
        </is>
      </c>
      <c r="D13" t="inlineStr">
        <is>
          <t>Acre</t>
        </is>
      </c>
      <c r="E13" t="inlineStr">
        <is>
          <t>04_Acessibilidade</t>
        </is>
      </c>
      <c r="F13" t="inlineStr">
        <is>
          <t>Acessibilidade e atendimento humanizado</t>
        </is>
      </c>
      <c r="G13" t="inlineStr">
        <is>
          <t>Item 2 — Condições de atendimento reservado e acessível</t>
        </is>
      </c>
      <c r="H13" t="inlineStr">
        <is>
          <t>M2-16</t>
        </is>
      </c>
      <c r="I13" t="inlineStr">
        <is>
          <t>04_Acessibilidade:M2-16</t>
        </is>
      </c>
      <c r="J13" t="inlineStr">
        <is>
          <t>Doc. SEI 37070578</t>
        </is>
      </c>
      <c r="K13" t="inlineStr">
        <is>
          <t>2026-09-23T11:46:31</t>
        </is>
      </c>
    </row>
    <row r="14">
      <c r="A14" t="n">
        <v>13</v>
      </c>
      <c r="B14" t="inlineStr">
        <is>
          <t>AC</t>
        </is>
      </c>
      <c r="C14" t="inlineStr">
        <is>
          <t>AC</t>
        </is>
      </c>
      <c r="D14" t="inlineStr">
        <is>
          <t>Acre</t>
        </is>
      </c>
      <c r="E14" t="inlineStr">
        <is>
          <t>04_Acessibilidade</t>
        </is>
      </c>
      <c r="F14" t="inlineStr">
        <is>
          <t>Acessibilidade e atendimento humanizado</t>
        </is>
      </c>
      <c r="G14" t="inlineStr">
        <is>
          <t>Item 3 — Alcance dos públicos dos serviços penais</t>
        </is>
      </c>
      <c r="H14" t="inlineStr">
        <is>
          <t>M1-13</t>
        </is>
      </c>
      <c r="I14" t="inlineStr">
        <is>
          <t>04_Acessibilidade:M1-13</t>
        </is>
      </c>
      <c r="J14" t="inlineStr">
        <is>
          <t>Doc. SEI 37070578</t>
        </is>
      </c>
      <c r="K14" t="inlineStr">
        <is>
          <t>2026-09-23T11:46:31</t>
        </is>
      </c>
    </row>
    <row r="15">
      <c r="A15" t="n">
        <v>14</v>
      </c>
      <c r="B15" t="inlineStr">
        <is>
          <t>AC</t>
        </is>
      </c>
      <c r="C15" t="inlineStr">
        <is>
          <t>AC</t>
        </is>
      </c>
      <c r="D15" t="inlineStr">
        <is>
          <t>Acre</t>
        </is>
      </c>
      <c r="E15" t="inlineStr">
        <is>
          <t>04_Acessibilidade</t>
        </is>
      </c>
      <c r="F15" t="inlineStr">
        <is>
          <t>Acessibilidade e atendimento humanizado</t>
        </is>
      </c>
      <c r="G15" t="inlineStr">
        <is>
          <t>Item 3 — Alcance dos públicos dos serviços penais</t>
        </is>
      </c>
      <c r="H15" t="inlineStr">
        <is>
          <t>M4-64</t>
        </is>
      </c>
      <c r="I15" t="inlineStr">
        <is>
          <t>04_Acessibilidade:M4-64</t>
        </is>
      </c>
      <c r="J15" t="inlineStr">
        <is>
          <t>Doc. SEI 37070578</t>
        </is>
      </c>
      <c r="K15" t="inlineStr">
        <is>
          <t>2026-09-23T11:46:31</t>
        </is>
      </c>
    </row>
    <row r="16">
      <c r="A16" t="n">
        <v>15</v>
      </c>
      <c r="B16" t="inlineStr">
        <is>
          <t>AC</t>
        </is>
      </c>
      <c r="C16" t="inlineStr">
        <is>
          <t>AC</t>
        </is>
      </c>
      <c r="D16" t="inlineStr">
        <is>
          <t>Acre</t>
        </is>
      </c>
      <c r="E16" t="inlineStr">
        <is>
          <t>05_Transparência</t>
        </is>
      </c>
      <c r="F16" t="inlineStr">
        <is>
          <t>Transparência e publicidade</t>
        </is>
      </c>
      <c r="G16" t="inlineStr">
        <is>
          <t>Item 1 — Visibilidade institucional e divulgação dos canais</t>
        </is>
      </c>
      <c r="H16" t="inlineStr">
        <is>
          <t>M2-35</t>
        </is>
      </c>
      <c r="I16" t="inlineStr">
        <is>
          <t>05_Transparência:M2-35</t>
        </is>
      </c>
      <c r="J16" t="inlineStr">
        <is>
          <t>Doc. SEI 37070578</t>
        </is>
      </c>
      <c r="K16" t="inlineStr">
        <is>
          <t>2026-09-23T11:46:31</t>
        </is>
      </c>
    </row>
    <row r="17">
      <c r="A17" t="n">
        <v>16</v>
      </c>
      <c r="B17" t="inlineStr">
        <is>
          <t>AC</t>
        </is>
      </c>
      <c r="C17" t="inlineStr">
        <is>
          <t>AC</t>
        </is>
      </c>
      <c r="D17" t="inlineStr">
        <is>
          <t>Acre</t>
        </is>
      </c>
      <c r="E17" t="inlineStr">
        <is>
          <t>05_Transparência</t>
        </is>
      </c>
      <c r="F17" t="inlineStr">
        <is>
          <t>Transparência e publicidade</t>
        </is>
      </c>
      <c r="G17" t="inlineStr">
        <is>
          <t>Item 2 — Publicidade das ações e atividades</t>
        </is>
      </c>
      <c r="H17" t="inlineStr">
        <is>
          <t>M4-71</t>
        </is>
      </c>
      <c r="I17" t="inlineStr">
        <is>
          <t>05_Transparência:M4-71</t>
        </is>
      </c>
      <c r="J17" t="inlineStr">
        <is>
          <t>Doc. SEI 37070578</t>
        </is>
      </c>
      <c r="K17" t="inlineStr">
        <is>
          <t>2026-09-23T11:46:31</t>
        </is>
      </c>
    </row>
    <row r="18">
      <c r="A18" t="n">
        <v>17</v>
      </c>
      <c r="B18" t="inlineStr">
        <is>
          <t>AC</t>
        </is>
      </c>
      <c r="C18" t="inlineStr">
        <is>
          <t>AC</t>
        </is>
      </c>
      <c r="D18" t="inlineStr">
        <is>
          <t>Acre</t>
        </is>
      </c>
      <c r="E18" t="inlineStr">
        <is>
          <t>06_Integração Tec</t>
        </is>
      </c>
      <c r="F18" t="inlineStr">
        <is>
          <t>Integração tecnológica</t>
        </is>
      </c>
      <c r="G18" t="inlineStr">
        <is>
          <t>Item 1 — Canal eletrônico e solução para registro e gestão das manifestações</t>
        </is>
      </c>
      <c r="H18" t="inlineStr">
        <is>
          <t>M2-45</t>
        </is>
      </c>
      <c r="I18" t="inlineStr">
        <is>
          <t>06_Integração Tec:M2-45</t>
        </is>
      </c>
      <c r="J18" t="inlineStr">
        <is>
          <t>Doc. SEI 37070578</t>
        </is>
      </c>
      <c r="K18" t="inlineStr">
        <is>
          <t>2026-09-23T11:46:31</t>
        </is>
      </c>
    </row>
    <row r="19">
      <c r="A19" t="n">
        <v>18</v>
      </c>
      <c r="B19" t="inlineStr">
        <is>
          <t>AC</t>
        </is>
      </c>
      <c r="C19" t="inlineStr">
        <is>
          <t>AC</t>
        </is>
      </c>
      <c r="D19" t="inlineStr">
        <is>
          <t>Acre</t>
        </is>
      </c>
      <c r="E19" t="inlineStr">
        <is>
          <t>06_Integração Tec</t>
        </is>
      </c>
      <c r="F19" t="inlineStr">
        <is>
          <t>Integração tecnológica</t>
        </is>
      </c>
      <c r="G19" t="inlineStr">
        <is>
          <t>Item 2 — Registro, protocolo, rastreabilidade e acompanhamento</t>
        </is>
      </c>
      <c r="H19" t="inlineStr">
        <is>
          <t>M4-66</t>
        </is>
      </c>
      <c r="I19" t="inlineStr">
        <is>
          <t>06_Integração Tec:M4-66</t>
        </is>
      </c>
      <c r="J19" t="inlineStr">
        <is>
          <t>Doc. SEI 37070578</t>
        </is>
      </c>
      <c r="K19" t="inlineStr">
        <is>
          <t>2026-09-23T11:46:31</t>
        </is>
      </c>
    </row>
    <row r="20">
      <c r="A20" t="n">
        <v>19</v>
      </c>
      <c r="B20" t="inlineStr">
        <is>
          <t>AC</t>
        </is>
      </c>
      <c r="C20" t="inlineStr">
        <is>
          <t>AC</t>
        </is>
      </c>
      <c r="D20" t="inlineStr">
        <is>
          <t>Acre</t>
        </is>
      </c>
      <c r="E20" t="inlineStr">
        <is>
          <t>06_Integração Tec</t>
        </is>
      </c>
      <c r="F20" t="inlineStr">
        <is>
          <t>Integração tecnológica</t>
        </is>
      </c>
      <c r="G20" t="inlineStr">
        <is>
          <t>Item 3 — Sigilo, autenticação e controle de acesso</t>
        </is>
      </c>
      <c r="H20" t="inlineStr">
        <is>
          <t>M2-37</t>
        </is>
      </c>
      <c r="I20" t="inlineStr">
        <is>
          <t>06_Integração Tec:M2-37</t>
        </is>
      </c>
      <c r="J20" t="inlineStr">
        <is>
          <t>Doc. SEI 37070578</t>
        </is>
      </c>
      <c r="K20" t="inlineStr">
        <is>
          <t>2026-09-23T11:46:31</t>
        </is>
      </c>
    </row>
    <row r="21">
      <c r="A21" t="n">
        <v>20</v>
      </c>
      <c r="B21" t="inlineStr">
        <is>
          <t>AC</t>
        </is>
      </c>
      <c r="C21" t="inlineStr">
        <is>
          <t>AC</t>
        </is>
      </c>
      <c r="D21" t="inlineStr">
        <is>
          <t>Acre</t>
        </is>
      </c>
      <c r="E21" t="inlineStr">
        <is>
          <t>06_Integração Tec</t>
        </is>
      </c>
      <c r="F21" t="inlineStr">
        <is>
          <t>Integração tecnológica</t>
        </is>
      </c>
      <c r="G21" t="inlineStr">
        <is>
          <t>Item 4 — Computadores e acesso à internet</t>
        </is>
      </c>
      <c r="H21" t="inlineStr">
        <is>
          <t>M2-17</t>
        </is>
      </c>
      <c r="I21" t="inlineStr">
        <is>
          <t>06_Integração Tec:M2-17</t>
        </is>
      </c>
      <c r="J21" t="inlineStr">
        <is>
          <t>Doc. SEI 37070578</t>
        </is>
      </c>
      <c r="K21" t="inlineStr">
        <is>
          <t>2026-09-23T11:46:31</t>
        </is>
      </c>
    </row>
    <row r="22">
      <c r="A22" t="n">
        <v>21</v>
      </c>
      <c r="B22" t="inlineStr">
        <is>
          <t>AC</t>
        </is>
      </c>
      <c r="C22" t="inlineStr">
        <is>
          <t>AC</t>
        </is>
      </c>
      <c r="D22" t="inlineStr">
        <is>
          <t>Acre</t>
        </is>
      </c>
      <c r="E22" t="inlineStr">
        <is>
          <t>06_Integração Tec</t>
        </is>
      </c>
      <c r="F22" t="inlineStr">
        <is>
          <t>Integração tecnológica</t>
        </is>
      </c>
      <c r="G22" t="inlineStr">
        <is>
          <t>Item 5 — Impressoras e scanners</t>
        </is>
      </c>
      <c r="H22" t="inlineStr">
        <is>
          <t>M2-19</t>
        </is>
      </c>
      <c r="I22" t="inlineStr">
        <is>
          <t>06_Integração Tec:M2-19</t>
        </is>
      </c>
      <c r="J22" t="inlineStr">
        <is>
          <t>Doc. SEI 37070578</t>
        </is>
      </c>
      <c r="K22" t="inlineStr">
        <is>
          <t>2026-09-23T11:46:31</t>
        </is>
      </c>
    </row>
    <row r="23">
      <c r="A23" t="n">
        <v>22</v>
      </c>
      <c r="B23" t="inlineStr">
        <is>
          <t>AC</t>
        </is>
      </c>
      <c r="C23" t="inlineStr">
        <is>
          <t>AC</t>
        </is>
      </c>
      <c r="D23" t="inlineStr">
        <is>
          <t>Acre</t>
        </is>
      </c>
      <c r="E23" t="inlineStr">
        <is>
          <t>06_Integração Tec</t>
        </is>
      </c>
      <c r="F23" t="inlineStr">
        <is>
          <t>Integração tecnológica</t>
        </is>
      </c>
      <c r="G23" t="inlineStr">
        <is>
          <t>Item 5 — Impressoras e scanners</t>
        </is>
      </c>
      <c r="H23" t="inlineStr">
        <is>
          <t>M2-21</t>
        </is>
      </c>
      <c r="I23" t="inlineStr">
        <is>
          <t>06_Integração Tec:M2-21</t>
        </is>
      </c>
      <c r="J23" t="inlineStr">
        <is>
          <t>Doc. SEI 37070578</t>
        </is>
      </c>
      <c r="K23" t="inlineStr">
        <is>
          <t>2026-09-23T11:46:31</t>
        </is>
      </c>
    </row>
    <row r="24">
      <c r="A24" t="n">
        <v>23</v>
      </c>
      <c r="B24" t="inlineStr">
        <is>
          <t>AC</t>
        </is>
      </c>
      <c r="C24" t="inlineStr">
        <is>
          <t>AC</t>
        </is>
      </c>
      <c r="D24" t="inlineStr">
        <is>
          <t>Acre</t>
        </is>
      </c>
      <c r="E24" t="inlineStr">
        <is>
          <t>06_Integração Tec</t>
        </is>
      </c>
      <c r="F24" t="inlineStr">
        <is>
          <t>Integração tecnológica</t>
        </is>
      </c>
      <c r="G24" t="inlineStr">
        <is>
          <t>Item 6 — Aparelhos de telefone celular</t>
        </is>
      </c>
      <c r="H24" t="inlineStr">
        <is>
          <t>M2-27</t>
        </is>
      </c>
      <c r="I24" t="inlineStr">
        <is>
          <t>06_Integração Tec:M2-27</t>
        </is>
      </c>
      <c r="J24" t="inlineStr">
        <is>
          <t>Doc. SEI 37070578</t>
        </is>
      </c>
      <c r="K24" t="inlineStr">
        <is>
          <t>2026-09-23T11:46:31</t>
        </is>
      </c>
    </row>
    <row r="25">
      <c r="A25" t="n">
        <v>24</v>
      </c>
      <c r="B25" t="inlineStr">
        <is>
          <t>AC</t>
        </is>
      </c>
      <c r="C25" t="inlineStr">
        <is>
          <t>AC</t>
        </is>
      </c>
      <c r="D25" t="inlineStr">
        <is>
          <t>Acre</t>
        </is>
      </c>
      <c r="E25" t="inlineStr">
        <is>
          <t>07_Maturidade</t>
        </is>
      </c>
      <c r="F25" t="inlineStr">
        <is>
          <t>Maturidade / bônus</t>
        </is>
      </c>
      <c r="G25" t="inlineStr">
        <is>
          <t>Bônus — Uso do canal Fala.BR</t>
        </is>
      </c>
      <c r="H25" t="inlineStr">
        <is>
          <t>M2-46</t>
        </is>
      </c>
      <c r="I25" t="inlineStr">
        <is>
          <t>07_Maturidade:M2-46</t>
        </is>
      </c>
      <c r="J25" t="inlineStr">
        <is>
          <t>Doc. SEI 37070578</t>
        </is>
      </c>
      <c r="K25" t="inlineStr">
        <is>
          <t>2026-09-23T11:46:31</t>
        </is>
      </c>
    </row>
    <row r="26">
      <c r="A26" t="n">
        <v>25</v>
      </c>
      <c r="B26" t="inlineStr">
        <is>
          <t>AC</t>
        </is>
      </c>
      <c r="C26" t="inlineStr">
        <is>
          <t>AC</t>
        </is>
      </c>
      <c r="D26" t="inlineStr">
        <is>
          <t>Acre</t>
        </is>
      </c>
      <c r="E26" t="inlineStr">
        <is>
          <t>07_Maturidade</t>
        </is>
      </c>
      <c r="F26" t="inlineStr">
        <is>
          <t>Maturidade / bônus</t>
        </is>
      </c>
      <c r="G26" t="inlineStr">
        <is>
          <t>Bônus — Designação por mandato</t>
        </is>
      </c>
      <c r="H26" t="inlineStr">
        <is>
          <t>M0-08</t>
        </is>
      </c>
      <c r="I26" t="inlineStr">
        <is>
          <t>07_Maturidade:M0-08</t>
        </is>
      </c>
      <c r="J26" t="inlineStr">
        <is>
          <t>Doc. SEI 37070578</t>
        </is>
      </c>
      <c r="K26" t="inlineStr">
        <is>
          <t>2026-09-23T11:46:31</t>
        </is>
      </c>
    </row>
    <row r="27">
      <c r="A27" t="n">
        <v>26</v>
      </c>
      <c r="B27" t="inlineStr">
        <is>
          <t>AC</t>
        </is>
      </c>
      <c r="C27" t="inlineStr">
        <is>
          <t>AC</t>
        </is>
      </c>
      <c r="D27" t="inlineStr">
        <is>
          <t>Acre</t>
        </is>
      </c>
      <c r="E27" t="inlineStr">
        <is>
          <t>07_Maturidade</t>
        </is>
      </c>
      <c r="F27" t="inlineStr">
        <is>
          <t>Maturidade / bônus</t>
        </is>
      </c>
      <c r="G27" t="inlineStr">
        <is>
          <t>Bônus — Dedicação da equipe</t>
        </is>
      </c>
      <c r="H27" t="inlineStr">
        <is>
          <t>M3-60</t>
        </is>
      </c>
      <c r="I27" t="inlineStr">
        <is>
          <t>07_Maturidade:M3-60</t>
        </is>
      </c>
      <c r="J27" t="inlineStr">
        <is>
          <t>Doc. SEI 37070578</t>
        </is>
      </c>
      <c r="K27" t="inlineStr">
        <is>
          <t>2026-09-23T11:46:31</t>
        </is>
      </c>
    </row>
    <row r="28">
      <c r="A28" t="n">
        <v>27</v>
      </c>
      <c r="B28" t="inlineStr">
        <is>
          <t>AC</t>
        </is>
      </c>
      <c r="C28" t="inlineStr">
        <is>
          <t>AC</t>
        </is>
      </c>
      <c r="D28" t="inlineStr">
        <is>
          <t>Acre</t>
        </is>
      </c>
      <c r="E28" t="inlineStr">
        <is>
          <t>07_Maturidade</t>
        </is>
      </c>
      <c r="F28" t="inlineStr">
        <is>
          <t>Maturidade / bônus</t>
        </is>
      </c>
      <c r="G28" t="inlineStr">
        <is>
          <t>Bônus — Requisitos de perfil para o cargo de Ouvidor</t>
        </is>
      </c>
      <c r="H28" t="inlineStr">
        <is>
          <t>M3-58</t>
        </is>
      </c>
      <c r="I28" t="inlineStr">
        <is>
          <t>07_Maturidade:M3-58</t>
        </is>
      </c>
      <c r="J28" t="inlineStr">
        <is>
          <t>Doc. SEI 37070578</t>
        </is>
      </c>
      <c r="K28" t="inlineStr">
        <is>
          <t>2026-09-23T11:46:31</t>
        </is>
      </c>
    </row>
    <row r="29">
      <c r="A29" t="n">
        <v>28</v>
      </c>
      <c r="B29" t="inlineStr">
        <is>
          <t>AC</t>
        </is>
      </c>
      <c r="C29" t="inlineStr">
        <is>
          <t>AC</t>
        </is>
      </c>
      <c r="D29" t="inlineStr">
        <is>
          <t>Acre</t>
        </is>
      </c>
      <c r="E29" t="inlineStr">
        <is>
          <t>07_Maturidade</t>
        </is>
      </c>
      <c r="F29" t="inlineStr">
        <is>
          <t>Maturidade / bônus</t>
        </is>
      </c>
      <c r="G29" t="inlineStr">
        <is>
          <t>Bônus — WhatsApp institucional</t>
        </is>
      </c>
      <c r="H29" t="inlineStr">
        <is>
          <t>M2-50</t>
        </is>
      </c>
      <c r="I29" t="inlineStr">
        <is>
          <t>07_Maturidade:M2-50</t>
        </is>
      </c>
      <c r="J29" t="inlineStr">
        <is>
          <t>Doc. SEI 37070578</t>
        </is>
      </c>
      <c r="K29" t="inlineStr">
        <is>
          <t>2026-09-23T11:46:31</t>
        </is>
      </c>
    </row>
    <row r="30">
      <c r="A30" t="n">
        <v>29</v>
      </c>
      <c r="B30" t="inlineStr">
        <is>
          <t>AC</t>
        </is>
      </c>
      <c r="C30" t="inlineStr">
        <is>
          <t>AC</t>
        </is>
      </c>
      <c r="D30" t="inlineStr">
        <is>
          <t>Acre</t>
        </is>
      </c>
      <c r="E30" t="inlineStr">
        <is>
          <t>07_Maturidade</t>
        </is>
      </c>
      <c r="F30" t="inlineStr">
        <is>
          <t>Maturidade / bônus</t>
        </is>
      </c>
      <c r="G30" t="inlineStr">
        <is>
          <t>Bônus — Outros canais eletrônicos institucionais</t>
        </is>
      </c>
      <c r="H30" t="inlineStr">
        <is>
          <t>M2-49</t>
        </is>
      </c>
      <c r="I30" t="inlineStr">
        <is>
          <t>07_Maturidade:M2-49</t>
        </is>
      </c>
      <c r="J30" t="inlineStr">
        <is>
          <t>Doc. SEI 37070578</t>
        </is>
      </c>
      <c r="K30" t="inlineStr">
        <is>
          <t>2026-09-23T11:46:31</t>
        </is>
      </c>
    </row>
    <row r="31">
      <c r="A31" t="n">
        <v>30</v>
      </c>
      <c r="B31" t="inlineStr">
        <is>
          <t>AC</t>
        </is>
      </c>
      <c r="C31" t="inlineStr">
        <is>
          <t>AC</t>
        </is>
      </c>
      <c r="D31" t="inlineStr">
        <is>
          <t>Acre</t>
        </is>
      </c>
      <c r="E31" t="inlineStr">
        <is>
          <t>07_Maturidade</t>
        </is>
      </c>
      <c r="F31" t="inlineStr">
        <is>
          <t>Maturidade / bônus</t>
        </is>
      </c>
      <c r="G31" t="inlineStr">
        <is>
          <t>Bônus — Materiais adicionais de divulgação e educação em direitos</t>
        </is>
      </c>
      <c r="H31" t="inlineStr">
        <is>
          <t>M2-36</t>
        </is>
      </c>
      <c r="I31" t="inlineStr">
        <is>
          <t>07_Maturidade:M2-36</t>
        </is>
      </c>
      <c r="J31" t="inlineStr">
        <is>
          <t>Doc. SEI 37070578</t>
        </is>
      </c>
      <c r="K31" t="inlineStr">
        <is>
          <t>2026-09-23T11:46:31</t>
        </is>
      </c>
    </row>
    <row r="32">
      <c r="A32" t="n">
        <v>31</v>
      </c>
      <c r="B32" t="inlineStr">
        <is>
          <t>AL</t>
        </is>
      </c>
      <c r="C32" t="inlineStr">
        <is>
          <t>AL</t>
        </is>
      </c>
      <c r="D32" t="inlineStr">
        <is>
          <t>Alagoas</t>
        </is>
      </c>
      <c r="E32" t="inlineStr">
        <is>
          <t>01_Institucionalização</t>
        </is>
      </c>
      <c r="F32" t="inlineStr">
        <is>
          <t>Institucionalização</t>
        </is>
      </c>
      <c r="G32" t="inlineStr">
        <is>
          <t>Item 1 — Instituição formal da Ouvidoria de Serviços Penais</t>
        </is>
      </c>
      <c r="H32" t="inlineStr">
        <is>
          <t>M1-11</t>
        </is>
      </c>
      <c r="I32" t="inlineStr">
        <is>
          <t>01_Institucionalização:M1-11</t>
        </is>
      </c>
      <c r="J32" t="inlineStr">
        <is>
          <t>Doc. SEI 37070578</t>
        </is>
      </c>
      <c r="K32" t="inlineStr">
        <is>
          <t>2026-09-23T11:46:31</t>
        </is>
      </c>
    </row>
    <row r="33">
      <c r="A33" t="n">
        <v>32</v>
      </c>
      <c r="B33" t="inlineStr">
        <is>
          <t>AL</t>
        </is>
      </c>
      <c r="C33" t="inlineStr">
        <is>
          <t>AL</t>
        </is>
      </c>
      <c r="D33" t="inlineStr">
        <is>
          <t>Alagoas</t>
        </is>
      </c>
      <c r="E33" t="inlineStr">
        <is>
          <t>02_Autonomia</t>
        </is>
      </c>
      <c r="F33" t="inlineStr">
        <is>
          <t>Autonomia técnica e funcional</t>
        </is>
      </c>
      <c r="G33" t="inlineStr">
        <is>
          <t>Item 1 — Garantia normativa de autonomia técnica/funcional</t>
        </is>
      </c>
      <c r="H33" t="inlineStr">
        <is>
          <t>M3-56</t>
        </is>
      </c>
      <c r="I33" t="inlineStr">
        <is>
          <t>02_Autonomia:M3-56</t>
        </is>
      </c>
      <c r="J33" t="inlineStr">
        <is>
          <t>Doc. SEI 37070578</t>
        </is>
      </c>
      <c r="K33" t="inlineStr">
        <is>
          <t>2026-09-23T11:46:31</t>
        </is>
      </c>
    </row>
    <row r="34">
      <c r="A34" t="n">
        <v>33</v>
      </c>
      <c r="B34" t="inlineStr">
        <is>
          <t>AL</t>
        </is>
      </c>
      <c r="C34" t="inlineStr">
        <is>
          <t>AL</t>
        </is>
      </c>
      <c r="D34" t="inlineStr">
        <is>
          <t>Alagoas</t>
        </is>
      </c>
      <c r="E34" t="inlineStr">
        <is>
          <t>02_Autonomia</t>
        </is>
      </c>
      <c r="F34" t="inlineStr">
        <is>
          <t>Autonomia técnica e funcional</t>
        </is>
      </c>
      <c r="G34" t="inlineStr">
        <is>
          <t>Item 1 — Garantia normativa de autonomia técnica/funcional</t>
        </is>
      </c>
      <c r="H34" t="inlineStr">
        <is>
          <t>M3-57</t>
        </is>
      </c>
      <c r="I34" t="inlineStr">
        <is>
          <t>02_Autonomia:M3-57</t>
        </is>
      </c>
      <c r="J34" t="inlineStr">
        <is>
          <t>Doc. SEI 37070578</t>
        </is>
      </c>
      <c r="K34" t="inlineStr">
        <is>
          <t>2026-09-23T11:46:31</t>
        </is>
      </c>
    </row>
    <row r="35">
      <c r="A35" t="n">
        <v>34</v>
      </c>
      <c r="B35" t="inlineStr">
        <is>
          <t>AL</t>
        </is>
      </c>
      <c r="C35" t="inlineStr">
        <is>
          <t>AL</t>
        </is>
      </c>
      <c r="D35" t="inlineStr">
        <is>
          <t>Alagoas</t>
        </is>
      </c>
      <c r="E35" t="inlineStr">
        <is>
          <t>02_Autonomia</t>
        </is>
      </c>
      <c r="F35" t="inlineStr">
        <is>
          <t>Autonomia técnica e funcional</t>
        </is>
      </c>
      <c r="G35" t="inlineStr">
        <is>
          <t>Item 2 — Condições institucionais de atuação sem interferência indevida</t>
        </is>
      </c>
      <c r="H35" t="inlineStr">
        <is>
          <t>M1-12</t>
        </is>
      </c>
      <c r="I35" t="inlineStr">
        <is>
          <t>02_Autonomia:M1-12</t>
        </is>
      </c>
      <c r="J35" t="inlineStr">
        <is>
          <t>Doc. SEI 37070578</t>
        </is>
      </c>
      <c r="K35" t="inlineStr">
        <is>
          <t>2026-09-23T11:46:31</t>
        </is>
      </c>
    </row>
    <row r="36">
      <c r="A36" t="n">
        <v>35</v>
      </c>
      <c r="B36" t="inlineStr">
        <is>
          <t>AL</t>
        </is>
      </c>
      <c r="C36" t="inlineStr">
        <is>
          <t>AL</t>
        </is>
      </c>
      <c r="D36" t="inlineStr">
        <is>
          <t>Alagoas</t>
        </is>
      </c>
      <c r="E36" t="inlineStr">
        <is>
          <t>02_Autonomia</t>
        </is>
      </c>
      <c r="F36" t="inlineStr">
        <is>
          <t>Autonomia técnica e funcional</t>
        </is>
      </c>
      <c r="G36" t="inlineStr">
        <is>
          <t>Item 2 — Condições institucionais de atuação sem interferência indevida</t>
        </is>
      </c>
      <c r="H36" t="inlineStr">
        <is>
          <t>M4-67</t>
        </is>
      </c>
      <c r="I36" t="inlineStr">
        <is>
          <t>02_Autonomia:M4-67</t>
        </is>
      </c>
      <c r="J36" t="inlineStr">
        <is>
          <t>Doc. SEI 37070578</t>
        </is>
      </c>
      <c r="K36" t="inlineStr">
        <is>
          <t>2026-09-23T11:46:31</t>
        </is>
      </c>
    </row>
    <row r="37">
      <c r="A37" t="n">
        <v>36</v>
      </c>
      <c r="B37" t="inlineStr">
        <is>
          <t>AL</t>
        </is>
      </c>
      <c r="C37" t="inlineStr">
        <is>
          <t>AL</t>
        </is>
      </c>
      <c r="D37" t="inlineStr">
        <is>
          <t>Alagoas</t>
        </is>
      </c>
      <c r="E37" t="inlineStr">
        <is>
          <t>02_Autonomia</t>
        </is>
      </c>
      <c r="F37" t="inlineStr">
        <is>
          <t>Autonomia técnica e funcional</t>
        </is>
      </c>
      <c r="G37" t="inlineStr">
        <is>
          <t>Item 2 — Condições institucionais de atuação sem interferência indevida</t>
        </is>
      </c>
      <c r="H37" t="inlineStr">
        <is>
          <t>M4-68</t>
        </is>
      </c>
      <c r="I37" t="inlineStr">
        <is>
          <t>02_Autonomia:M4-68</t>
        </is>
      </c>
      <c r="J37" t="inlineStr">
        <is>
          <t>Doc. SEI 37070578</t>
        </is>
      </c>
      <c r="K37" t="inlineStr">
        <is>
          <t>2026-09-23T11:46:31</t>
        </is>
      </c>
    </row>
    <row r="38">
      <c r="A38" t="n">
        <v>37</v>
      </c>
      <c r="B38" t="inlineStr">
        <is>
          <t>AL</t>
        </is>
      </c>
      <c r="C38" t="inlineStr">
        <is>
          <t>AL</t>
        </is>
      </c>
      <c r="D38" t="inlineStr">
        <is>
          <t>Alagoas</t>
        </is>
      </c>
      <c r="E38" t="inlineStr">
        <is>
          <t>03_Imparcialidade</t>
        </is>
      </c>
      <c r="F38" t="inlineStr">
        <is>
          <t>Imparcialidade, sigilo e proteção</t>
        </is>
      </c>
      <c r="G38" t="inlineStr">
        <is>
          <t>Item 1 — Proteção e tratamento de denúncias graves e sensíveis</t>
        </is>
      </c>
      <c r="H38" t="inlineStr">
        <is>
          <t>M4-69</t>
        </is>
      </c>
      <c r="I38" t="inlineStr">
        <is>
          <t>03_Imparcialidade:M4-69</t>
        </is>
      </c>
      <c r="J38" t="inlineStr">
        <is>
          <t>Doc. SEI 37070578</t>
        </is>
      </c>
      <c r="K38" t="inlineStr">
        <is>
          <t>2026-09-23T11:46:31</t>
        </is>
      </c>
    </row>
    <row r="39">
      <c r="A39" t="n">
        <v>38</v>
      </c>
      <c r="B39" t="inlineStr">
        <is>
          <t>AL</t>
        </is>
      </c>
      <c r="C39" t="inlineStr">
        <is>
          <t>AL</t>
        </is>
      </c>
      <c r="D39" t="inlineStr">
        <is>
          <t>Alagoas</t>
        </is>
      </c>
      <c r="E39" t="inlineStr">
        <is>
          <t>03_Imparcialidade</t>
        </is>
      </c>
      <c r="F39" t="inlineStr">
        <is>
          <t>Imparcialidade, sigilo e proteção</t>
        </is>
      </c>
      <c r="G39" t="inlineStr">
        <is>
          <t>Item 2 — Confidencialidade e sigilo da equipe</t>
        </is>
      </c>
      <c r="H39" t="inlineStr">
        <is>
          <t>M3-63</t>
        </is>
      </c>
      <c r="I39" t="inlineStr">
        <is>
          <t>03_Imparcialidade:M3-63</t>
        </is>
      </c>
      <c r="J39" t="inlineStr">
        <is>
          <t>Doc. SEI 37070578</t>
        </is>
      </c>
      <c r="K39" t="inlineStr">
        <is>
          <t>2026-09-23T11:46:31</t>
        </is>
      </c>
    </row>
    <row r="40">
      <c r="A40" t="n">
        <v>39</v>
      </c>
      <c r="B40" t="inlineStr">
        <is>
          <t>AL</t>
        </is>
      </c>
      <c r="C40" t="inlineStr">
        <is>
          <t>AL</t>
        </is>
      </c>
      <c r="D40" t="inlineStr">
        <is>
          <t>Alagoas</t>
        </is>
      </c>
      <c r="E40" t="inlineStr">
        <is>
          <t>04_Acessibilidade</t>
        </is>
      </c>
      <c r="F40" t="inlineStr">
        <is>
          <t>Acessibilidade e atendimento humanizado</t>
        </is>
      </c>
      <c r="G40" t="inlineStr">
        <is>
          <t>Item 1 — Canais institucionais acessíveis</t>
        </is>
      </c>
      <c r="H40" t="inlineStr">
        <is>
          <t>M2-41</t>
        </is>
      </c>
      <c r="I40" t="inlineStr">
        <is>
          <t>04_Acessibilidade:M2-41</t>
        </is>
      </c>
      <c r="J40" t="inlineStr">
        <is>
          <t>Doc. SEI 37070578</t>
        </is>
      </c>
      <c r="K40" t="inlineStr">
        <is>
          <t>2026-09-23T11:46:31</t>
        </is>
      </c>
    </row>
    <row r="41">
      <c r="A41" t="n">
        <v>40</v>
      </c>
      <c r="B41" t="inlineStr">
        <is>
          <t>AL</t>
        </is>
      </c>
      <c r="C41" t="inlineStr">
        <is>
          <t>AL</t>
        </is>
      </c>
      <c r="D41" t="inlineStr">
        <is>
          <t>Alagoas</t>
        </is>
      </c>
      <c r="E41" t="inlineStr">
        <is>
          <t>04_Acessibilidade</t>
        </is>
      </c>
      <c r="F41" t="inlineStr">
        <is>
          <t>Acessibilidade e atendimento humanizado</t>
        </is>
      </c>
      <c r="G41" t="inlineStr">
        <is>
          <t>Item 1 — Canais institucionais acessíveis</t>
        </is>
      </c>
      <c r="H41" t="inlineStr">
        <is>
          <t>M2-43</t>
        </is>
      </c>
      <c r="I41" t="inlineStr">
        <is>
          <t>04_Acessibilidade:M2-43</t>
        </is>
      </c>
      <c r="J41" t="inlineStr">
        <is>
          <t>Doc. SEI 37070578</t>
        </is>
      </c>
      <c r="K41" t="inlineStr">
        <is>
          <t>2026-09-23T11:46:31</t>
        </is>
      </c>
    </row>
    <row r="42">
      <c r="A42" t="n">
        <v>41</v>
      </c>
      <c r="B42" t="inlineStr">
        <is>
          <t>AL</t>
        </is>
      </c>
      <c r="C42" t="inlineStr">
        <is>
          <t>AL</t>
        </is>
      </c>
      <c r="D42" t="inlineStr">
        <is>
          <t>Alagoas</t>
        </is>
      </c>
      <c r="E42" t="inlineStr">
        <is>
          <t>04_Acessibilidade</t>
        </is>
      </c>
      <c r="F42" t="inlineStr">
        <is>
          <t>Acessibilidade e atendimento humanizado</t>
        </is>
      </c>
      <c r="G42" t="inlineStr">
        <is>
          <t>Item 1 — Canais institucionais acessíveis</t>
        </is>
      </c>
      <c r="H42" t="inlineStr">
        <is>
          <t>M2-47</t>
        </is>
      </c>
      <c r="I42" t="inlineStr">
        <is>
          <t>04_Acessibilidade:M2-47</t>
        </is>
      </c>
      <c r="J42" t="inlineStr">
        <is>
          <t>Doc. SEI 37070578</t>
        </is>
      </c>
      <c r="K42" t="inlineStr">
        <is>
          <t>2026-09-23T11:46:31</t>
        </is>
      </c>
    </row>
    <row r="43">
      <c r="A43" t="n">
        <v>42</v>
      </c>
      <c r="B43" t="inlineStr">
        <is>
          <t>AL</t>
        </is>
      </c>
      <c r="C43" t="inlineStr">
        <is>
          <t>AL</t>
        </is>
      </c>
      <c r="D43" t="inlineStr">
        <is>
          <t>Alagoas</t>
        </is>
      </c>
      <c r="E43" t="inlineStr">
        <is>
          <t>04_Acessibilidade</t>
        </is>
      </c>
      <c r="F43" t="inlineStr">
        <is>
          <t>Acessibilidade e atendimento humanizado</t>
        </is>
      </c>
      <c r="G43" t="inlineStr">
        <is>
          <t>Item 2 — Condições de atendimento reservado e acessível</t>
        </is>
      </c>
      <c r="H43" t="inlineStr">
        <is>
          <t>M2-16</t>
        </is>
      </c>
      <c r="I43" t="inlineStr">
        <is>
          <t>04_Acessibilidade:M2-16</t>
        </is>
      </c>
      <c r="J43" t="inlineStr">
        <is>
          <t>Doc. SEI 37070578</t>
        </is>
      </c>
      <c r="K43" t="inlineStr">
        <is>
          <t>2026-09-23T11:46:31</t>
        </is>
      </c>
    </row>
    <row r="44">
      <c r="A44" t="n">
        <v>43</v>
      </c>
      <c r="B44" t="inlineStr">
        <is>
          <t>AL</t>
        </is>
      </c>
      <c r="C44" t="inlineStr">
        <is>
          <t>AL</t>
        </is>
      </c>
      <c r="D44" t="inlineStr">
        <is>
          <t>Alagoas</t>
        </is>
      </c>
      <c r="E44" t="inlineStr">
        <is>
          <t>04_Acessibilidade</t>
        </is>
      </c>
      <c r="F44" t="inlineStr">
        <is>
          <t>Acessibilidade e atendimento humanizado</t>
        </is>
      </c>
      <c r="G44" t="inlineStr">
        <is>
          <t>Item 3 — Alcance dos públicos dos serviços penais</t>
        </is>
      </c>
      <c r="H44" t="inlineStr">
        <is>
          <t>M1-13</t>
        </is>
      </c>
      <c r="I44" t="inlineStr">
        <is>
          <t>04_Acessibilidade:M1-13</t>
        </is>
      </c>
      <c r="J44" t="inlineStr">
        <is>
          <t>Doc. SEI 37070578</t>
        </is>
      </c>
      <c r="K44" t="inlineStr">
        <is>
          <t>2026-09-23T11:46:31</t>
        </is>
      </c>
    </row>
    <row r="45">
      <c r="A45" t="n">
        <v>44</v>
      </c>
      <c r="B45" t="inlineStr">
        <is>
          <t>AL</t>
        </is>
      </c>
      <c r="C45" t="inlineStr">
        <is>
          <t>AL</t>
        </is>
      </c>
      <c r="D45" t="inlineStr">
        <is>
          <t>Alagoas</t>
        </is>
      </c>
      <c r="E45" t="inlineStr">
        <is>
          <t>04_Acessibilidade</t>
        </is>
      </c>
      <c r="F45" t="inlineStr">
        <is>
          <t>Acessibilidade e atendimento humanizado</t>
        </is>
      </c>
      <c r="G45" t="inlineStr">
        <is>
          <t>Item 3 — Alcance dos públicos dos serviços penais</t>
        </is>
      </c>
      <c r="H45" t="inlineStr">
        <is>
          <t>M4-64</t>
        </is>
      </c>
      <c r="I45" t="inlineStr">
        <is>
          <t>04_Acessibilidade:M4-64</t>
        </is>
      </c>
      <c r="J45" t="inlineStr">
        <is>
          <t>Doc. SEI 37070578</t>
        </is>
      </c>
      <c r="K45" t="inlineStr">
        <is>
          <t>2026-09-23T11:46:31</t>
        </is>
      </c>
    </row>
    <row r="46">
      <c r="A46" t="n">
        <v>45</v>
      </c>
      <c r="B46" t="inlineStr">
        <is>
          <t>AL</t>
        </is>
      </c>
      <c r="C46" t="inlineStr">
        <is>
          <t>AL</t>
        </is>
      </c>
      <c r="D46" t="inlineStr">
        <is>
          <t>Alagoas</t>
        </is>
      </c>
      <c r="E46" t="inlineStr">
        <is>
          <t>05_Transparência</t>
        </is>
      </c>
      <c r="F46" t="inlineStr">
        <is>
          <t>Transparência e publicidade</t>
        </is>
      </c>
      <c r="G46" t="inlineStr">
        <is>
          <t>Item 1 — Visibilidade institucional e divulgação dos canais</t>
        </is>
      </c>
      <c r="H46" t="inlineStr">
        <is>
          <t>M2-35</t>
        </is>
      </c>
      <c r="I46" t="inlineStr">
        <is>
          <t>05_Transparência:M2-35</t>
        </is>
      </c>
      <c r="J46" t="inlineStr">
        <is>
          <t>Doc. SEI 37070578</t>
        </is>
      </c>
      <c r="K46" t="inlineStr">
        <is>
          <t>2026-09-23T11:46:31</t>
        </is>
      </c>
    </row>
    <row r="47">
      <c r="A47" t="n">
        <v>46</v>
      </c>
      <c r="B47" t="inlineStr">
        <is>
          <t>AL</t>
        </is>
      </c>
      <c r="C47" t="inlineStr">
        <is>
          <t>AL</t>
        </is>
      </c>
      <c r="D47" t="inlineStr">
        <is>
          <t>Alagoas</t>
        </is>
      </c>
      <c r="E47" t="inlineStr">
        <is>
          <t>05_Transparência</t>
        </is>
      </c>
      <c r="F47" t="inlineStr">
        <is>
          <t>Transparência e publicidade</t>
        </is>
      </c>
      <c r="G47" t="inlineStr">
        <is>
          <t>Item 2 — Publicidade das ações e atividades</t>
        </is>
      </c>
      <c r="H47" t="inlineStr">
        <is>
          <t>M4-71</t>
        </is>
      </c>
      <c r="I47" t="inlineStr">
        <is>
          <t>05_Transparência:M4-71</t>
        </is>
      </c>
      <c r="J47" t="inlineStr">
        <is>
          <t>Doc. SEI 37070578</t>
        </is>
      </c>
      <c r="K47" t="inlineStr">
        <is>
          <t>2026-09-23T11:46:31</t>
        </is>
      </c>
    </row>
    <row r="48">
      <c r="A48" t="n">
        <v>47</v>
      </c>
      <c r="B48" t="inlineStr">
        <is>
          <t>AL</t>
        </is>
      </c>
      <c r="C48" t="inlineStr">
        <is>
          <t>AL</t>
        </is>
      </c>
      <c r="D48" t="inlineStr">
        <is>
          <t>Alagoas</t>
        </is>
      </c>
      <c r="E48" t="inlineStr">
        <is>
          <t>06_Integração Tec</t>
        </is>
      </c>
      <c r="F48" t="inlineStr">
        <is>
          <t>Integração tecnológica</t>
        </is>
      </c>
      <c r="G48" t="inlineStr">
        <is>
          <t>Item 1 — Canal eletrônico e solução para registro e gestão das manifestações</t>
        </is>
      </c>
      <c r="H48" t="inlineStr">
        <is>
          <t>M2-45</t>
        </is>
      </c>
      <c r="I48" t="inlineStr">
        <is>
          <t>06_Integração Tec:M2-45</t>
        </is>
      </c>
      <c r="J48" t="inlineStr">
        <is>
          <t>Doc. SEI 37070578</t>
        </is>
      </c>
      <c r="K48" t="inlineStr">
        <is>
          <t>2026-09-23T11:46:31</t>
        </is>
      </c>
    </row>
    <row r="49">
      <c r="A49" t="n">
        <v>48</v>
      </c>
      <c r="B49" t="inlineStr">
        <is>
          <t>AL</t>
        </is>
      </c>
      <c r="C49" t="inlineStr">
        <is>
          <t>AL</t>
        </is>
      </c>
      <c r="D49" t="inlineStr">
        <is>
          <t>Alagoas</t>
        </is>
      </c>
      <c r="E49" t="inlineStr">
        <is>
          <t>06_Integração Tec</t>
        </is>
      </c>
      <c r="F49" t="inlineStr">
        <is>
          <t>Integração tecnológica</t>
        </is>
      </c>
      <c r="G49" t="inlineStr">
        <is>
          <t>Item 2 — Registro, protocolo, rastreabilidade e acompanhamento</t>
        </is>
      </c>
      <c r="H49" t="inlineStr">
        <is>
          <t>M4-66</t>
        </is>
      </c>
      <c r="I49" t="inlineStr">
        <is>
          <t>06_Integração Tec:M4-66</t>
        </is>
      </c>
      <c r="J49" t="inlineStr">
        <is>
          <t>Doc. SEI 37070578</t>
        </is>
      </c>
      <c r="K49" t="inlineStr">
        <is>
          <t>2026-09-23T11:46:31</t>
        </is>
      </c>
    </row>
    <row r="50">
      <c r="A50" t="n">
        <v>49</v>
      </c>
      <c r="B50" t="inlineStr">
        <is>
          <t>AL</t>
        </is>
      </c>
      <c r="C50" t="inlineStr">
        <is>
          <t>AL</t>
        </is>
      </c>
      <c r="D50" t="inlineStr">
        <is>
          <t>Alagoas</t>
        </is>
      </c>
      <c r="E50" t="inlineStr">
        <is>
          <t>06_Integração Tec</t>
        </is>
      </c>
      <c r="F50" t="inlineStr">
        <is>
          <t>Integração tecnológica</t>
        </is>
      </c>
      <c r="G50" t="inlineStr">
        <is>
          <t>Item 3 — Sigilo, autenticação e controle de acesso</t>
        </is>
      </c>
      <c r="H50" t="inlineStr">
        <is>
          <t>M2-37</t>
        </is>
      </c>
      <c r="I50" t="inlineStr">
        <is>
          <t>06_Integração Tec:M2-37</t>
        </is>
      </c>
      <c r="J50" t="inlineStr">
        <is>
          <t>Doc. SEI 37070578</t>
        </is>
      </c>
      <c r="K50" t="inlineStr">
        <is>
          <t>2026-09-23T11:46:31</t>
        </is>
      </c>
    </row>
    <row r="51">
      <c r="A51" t="n">
        <v>50</v>
      </c>
      <c r="B51" t="inlineStr">
        <is>
          <t>AL</t>
        </is>
      </c>
      <c r="C51" t="inlineStr">
        <is>
          <t>AL</t>
        </is>
      </c>
      <c r="D51" t="inlineStr">
        <is>
          <t>Alagoas</t>
        </is>
      </c>
      <c r="E51" t="inlineStr">
        <is>
          <t>06_Integração Tec</t>
        </is>
      </c>
      <c r="F51" t="inlineStr">
        <is>
          <t>Integração tecnológica</t>
        </is>
      </c>
      <c r="G51" t="inlineStr">
        <is>
          <t>Item 4 — Computadores e acesso à internet</t>
        </is>
      </c>
      <c r="H51" t="inlineStr">
        <is>
          <t>M2-17</t>
        </is>
      </c>
      <c r="I51" t="inlineStr">
        <is>
          <t>06_Integração Tec:M2-17</t>
        </is>
      </c>
      <c r="J51" t="inlineStr">
        <is>
          <t>Doc. SEI 37070578</t>
        </is>
      </c>
      <c r="K51" t="inlineStr">
        <is>
          <t>2026-09-23T11:46:31</t>
        </is>
      </c>
    </row>
    <row r="52">
      <c r="A52" t="n">
        <v>51</v>
      </c>
      <c r="B52" t="inlineStr">
        <is>
          <t>AL</t>
        </is>
      </c>
      <c r="C52" t="inlineStr">
        <is>
          <t>AL</t>
        </is>
      </c>
      <c r="D52" t="inlineStr">
        <is>
          <t>Alagoas</t>
        </is>
      </c>
      <c r="E52" t="inlineStr">
        <is>
          <t>06_Integração Tec</t>
        </is>
      </c>
      <c r="F52" t="inlineStr">
        <is>
          <t>Integração tecnológica</t>
        </is>
      </c>
      <c r="G52" t="inlineStr">
        <is>
          <t>Item 5 — Impressoras e scanners</t>
        </is>
      </c>
      <c r="H52" t="inlineStr">
        <is>
          <t>M2-19</t>
        </is>
      </c>
      <c r="I52" t="inlineStr">
        <is>
          <t>06_Integração Tec:M2-19</t>
        </is>
      </c>
      <c r="J52" t="inlineStr">
        <is>
          <t>Doc. SEI 37070578</t>
        </is>
      </c>
      <c r="K52" t="inlineStr">
        <is>
          <t>2026-09-23T11:46:31</t>
        </is>
      </c>
    </row>
    <row r="53">
      <c r="A53" t="n">
        <v>52</v>
      </c>
      <c r="B53" t="inlineStr">
        <is>
          <t>AL</t>
        </is>
      </c>
      <c r="C53" t="inlineStr">
        <is>
          <t>AL</t>
        </is>
      </c>
      <c r="D53" t="inlineStr">
        <is>
          <t>Alagoas</t>
        </is>
      </c>
      <c r="E53" t="inlineStr">
        <is>
          <t>06_Integração Tec</t>
        </is>
      </c>
      <c r="F53" t="inlineStr">
        <is>
          <t>Integração tecnológica</t>
        </is>
      </c>
      <c r="G53" t="inlineStr">
        <is>
          <t>Item 5 — Impressoras e scanners</t>
        </is>
      </c>
      <c r="H53" t="inlineStr">
        <is>
          <t>M2-21</t>
        </is>
      </c>
      <c r="I53" t="inlineStr">
        <is>
          <t>06_Integração Tec:M2-21</t>
        </is>
      </c>
      <c r="J53" t="inlineStr">
        <is>
          <t>Doc. SEI 37070578</t>
        </is>
      </c>
      <c r="K53" t="inlineStr">
        <is>
          <t>2026-09-23T11:46:31</t>
        </is>
      </c>
    </row>
    <row r="54">
      <c r="A54" t="n">
        <v>53</v>
      </c>
      <c r="B54" t="inlineStr">
        <is>
          <t>AL</t>
        </is>
      </c>
      <c r="C54" t="inlineStr">
        <is>
          <t>AL</t>
        </is>
      </c>
      <c r="D54" t="inlineStr">
        <is>
          <t>Alagoas</t>
        </is>
      </c>
      <c r="E54" t="inlineStr">
        <is>
          <t>06_Integração Tec</t>
        </is>
      </c>
      <c r="F54" t="inlineStr">
        <is>
          <t>Integração tecnológica</t>
        </is>
      </c>
      <c r="G54" t="inlineStr">
        <is>
          <t>Item 6 — Aparelhos de telefone celular</t>
        </is>
      </c>
      <c r="H54" t="inlineStr">
        <is>
          <t>M2-27</t>
        </is>
      </c>
      <c r="I54" t="inlineStr">
        <is>
          <t>06_Integração Tec:M2-27</t>
        </is>
      </c>
      <c r="J54" t="inlineStr">
        <is>
          <t>Doc. SEI 37070578</t>
        </is>
      </c>
      <c r="K54" t="inlineStr">
        <is>
          <t>2026-09-23T11:46:31</t>
        </is>
      </c>
    </row>
    <row r="55">
      <c r="A55" t="n">
        <v>54</v>
      </c>
      <c r="B55" t="inlineStr">
        <is>
          <t>AL</t>
        </is>
      </c>
      <c r="C55" t="inlineStr">
        <is>
          <t>AL</t>
        </is>
      </c>
      <c r="D55" t="inlineStr">
        <is>
          <t>Alagoas</t>
        </is>
      </c>
      <c r="E55" t="inlineStr">
        <is>
          <t>07_Maturidade</t>
        </is>
      </c>
      <c r="F55" t="inlineStr">
        <is>
          <t>Maturidade / bônus</t>
        </is>
      </c>
      <c r="G55" t="inlineStr">
        <is>
          <t>Bônus — Uso do canal Fala.BR</t>
        </is>
      </c>
      <c r="H55" t="inlineStr">
        <is>
          <t>M2-46</t>
        </is>
      </c>
      <c r="I55" t="inlineStr">
        <is>
          <t>07_Maturidade:M2-46</t>
        </is>
      </c>
      <c r="J55" t="inlineStr">
        <is>
          <t>Doc. SEI 37070578</t>
        </is>
      </c>
      <c r="K55" t="inlineStr">
        <is>
          <t>2026-09-23T11:46:31</t>
        </is>
      </c>
    </row>
    <row r="56">
      <c r="A56" t="n">
        <v>55</v>
      </c>
      <c r="B56" t="inlineStr">
        <is>
          <t>AL</t>
        </is>
      </c>
      <c r="C56" t="inlineStr">
        <is>
          <t>AL</t>
        </is>
      </c>
      <c r="D56" t="inlineStr">
        <is>
          <t>Alagoas</t>
        </is>
      </c>
      <c r="E56" t="inlineStr">
        <is>
          <t>07_Maturidade</t>
        </is>
      </c>
      <c r="F56" t="inlineStr">
        <is>
          <t>Maturidade / bônus</t>
        </is>
      </c>
      <c r="G56" t="inlineStr">
        <is>
          <t>Bônus — Designação por mandato</t>
        </is>
      </c>
      <c r="H56" t="inlineStr">
        <is>
          <t>M0-08</t>
        </is>
      </c>
      <c r="I56" t="inlineStr">
        <is>
          <t>07_Maturidade:M0-08</t>
        </is>
      </c>
      <c r="J56" t="inlineStr">
        <is>
          <t>Doc. SEI 37070578</t>
        </is>
      </c>
      <c r="K56" t="inlineStr">
        <is>
          <t>2026-09-23T11:46:31</t>
        </is>
      </c>
    </row>
    <row r="57">
      <c r="A57" t="n">
        <v>56</v>
      </c>
      <c r="B57" t="inlineStr">
        <is>
          <t>AL</t>
        </is>
      </c>
      <c r="C57" t="inlineStr">
        <is>
          <t>AL</t>
        </is>
      </c>
      <c r="D57" t="inlineStr">
        <is>
          <t>Alagoas</t>
        </is>
      </c>
      <c r="E57" t="inlineStr">
        <is>
          <t>07_Maturidade</t>
        </is>
      </c>
      <c r="F57" t="inlineStr">
        <is>
          <t>Maturidade / bônus</t>
        </is>
      </c>
      <c r="G57" t="inlineStr">
        <is>
          <t>Bônus — Dedicação da equipe</t>
        </is>
      </c>
      <c r="H57" t="inlineStr">
        <is>
          <t>M3-60</t>
        </is>
      </c>
      <c r="I57" t="inlineStr">
        <is>
          <t>07_Maturidade:M3-60</t>
        </is>
      </c>
      <c r="J57" t="inlineStr">
        <is>
          <t>Doc. SEI 37070578</t>
        </is>
      </c>
      <c r="K57" t="inlineStr">
        <is>
          <t>2026-09-23T11:46:31</t>
        </is>
      </c>
    </row>
    <row r="58">
      <c r="A58" t="n">
        <v>57</v>
      </c>
      <c r="B58" t="inlineStr">
        <is>
          <t>AL</t>
        </is>
      </c>
      <c r="C58" t="inlineStr">
        <is>
          <t>AL</t>
        </is>
      </c>
      <c r="D58" t="inlineStr">
        <is>
          <t>Alagoas</t>
        </is>
      </c>
      <c r="E58" t="inlineStr">
        <is>
          <t>07_Maturidade</t>
        </is>
      </c>
      <c r="F58" t="inlineStr">
        <is>
          <t>Maturidade / bônus</t>
        </is>
      </c>
      <c r="G58" t="inlineStr">
        <is>
          <t>Bônus — Requisitos de perfil para o cargo de Ouvidor</t>
        </is>
      </c>
      <c r="H58" t="inlineStr">
        <is>
          <t>M3-58</t>
        </is>
      </c>
      <c r="I58" t="inlineStr">
        <is>
          <t>07_Maturidade:M3-58</t>
        </is>
      </c>
      <c r="J58" t="inlineStr">
        <is>
          <t>Doc. SEI 37070578</t>
        </is>
      </c>
      <c r="K58" t="inlineStr">
        <is>
          <t>2026-09-23T11:46:31</t>
        </is>
      </c>
    </row>
    <row r="59">
      <c r="A59" t="n">
        <v>58</v>
      </c>
      <c r="B59" t="inlineStr">
        <is>
          <t>AL</t>
        </is>
      </c>
      <c r="C59" t="inlineStr">
        <is>
          <t>AL</t>
        </is>
      </c>
      <c r="D59" t="inlineStr">
        <is>
          <t>Alagoas</t>
        </is>
      </c>
      <c r="E59" t="inlineStr">
        <is>
          <t>07_Maturidade</t>
        </is>
      </c>
      <c r="F59" t="inlineStr">
        <is>
          <t>Maturidade / bônus</t>
        </is>
      </c>
      <c r="G59" t="inlineStr">
        <is>
          <t>Bônus — WhatsApp institucional</t>
        </is>
      </c>
      <c r="H59" t="inlineStr">
        <is>
          <t>M2-50</t>
        </is>
      </c>
      <c r="I59" t="inlineStr">
        <is>
          <t>07_Maturidade:M2-50</t>
        </is>
      </c>
      <c r="J59" t="inlineStr">
        <is>
          <t>Doc. SEI 37070578</t>
        </is>
      </c>
      <c r="K59" t="inlineStr">
        <is>
          <t>2026-09-23T11:46:31</t>
        </is>
      </c>
    </row>
    <row r="60">
      <c r="A60" t="n">
        <v>59</v>
      </c>
      <c r="B60" t="inlineStr">
        <is>
          <t>AL</t>
        </is>
      </c>
      <c r="C60" t="inlineStr">
        <is>
          <t>AL</t>
        </is>
      </c>
      <c r="D60" t="inlineStr">
        <is>
          <t>Alagoas</t>
        </is>
      </c>
      <c r="E60" t="inlineStr">
        <is>
          <t>07_Maturidade</t>
        </is>
      </c>
      <c r="F60" t="inlineStr">
        <is>
          <t>Maturidade / bônus</t>
        </is>
      </c>
      <c r="G60" t="inlineStr">
        <is>
          <t>Bônus — Outros canais eletrônicos institucionais</t>
        </is>
      </c>
      <c r="H60" t="inlineStr">
        <is>
          <t>M2-49</t>
        </is>
      </c>
      <c r="I60" t="inlineStr">
        <is>
          <t>07_Maturidade:M2-49</t>
        </is>
      </c>
      <c r="J60" t="inlineStr">
        <is>
          <t>Doc. SEI 37070578</t>
        </is>
      </c>
      <c r="K60" t="inlineStr">
        <is>
          <t>2026-09-23T11:46:31</t>
        </is>
      </c>
    </row>
    <row r="61">
      <c r="A61" t="n">
        <v>60</v>
      </c>
      <c r="B61" t="inlineStr">
        <is>
          <t>AL</t>
        </is>
      </c>
      <c r="C61" t="inlineStr">
        <is>
          <t>AL</t>
        </is>
      </c>
      <c r="D61" t="inlineStr">
        <is>
          <t>Alagoas</t>
        </is>
      </c>
      <c r="E61" t="inlineStr">
        <is>
          <t>07_Maturidade</t>
        </is>
      </c>
      <c r="F61" t="inlineStr">
        <is>
          <t>Maturidade / bônus</t>
        </is>
      </c>
      <c r="G61" t="inlineStr">
        <is>
          <t>Bônus — Materiais adicionais de divulgação e educação em direitos</t>
        </is>
      </c>
      <c r="H61" t="inlineStr">
        <is>
          <t>M2-36</t>
        </is>
      </c>
      <c r="I61" t="inlineStr">
        <is>
          <t>07_Maturidade:M2-36</t>
        </is>
      </c>
      <c r="J61" t="inlineStr">
        <is>
          <t>Doc. SEI 37070578</t>
        </is>
      </c>
      <c r="K61" t="inlineStr">
        <is>
          <t>2026-09-23T11:46:31</t>
        </is>
      </c>
    </row>
    <row r="62">
      <c r="A62" t="n">
        <v>61</v>
      </c>
      <c r="B62" t="inlineStr">
        <is>
          <t>AP</t>
        </is>
      </c>
      <c r="C62" t="inlineStr">
        <is>
          <t>AP</t>
        </is>
      </c>
      <c r="D62" t="inlineStr">
        <is>
          <t>Amapá</t>
        </is>
      </c>
      <c r="E62" t="inlineStr">
        <is>
          <t>01_Institucionalização</t>
        </is>
      </c>
      <c r="F62" t="inlineStr">
        <is>
          <t>Institucionalização</t>
        </is>
      </c>
      <c r="G62" t="inlineStr">
        <is>
          <t>Item 1 — Instituição formal da Ouvidoria de Serviços Penais</t>
        </is>
      </c>
      <c r="H62" t="inlineStr">
        <is>
          <t>M1-11</t>
        </is>
      </c>
      <c r="I62" t="inlineStr">
        <is>
          <t>01_Institucionalização:M1-11</t>
        </is>
      </c>
      <c r="J62" t="inlineStr">
        <is>
          <t>Doc. SEI 37070578</t>
        </is>
      </c>
      <c r="K62" t="inlineStr">
        <is>
          <t>2026-09-23T11:46:31</t>
        </is>
      </c>
    </row>
    <row r="63">
      <c r="A63" t="n">
        <v>62</v>
      </c>
      <c r="B63" t="inlineStr">
        <is>
          <t>AP</t>
        </is>
      </c>
      <c r="C63" t="inlineStr">
        <is>
          <t>AP</t>
        </is>
      </c>
      <c r="D63" t="inlineStr">
        <is>
          <t>Amapá</t>
        </is>
      </c>
      <c r="E63" t="inlineStr">
        <is>
          <t>02_Autonomia</t>
        </is>
      </c>
      <c r="F63" t="inlineStr">
        <is>
          <t>Autonomia técnica e funcional</t>
        </is>
      </c>
      <c r="G63" t="inlineStr">
        <is>
          <t>Item 1 — Garantia normativa de autonomia técnica/funcional</t>
        </is>
      </c>
      <c r="H63" t="inlineStr">
        <is>
          <t>M3-56</t>
        </is>
      </c>
      <c r="I63" t="inlineStr">
        <is>
          <t>02_Autonomia:M3-56</t>
        </is>
      </c>
      <c r="J63" t="inlineStr">
        <is>
          <t>Doc. SEI 37070578</t>
        </is>
      </c>
      <c r="K63" t="inlineStr">
        <is>
          <t>2026-09-23T11:46:31</t>
        </is>
      </c>
    </row>
    <row r="64">
      <c r="A64" t="n">
        <v>63</v>
      </c>
      <c r="B64" t="inlineStr">
        <is>
          <t>AP</t>
        </is>
      </c>
      <c r="C64" t="inlineStr">
        <is>
          <t>AP</t>
        </is>
      </c>
      <c r="D64" t="inlineStr">
        <is>
          <t>Amapá</t>
        </is>
      </c>
      <c r="E64" t="inlineStr">
        <is>
          <t>02_Autonomia</t>
        </is>
      </c>
      <c r="F64" t="inlineStr">
        <is>
          <t>Autonomia técnica e funcional</t>
        </is>
      </c>
      <c r="G64" t="inlineStr">
        <is>
          <t>Item 1 — Garantia normativa de autonomia técnica/funcional</t>
        </is>
      </c>
      <c r="H64" t="inlineStr">
        <is>
          <t>M3-57</t>
        </is>
      </c>
      <c r="I64" t="inlineStr">
        <is>
          <t>02_Autonomia:M3-57</t>
        </is>
      </c>
      <c r="J64" t="inlineStr">
        <is>
          <t>Doc. SEI 37070578</t>
        </is>
      </c>
      <c r="K64" t="inlineStr">
        <is>
          <t>2026-09-23T11:46:31</t>
        </is>
      </c>
    </row>
    <row r="65">
      <c r="A65" t="n">
        <v>64</v>
      </c>
      <c r="B65" t="inlineStr">
        <is>
          <t>AP</t>
        </is>
      </c>
      <c r="C65" t="inlineStr">
        <is>
          <t>AP</t>
        </is>
      </c>
      <c r="D65" t="inlineStr">
        <is>
          <t>Amapá</t>
        </is>
      </c>
      <c r="E65" t="inlineStr">
        <is>
          <t>02_Autonomia</t>
        </is>
      </c>
      <c r="F65" t="inlineStr">
        <is>
          <t>Autonomia técnica e funcional</t>
        </is>
      </c>
      <c r="G65" t="inlineStr">
        <is>
          <t>Item 2 — Condições institucionais de atuação sem interferência indevida</t>
        </is>
      </c>
      <c r="H65" t="inlineStr">
        <is>
          <t>M1-12</t>
        </is>
      </c>
      <c r="I65" t="inlineStr">
        <is>
          <t>02_Autonomia:M1-12</t>
        </is>
      </c>
      <c r="J65" t="inlineStr">
        <is>
          <t>Doc. SEI 37070578</t>
        </is>
      </c>
      <c r="K65" t="inlineStr">
        <is>
          <t>2026-09-23T11:46:31</t>
        </is>
      </c>
    </row>
    <row r="66">
      <c r="A66" t="n">
        <v>65</v>
      </c>
      <c r="B66" t="inlineStr">
        <is>
          <t>AP</t>
        </is>
      </c>
      <c r="C66" t="inlineStr">
        <is>
          <t>AP</t>
        </is>
      </c>
      <c r="D66" t="inlineStr">
        <is>
          <t>Amapá</t>
        </is>
      </c>
      <c r="E66" t="inlineStr">
        <is>
          <t>02_Autonomia</t>
        </is>
      </c>
      <c r="F66" t="inlineStr">
        <is>
          <t>Autonomia técnica e funcional</t>
        </is>
      </c>
      <c r="G66" t="inlineStr">
        <is>
          <t>Item 2 — Condições institucionais de atuação sem interferência indevida</t>
        </is>
      </c>
      <c r="H66" t="inlineStr">
        <is>
          <t>M4-67</t>
        </is>
      </c>
      <c r="I66" t="inlineStr">
        <is>
          <t>02_Autonomia:M4-67</t>
        </is>
      </c>
      <c r="J66" t="inlineStr">
        <is>
          <t>Doc. SEI 37070578</t>
        </is>
      </c>
      <c r="K66" t="inlineStr">
        <is>
          <t>2026-09-23T11:46:31</t>
        </is>
      </c>
    </row>
    <row r="67">
      <c r="A67" t="n">
        <v>66</v>
      </c>
      <c r="B67" t="inlineStr">
        <is>
          <t>AP</t>
        </is>
      </c>
      <c r="C67" t="inlineStr">
        <is>
          <t>AP</t>
        </is>
      </c>
      <c r="D67" t="inlineStr">
        <is>
          <t>Amapá</t>
        </is>
      </c>
      <c r="E67" t="inlineStr">
        <is>
          <t>02_Autonomia</t>
        </is>
      </c>
      <c r="F67" t="inlineStr">
        <is>
          <t>Autonomia técnica e funcional</t>
        </is>
      </c>
      <c r="G67" t="inlineStr">
        <is>
          <t>Item 2 — Condições institucionais de atuação sem interferência indevida</t>
        </is>
      </c>
      <c r="H67" t="inlineStr">
        <is>
          <t>M4-68</t>
        </is>
      </c>
      <c r="I67" t="inlineStr">
        <is>
          <t>02_Autonomia:M4-68</t>
        </is>
      </c>
      <c r="J67" t="inlineStr">
        <is>
          <t>Doc. SEI 37070578</t>
        </is>
      </c>
      <c r="K67" t="inlineStr">
        <is>
          <t>2026-09-23T11:46:31</t>
        </is>
      </c>
    </row>
    <row r="68">
      <c r="A68" t="n">
        <v>67</v>
      </c>
      <c r="B68" t="inlineStr">
        <is>
          <t>AP</t>
        </is>
      </c>
      <c r="C68" t="inlineStr">
        <is>
          <t>AP</t>
        </is>
      </c>
      <c r="D68" t="inlineStr">
        <is>
          <t>Amapá</t>
        </is>
      </c>
      <c r="E68" t="inlineStr">
        <is>
          <t>03_Imparcialidade</t>
        </is>
      </c>
      <c r="F68" t="inlineStr">
        <is>
          <t>Imparcialidade, sigilo e proteção</t>
        </is>
      </c>
      <c r="G68" t="inlineStr">
        <is>
          <t>Item 1 — Proteção e tratamento de denúncias graves e sensíveis</t>
        </is>
      </c>
      <c r="H68" t="inlineStr">
        <is>
          <t>M4-69</t>
        </is>
      </c>
      <c r="I68" t="inlineStr">
        <is>
          <t>03_Imparcialidade:M4-69</t>
        </is>
      </c>
      <c r="J68" t="inlineStr">
        <is>
          <t>Doc. SEI 37070578</t>
        </is>
      </c>
      <c r="K68" t="inlineStr">
        <is>
          <t>2026-09-23T11:46:31</t>
        </is>
      </c>
    </row>
    <row r="69">
      <c r="A69" t="n">
        <v>68</v>
      </c>
      <c r="B69" t="inlineStr">
        <is>
          <t>AP</t>
        </is>
      </c>
      <c r="C69" t="inlineStr">
        <is>
          <t>AP</t>
        </is>
      </c>
      <c r="D69" t="inlineStr">
        <is>
          <t>Amapá</t>
        </is>
      </c>
      <c r="E69" t="inlineStr">
        <is>
          <t>03_Imparcialidade</t>
        </is>
      </c>
      <c r="F69" t="inlineStr">
        <is>
          <t>Imparcialidade, sigilo e proteção</t>
        </is>
      </c>
      <c r="G69" t="inlineStr">
        <is>
          <t>Item 2 — Confidencialidade e sigilo da equipe</t>
        </is>
      </c>
      <c r="H69" t="inlineStr">
        <is>
          <t>M3-63</t>
        </is>
      </c>
      <c r="I69" t="inlineStr">
        <is>
          <t>03_Imparcialidade:M3-63</t>
        </is>
      </c>
      <c r="J69" t="inlineStr">
        <is>
          <t>Doc. SEI 37070578</t>
        </is>
      </c>
      <c r="K69" t="inlineStr">
        <is>
          <t>2026-09-23T11:46:31</t>
        </is>
      </c>
    </row>
    <row r="70">
      <c r="A70" t="n">
        <v>69</v>
      </c>
      <c r="B70" t="inlineStr">
        <is>
          <t>AP</t>
        </is>
      </c>
      <c r="C70" t="inlineStr">
        <is>
          <t>AP</t>
        </is>
      </c>
      <c r="D70" t="inlineStr">
        <is>
          <t>Amapá</t>
        </is>
      </c>
      <c r="E70" t="inlineStr">
        <is>
          <t>04_Acessibilidade</t>
        </is>
      </c>
      <c r="F70" t="inlineStr">
        <is>
          <t>Acessibilidade e atendimento humanizado</t>
        </is>
      </c>
      <c r="G70" t="inlineStr">
        <is>
          <t>Item 1 — Canais institucionais acessíveis</t>
        </is>
      </c>
      <c r="H70" t="inlineStr">
        <is>
          <t>M2-41</t>
        </is>
      </c>
      <c r="I70" t="inlineStr">
        <is>
          <t>04_Acessibilidade:M2-41</t>
        </is>
      </c>
      <c r="J70" t="inlineStr">
        <is>
          <t>Doc. SEI 37070578</t>
        </is>
      </c>
      <c r="K70" t="inlineStr">
        <is>
          <t>2026-09-23T11:46:31</t>
        </is>
      </c>
    </row>
    <row r="71">
      <c r="A71" t="n">
        <v>70</v>
      </c>
      <c r="B71" t="inlineStr">
        <is>
          <t>AP</t>
        </is>
      </c>
      <c r="C71" t="inlineStr">
        <is>
          <t>AP</t>
        </is>
      </c>
      <c r="D71" t="inlineStr">
        <is>
          <t>Amapá</t>
        </is>
      </c>
      <c r="E71" t="inlineStr">
        <is>
          <t>04_Acessibilidade</t>
        </is>
      </c>
      <c r="F71" t="inlineStr">
        <is>
          <t>Acessibilidade e atendimento humanizado</t>
        </is>
      </c>
      <c r="G71" t="inlineStr">
        <is>
          <t>Item 1 — Canais institucionais acessíveis</t>
        </is>
      </c>
      <c r="H71" t="inlineStr">
        <is>
          <t>M2-43</t>
        </is>
      </c>
      <c r="I71" t="inlineStr">
        <is>
          <t>04_Acessibilidade:M2-43</t>
        </is>
      </c>
      <c r="J71" t="inlineStr">
        <is>
          <t>Doc. SEI 37070578</t>
        </is>
      </c>
      <c r="K71" t="inlineStr">
        <is>
          <t>2026-09-23T11:46:31</t>
        </is>
      </c>
    </row>
    <row r="72">
      <c r="A72" t="n">
        <v>71</v>
      </c>
      <c r="B72" t="inlineStr">
        <is>
          <t>AP</t>
        </is>
      </c>
      <c r="C72" t="inlineStr">
        <is>
          <t>AP</t>
        </is>
      </c>
      <c r="D72" t="inlineStr">
        <is>
          <t>Amapá</t>
        </is>
      </c>
      <c r="E72" t="inlineStr">
        <is>
          <t>04_Acessibilidade</t>
        </is>
      </c>
      <c r="F72" t="inlineStr">
        <is>
          <t>Acessibilidade e atendimento humanizado</t>
        </is>
      </c>
      <c r="G72" t="inlineStr">
        <is>
          <t>Item 1 — Canais institucionais acessíveis</t>
        </is>
      </c>
      <c r="H72" t="inlineStr">
        <is>
          <t>M2-47</t>
        </is>
      </c>
      <c r="I72" t="inlineStr">
        <is>
          <t>04_Acessibilidade:M2-47</t>
        </is>
      </c>
      <c r="J72" t="inlineStr">
        <is>
          <t>Doc. SEI 37070578</t>
        </is>
      </c>
      <c r="K72" t="inlineStr">
        <is>
          <t>2026-09-23T11:46:31</t>
        </is>
      </c>
    </row>
    <row r="73">
      <c r="A73" t="n">
        <v>72</v>
      </c>
      <c r="B73" t="inlineStr">
        <is>
          <t>AP</t>
        </is>
      </c>
      <c r="C73" t="inlineStr">
        <is>
          <t>AP</t>
        </is>
      </c>
      <c r="D73" t="inlineStr">
        <is>
          <t>Amapá</t>
        </is>
      </c>
      <c r="E73" t="inlineStr">
        <is>
          <t>04_Acessibilidade</t>
        </is>
      </c>
      <c r="F73" t="inlineStr">
        <is>
          <t>Acessibilidade e atendimento humanizado</t>
        </is>
      </c>
      <c r="G73" t="inlineStr">
        <is>
          <t>Item 2 — Condições de atendimento reservado e acessível</t>
        </is>
      </c>
      <c r="H73" t="inlineStr">
        <is>
          <t>M2-16</t>
        </is>
      </c>
      <c r="I73" t="inlineStr">
        <is>
          <t>04_Acessibilidade:M2-16</t>
        </is>
      </c>
      <c r="J73" t="inlineStr">
        <is>
          <t>Doc. SEI 37070578</t>
        </is>
      </c>
      <c r="K73" t="inlineStr">
        <is>
          <t>2026-09-23T11:46:31</t>
        </is>
      </c>
    </row>
    <row r="74">
      <c r="A74" t="n">
        <v>73</v>
      </c>
      <c r="B74" t="inlineStr">
        <is>
          <t>AP</t>
        </is>
      </c>
      <c r="C74" t="inlineStr">
        <is>
          <t>AP</t>
        </is>
      </c>
      <c r="D74" t="inlineStr">
        <is>
          <t>Amapá</t>
        </is>
      </c>
      <c r="E74" t="inlineStr">
        <is>
          <t>04_Acessibilidade</t>
        </is>
      </c>
      <c r="F74" t="inlineStr">
        <is>
          <t>Acessibilidade e atendimento humanizado</t>
        </is>
      </c>
      <c r="G74" t="inlineStr">
        <is>
          <t>Item 3 — Alcance dos públicos dos serviços penais</t>
        </is>
      </c>
      <c r="H74" t="inlineStr">
        <is>
          <t>M1-13</t>
        </is>
      </c>
      <c r="I74" t="inlineStr">
        <is>
          <t>04_Acessibilidade:M1-13</t>
        </is>
      </c>
      <c r="J74" t="inlineStr">
        <is>
          <t>Doc. SEI 37070578</t>
        </is>
      </c>
      <c r="K74" t="inlineStr">
        <is>
          <t>2026-09-23T11:46:31</t>
        </is>
      </c>
    </row>
    <row r="75">
      <c r="A75" t="n">
        <v>74</v>
      </c>
      <c r="B75" t="inlineStr">
        <is>
          <t>AP</t>
        </is>
      </c>
      <c r="C75" t="inlineStr">
        <is>
          <t>AP</t>
        </is>
      </c>
      <c r="D75" t="inlineStr">
        <is>
          <t>Amapá</t>
        </is>
      </c>
      <c r="E75" t="inlineStr">
        <is>
          <t>04_Acessibilidade</t>
        </is>
      </c>
      <c r="F75" t="inlineStr">
        <is>
          <t>Acessibilidade e atendimento humanizado</t>
        </is>
      </c>
      <c r="G75" t="inlineStr">
        <is>
          <t>Item 3 — Alcance dos públicos dos serviços penais</t>
        </is>
      </c>
      <c r="H75" t="inlineStr">
        <is>
          <t>M4-64</t>
        </is>
      </c>
      <c r="I75" t="inlineStr">
        <is>
          <t>04_Acessibilidade:M4-64</t>
        </is>
      </c>
      <c r="J75" t="inlineStr">
        <is>
          <t>Doc. SEI 37070578</t>
        </is>
      </c>
      <c r="K75" t="inlineStr">
        <is>
          <t>2026-09-23T11:46:31</t>
        </is>
      </c>
    </row>
    <row r="76">
      <c r="A76" t="n">
        <v>75</v>
      </c>
      <c r="B76" t="inlineStr">
        <is>
          <t>AP</t>
        </is>
      </c>
      <c r="C76" t="inlineStr">
        <is>
          <t>AP</t>
        </is>
      </c>
      <c r="D76" t="inlineStr">
        <is>
          <t>Amapá</t>
        </is>
      </c>
      <c r="E76" t="inlineStr">
        <is>
          <t>05_Transparência</t>
        </is>
      </c>
      <c r="F76" t="inlineStr">
        <is>
          <t>Transparência e publicidade</t>
        </is>
      </c>
      <c r="G76" t="inlineStr">
        <is>
          <t>Item 1 — Visibilidade institucional e divulgação dos canais</t>
        </is>
      </c>
      <c r="H76" t="inlineStr">
        <is>
          <t>M2-35</t>
        </is>
      </c>
      <c r="I76" t="inlineStr">
        <is>
          <t>05_Transparência:M2-35</t>
        </is>
      </c>
      <c r="J76" t="inlineStr">
        <is>
          <t>Doc. SEI 37070578</t>
        </is>
      </c>
      <c r="K76" t="inlineStr">
        <is>
          <t>2026-09-23T11:46:31</t>
        </is>
      </c>
    </row>
    <row r="77">
      <c r="A77" t="n">
        <v>76</v>
      </c>
      <c r="B77" t="inlineStr">
        <is>
          <t>AP</t>
        </is>
      </c>
      <c r="C77" t="inlineStr">
        <is>
          <t>AP</t>
        </is>
      </c>
      <c r="D77" t="inlineStr">
        <is>
          <t>Amapá</t>
        </is>
      </c>
      <c r="E77" t="inlineStr">
        <is>
          <t>05_Transparência</t>
        </is>
      </c>
      <c r="F77" t="inlineStr">
        <is>
          <t>Transparência e publicidade</t>
        </is>
      </c>
      <c r="G77" t="inlineStr">
        <is>
          <t>Item 2 — Publicidade das ações e atividades</t>
        </is>
      </c>
      <c r="H77" t="inlineStr">
        <is>
          <t>M4-71</t>
        </is>
      </c>
      <c r="I77" t="inlineStr">
        <is>
          <t>05_Transparência:M4-71</t>
        </is>
      </c>
      <c r="J77" t="inlineStr">
        <is>
          <t>Doc. SEI 37070578</t>
        </is>
      </c>
      <c r="K77" t="inlineStr">
        <is>
          <t>2026-09-23T11:46:31</t>
        </is>
      </c>
    </row>
    <row r="78">
      <c r="A78" t="n">
        <v>77</v>
      </c>
      <c r="B78" t="inlineStr">
        <is>
          <t>AP</t>
        </is>
      </c>
      <c r="C78" t="inlineStr">
        <is>
          <t>AP</t>
        </is>
      </c>
      <c r="D78" t="inlineStr">
        <is>
          <t>Amapá</t>
        </is>
      </c>
      <c r="E78" t="inlineStr">
        <is>
          <t>06_Integração Tec</t>
        </is>
      </c>
      <c r="F78" t="inlineStr">
        <is>
          <t>Integração tecnológica</t>
        </is>
      </c>
      <c r="G78" t="inlineStr">
        <is>
          <t>Item 1 — Canal eletrônico e solução para registro e gestão das manifestações</t>
        </is>
      </c>
      <c r="H78" t="inlineStr">
        <is>
          <t>M2-45</t>
        </is>
      </c>
      <c r="I78" t="inlineStr">
        <is>
          <t>06_Integração Tec:M2-45</t>
        </is>
      </c>
      <c r="J78" t="inlineStr">
        <is>
          <t>Doc. SEI 37070578</t>
        </is>
      </c>
      <c r="K78" t="inlineStr">
        <is>
          <t>2026-09-23T11:46:31</t>
        </is>
      </c>
    </row>
    <row r="79">
      <c r="A79" t="n">
        <v>78</v>
      </c>
      <c r="B79" t="inlineStr">
        <is>
          <t>AP</t>
        </is>
      </c>
      <c r="C79" t="inlineStr">
        <is>
          <t>AP</t>
        </is>
      </c>
      <c r="D79" t="inlineStr">
        <is>
          <t>Amapá</t>
        </is>
      </c>
      <c r="E79" t="inlineStr">
        <is>
          <t>06_Integração Tec</t>
        </is>
      </c>
      <c r="F79" t="inlineStr">
        <is>
          <t>Integração tecnológica</t>
        </is>
      </c>
      <c r="G79" t="inlineStr">
        <is>
          <t>Item 2 — Registro, protocolo, rastreabilidade e acompanhamento</t>
        </is>
      </c>
      <c r="H79" t="inlineStr">
        <is>
          <t>M4-66</t>
        </is>
      </c>
      <c r="I79" t="inlineStr">
        <is>
          <t>06_Integração Tec:M4-66</t>
        </is>
      </c>
      <c r="J79" t="inlineStr">
        <is>
          <t>Doc. SEI 37070578</t>
        </is>
      </c>
      <c r="K79" t="inlineStr">
        <is>
          <t>2026-09-23T11:46:31</t>
        </is>
      </c>
    </row>
    <row r="80">
      <c r="A80" t="n">
        <v>79</v>
      </c>
      <c r="B80" t="inlineStr">
        <is>
          <t>AP</t>
        </is>
      </c>
      <c r="C80" t="inlineStr">
        <is>
          <t>AP</t>
        </is>
      </c>
      <c r="D80" t="inlineStr">
        <is>
          <t>Amapá</t>
        </is>
      </c>
      <c r="E80" t="inlineStr">
        <is>
          <t>06_Integração Tec</t>
        </is>
      </c>
      <c r="F80" t="inlineStr">
        <is>
          <t>Integração tecnológica</t>
        </is>
      </c>
      <c r="G80" t="inlineStr">
        <is>
          <t>Item 3 — Sigilo, autenticação e controle de acesso</t>
        </is>
      </c>
      <c r="H80" t="inlineStr">
        <is>
          <t>M2-37</t>
        </is>
      </c>
      <c r="I80" t="inlineStr">
        <is>
          <t>06_Integração Tec:M2-37</t>
        </is>
      </c>
      <c r="J80" t="inlineStr">
        <is>
          <t>Doc. SEI 37070578</t>
        </is>
      </c>
      <c r="K80" t="inlineStr">
        <is>
          <t>2026-09-23T11:46:31</t>
        </is>
      </c>
    </row>
    <row r="81">
      <c r="A81" t="n">
        <v>80</v>
      </c>
      <c r="B81" t="inlineStr">
        <is>
          <t>AP</t>
        </is>
      </c>
      <c r="C81" t="inlineStr">
        <is>
          <t>AP</t>
        </is>
      </c>
      <c r="D81" t="inlineStr">
        <is>
          <t>Amapá</t>
        </is>
      </c>
      <c r="E81" t="inlineStr">
        <is>
          <t>06_Integração Tec</t>
        </is>
      </c>
      <c r="F81" t="inlineStr">
        <is>
          <t>Integração tecnológica</t>
        </is>
      </c>
      <c r="G81" t="inlineStr">
        <is>
          <t>Item 4 — Computadores e acesso à internet</t>
        </is>
      </c>
      <c r="H81" t="inlineStr">
        <is>
          <t>M2-17</t>
        </is>
      </c>
      <c r="I81" t="inlineStr">
        <is>
          <t>06_Integração Tec:M2-17</t>
        </is>
      </c>
      <c r="J81" t="inlineStr">
        <is>
          <t>Doc. SEI 37070578</t>
        </is>
      </c>
      <c r="K81" t="inlineStr">
        <is>
          <t>2026-09-23T11:46:31</t>
        </is>
      </c>
    </row>
    <row r="82">
      <c r="A82" t="n">
        <v>81</v>
      </c>
      <c r="B82" t="inlineStr">
        <is>
          <t>AP</t>
        </is>
      </c>
      <c r="C82" t="inlineStr">
        <is>
          <t>AP</t>
        </is>
      </c>
      <c r="D82" t="inlineStr">
        <is>
          <t>Amapá</t>
        </is>
      </c>
      <c r="E82" t="inlineStr">
        <is>
          <t>06_Integração Tec</t>
        </is>
      </c>
      <c r="F82" t="inlineStr">
        <is>
          <t>Integração tecnológica</t>
        </is>
      </c>
      <c r="G82" t="inlineStr">
        <is>
          <t>Item 5 — Impressoras e scanners</t>
        </is>
      </c>
      <c r="H82" t="inlineStr">
        <is>
          <t>M2-19</t>
        </is>
      </c>
      <c r="I82" t="inlineStr">
        <is>
          <t>06_Integração Tec:M2-19</t>
        </is>
      </c>
      <c r="J82" t="inlineStr">
        <is>
          <t>Doc. SEI 37070578</t>
        </is>
      </c>
      <c r="K82" t="inlineStr">
        <is>
          <t>2026-09-23T11:46:31</t>
        </is>
      </c>
    </row>
    <row r="83">
      <c r="A83" t="n">
        <v>82</v>
      </c>
      <c r="B83" t="inlineStr">
        <is>
          <t>AP</t>
        </is>
      </c>
      <c r="C83" t="inlineStr">
        <is>
          <t>AP</t>
        </is>
      </c>
      <c r="D83" t="inlineStr">
        <is>
          <t>Amapá</t>
        </is>
      </c>
      <c r="E83" t="inlineStr">
        <is>
          <t>06_Integração Tec</t>
        </is>
      </c>
      <c r="F83" t="inlineStr">
        <is>
          <t>Integração tecnológica</t>
        </is>
      </c>
      <c r="G83" t="inlineStr">
        <is>
          <t>Item 5 — Impressoras e scanners</t>
        </is>
      </c>
      <c r="H83" t="inlineStr">
        <is>
          <t>M2-21</t>
        </is>
      </c>
      <c r="I83" t="inlineStr">
        <is>
          <t>06_Integração Tec:M2-21</t>
        </is>
      </c>
      <c r="J83" t="inlineStr">
        <is>
          <t>Doc. SEI 37070578</t>
        </is>
      </c>
      <c r="K83" t="inlineStr">
        <is>
          <t>2026-09-23T11:46:31</t>
        </is>
      </c>
    </row>
    <row r="84">
      <c r="A84" t="n">
        <v>83</v>
      </c>
      <c r="B84" t="inlineStr">
        <is>
          <t>AP</t>
        </is>
      </c>
      <c r="C84" t="inlineStr">
        <is>
          <t>AP</t>
        </is>
      </c>
      <c r="D84" t="inlineStr">
        <is>
          <t>Amapá</t>
        </is>
      </c>
      <c r="E84" t="inlineStr">
        <is>
          <t>06_Integração Tec</t>
        </is>
      </c>
      <c r="F84" t="inlineStr">
        <is>
          <t>Integração tecnológica</t>
        </is>
      </c>
      <c r="G84" t="inlineStr">
        <is>
          <t>Item 6 — Aparelhos de telefone celular</t>
        </is>
      </c>
      <c r="H84" t="inlineStr">
        <is>
          <t>M2-27</t>
        </is>
      </c>
      <c r="I84" t="inlineStr">
        <is>
          <t>06_Integração Tec:M2-27</t>
        </is>
      </c>
      <c r="J84" t="inlineStr">
        <is>
          <t>Doc. SEI 37070578</t>
        </is>
      </c>
      <c r="K84" t="inlineStr">
        <is>
          <t>2026-09-23T11:46:31</t>
        </is>
      </c>
    </row>
    <row r="85">
      <c r="A85" t="n">
        <v>84</v>
      </c>
      <c r="B85" t="inlineStr">
        <is>
          <t>AP</t>
        </is>
      </c>
      <c r="C85" t="inlineStr">
        <is>
          <t>AP</t>
        </is>
      </c>
      <c r="D85" t="inlineStr">
        <is>
          <t>Amapá</t>
        </is>
      </c>
      <c r="E85" t="inlineStr">
        <is>
          <t>07_Maturidade</t>
        </is>
      </c>
      <c r="F85" t="inlineStr">
        <is>
          <t>Maturidade / bônus</t>
        </is>
      </c>
      <c r="G85" t="inlineStr">
        <is>
          <t>Bônus — Uso do canal Fala.BR</t>
        </is>
      </c>
      <c r="H85" t="inlineStr">
        <is>
          <t>M2-46</t>
        </is>
      </c>
      <c r="I85" t="inlineStr">
        <is>
          <t>07_Maturidade:M2-46</t>
        </is>
      </c>
      <c r="J85" t="inlineStr">
        <is>
          <t>Doc. SEI 37070578</t>
        </is>
      </c>
      <c r="K85" t="inlineStr">
        <is>
          <t>2026-09-23T11:46:31</t>
        </is>
      </c>
    </row>
    <row r="86">
      <c r="A86" t="n">
        <v>85</v>
      </c>
      <c r="B86" t="inlineStr">
        <is>
          <t>AP</t>
        </is>
      </c>
      <c r="C86" t="inlineStr">
        <is>
          <t>AP</t>
        </is>
      </c>
      <c r="D86" t="inlineStr">
        <is>
          <t>Amapá</t>
        </is>
      </c>
      <c r="E86" t="inlineStr">
        <is>
          <t>07_Maturidade</t>
        </is>
      </c>
      <c r="F86" t="inlineStr">
        <is>
          <t>Maturidade / bônus</t>
        </is>
      </c>
      <c r="G86" t="inlineStr">
        <is>
          <t>Bônus — Designação por mandato</t>
        </is>
      </c>
      <c r="H86" t="inlineStr">
        <is>
          <t>M0-08</t>
        </is>
      </c>
      <c r="I86" t="inlineStr">
        <is>
          <t>07_Maturidade:M0-08</t>
        </is>
      </c>
      <c r="J86" t="inlineStr">
        <is>
          <t>Doc. SEI 37070578</t>
        </is>
      </c>
      <c r="K86" t="inlineStr">
        <is>
          <t>2026-09-23T11:46:31</t>
        </is>
      </c>
    </row>
    <row r="87">
      <c r="A87" t="n">
        <v>86</v>
      </c>
      <c r="B87" t="inlineStr">
        <is>
          <t>AP</t>
        </is>
      </c>
      <c r="C87" t="inlineStr">
        <is>
          <t>AP</t>
        </is>
      </c>
      <c r="D87" t="inlineStr">
        <is>
          <t>Amapá</t>
        </is>
      </c>
      <c r="E87" t="inlineStr">
        <is>
          <t>07_Maturidade</t>
        </is>
      </c>
      <c r="F87" t="inlineStr">
        <is>
          <t>Maturidade / bônus</t>
        </is>
      </c>
      <c r="G87" t="inlineStr">
        <is>
          <t>Bônus — Dedicação da equipe</t>
        </is>
      </c>
      <c r="H87" t="inlineStr">
        <is>
          <t>M3-60</t>
        </is>
      </c>
      <c r="I87" t="inlineStr">
        <is>
          <t>07_Maturidade:M3-60</t>
        </is>
      </c>
      <c r="J87" t="inlineStr">
        <is>
          <t>Doc. SEI 37070578</t>
        </is>
      </c>
      <c r="K87" t="inlineStr">
        <is>
          <t>2026-09-23T11:46:31</t>
        </is>
      </c>
    </row>
    <row r="88">
      <c r="A88" t="n">
        <v>87</v>
      </c>
      <c r="B88" t="inlineStr">
        <is>
          <t>AP</t>
        </is>
      </c>
      <c r="C88" t="inlineStr">
        <is>
          <t>AP</t>
        </is>
      </c>
      <c r="D88" t="inlineStr">
        <is>
          <t>Amapá</t>
        </is>
      </c>
      <c r="E88" t="inlineStr">
        <is>
          <t>07_Maturidade</t>
        </is>
      </c>
      <c r="F88" t="inlineStr">
        <is>
          <t>Maturidade / bônus</t>
        </is>
      </c>
      <c r="G88" t="inlineStr">
        <is>
          <t>Bônus — Requisitos de perfil para o cargo de Ouvidor</t>
        </is>
      </c>
      <c r="H88" t="inlineStr">
        <is>
          <t>M3-58</t>
        </is>
      </c>
      <c r="I88" t="inlineStr">
        <is>
          <t>07_Maturidade:M3-58</t>
        </is>
      </c>
      <c r="J88" t="inlineStr">
        <is>
          <t>Doc. SEI 37070578</t>
        </is>
      </c>
      <c r="K88" t="inlineStr">
        <is>
          <t>2026-09-23T11:46:31</t>
        </is>
      </c>
    </row>
    <row r="89">
      <c r="A89" t="n">
        <v>88</v>
      </c>
      <c r="B89" t="inlineStr">
        <is>
          <t>AP</t>
        </is>
      </c>
      <c r="C89" t="inlineStr">
        <is>
          <t>AP</t>
        </is>
      </c>
      <c r="D89" t="inlineStr">
        <is>
          <t>Amapá</t>
        </is>
      </c>
      <c r="E89" t="inlineStr">
        <is>
          <t>07_Maturidade</t>
        </is>
      </c>
      <c r="F89" t="inlineStr">
        <is>
          <t>Maturidade / bônus</t>
        </is>
      </c>
      <c r="G89" t="inlineStr">
        <is>
          <t>Bônus — WhatsApp institucional</t>
        </is>
      </c>
      <c r="H89" t="inlineStr">
        <is>
          <t>M2-50</t>
        </is>
      </c>
      <c r="I89" t="inlineStr">
        <is>
          <t>07_Maturidade:M2-50</t>
        </is>
      </c>
      <c r="J89" t="inlineStr">
        <is>
          <t>Doc. SEI 37070578</t>
        </is>
      </c>
      <c r="K89" t="inlineStr">
        <is>
          <t>2026-09-23T11:46:31</t>
        </is>
      </c>
    </row>
    <row r="90">
      <c r="A90" t="n">
        <v>89</v>
      </c>
      <c r="B90" t="inlineStr">
        <is>
          <t>AP</t>
        </is>
      </c>
      <c r="C90" t="inlineStr">
        <is>
          <t>AP</t>
        </is>
      </c>
      <c r="D90" t="inlineStr">
        <is>
          <t>Amapá</t>
        </is>
      </c>
      <c r="E90" t="inlineStr">
        <is>
          <t>07_Maturidade</t>
        </is>
      </c>
      <c r="F90" t="inlineStr">
        <is>
          <t>Maturidade / bônus</t>
        </is>
      </c>
      <c r="G90" t="inlineStr">
        <is>
          <t>Bônus — Outros canais eletrônicos institucionais</t>
        </is>
      </c>
      <c r="H90" t="inlineStr">
        <is>
          <t>M2-49</t>
        </is>
      </c>
      <c r="I90" t="inlineStr">
        <is>
          <t>07_Maturidade:M2-49</t>
        </is>
      </c>
      <c r="J90" t="inlineStr">
        <is>
          <t>Doc. SEI 37070578</t>
        </is>
      </c>
      <c r="K90" t="inlineStr">
        <is>
          <t>2026-09-23T11:46:31</t>
        </is>
      </c>
    </row>
    <row r="91">
      <c r="A91" t="n">
        <v>90</v>
      </c>
      <c r="B91" t="inlineStr">
        <is>
          <t>AP</t>
        </is>
      </c>
      <c r="C91" t="inlineStr">
        <is>
          <t>AP</t>
        </is>
      </c>
      <c r="D91" t="inlineStr">
        <is>
          <t>Amapá</t>
        </is>
      </c>
      <c r="E91" t="inlineStr">
        <is>
          <t>07_Maturidade</t>
        </is>
      </c>
      <c r="F91" t="inlineStr">
        <is>
          <t>Maturidade / bônus</t>
        </is>
      </c>
      <c r="G91" t="inlineStr">
        <is>
          <t>Bônus — Materiais adicionais de divulgação e educação em direitos</t>
        </is>
      </c>
      <c r="H91" t="inlineStr">
        <is>
          <t>M2-36</t>
        </is>
      </c>
      <c r="I91" t="inlineStr">
        <is>
          <t>07_Maturidade:M2-36</t>
        </is>
      </c>
      <c r="J91" t="inlineStr">
        <is>
          <t>Doc. SEI 37070578</t>
        </is>
      </c>
      <c r="K91" t="inlineStr">
        <is>
          <t>2026-09-23T11:46:31</t>
        </is>
      </c>
    </row>
    <row r="92">
      <c r="A92" t="n">
        <v>91</v>
      </c>
      <c r="B92" t="inlineStr">
        <is>
          <t>AM</t>
        </is>
      </c>
      <c r="C92" t="inlineStr">
        <is>
          <t>AM</t>
        </is>
      </c>
      <c r="D92" t="inlineStr">
        <is>
          <t>Amazonas</t>
        </is>
      </c>
      <c r="E92" t="inlineStr">
        <is>
          <t>01_Institucionalização</t>
        </is>
      </c>
      <c r="F92" t="inlineStr">
        <is>
          <t>Institucionalização</t>
        </is>
      </c>
      <c r="G92" t="inlineStr">
        <is>
          <t>Item 1 — Instituição formal da Ouvidoria de Serviços Penais</t>
        </is>
      </c>
      <c r="H92" t="inlineStr">
        <is>
          <t>M1-11</t>
        </is>
      </c>
      <c r="I92" t="inlineStr">
        <is>
          <t>01_Institucionalização:M1-11</t>
        </is>
      </c>
      <c r="J92" t="inlineStr">
        <is>
          <t>Doc. SEI 37070578</t>
        </is>
      </c>
      <c r="K92" t="inlineStr">
        <is>
          <t>2026-09-23T11:46:31</t>
        </is>
      </c>
    </row>
    <row r="93">
      <c r="A93" t="n">
        <v>92</v>
      </c>
      <c r="B93" t="inlineStr">
        <is>
          <t>AM</t>
        </is>
      </c>
      <c r="C93" t="inlineStr">
        <is>
          <t>AM</t>
        </is>
      </c>
      <c r="D93" t="inlineStr">
        <is>
          <t>Amazonas</t>
        </is>
      </c>
      <c r="E93" t="inlineStr">
        <is>
          <t>02_Autonomia</t>
        </is>
      </c>
      <c r="F93" t="inlineStr">
        <is>
          <t>Autonomia técnica e funcional</t>
        </is>
      </c>
      <c r="G93" t="inlineStr">
        <is>
          <t>Item 1 — Garantia normativa de autonomia técnica/funcional</t>
        </is>
      </c>
      <c r="H93" t="inlineStr">
        <is>
          <t>M3-56</t>
        </is>
      </c>
      <c r="I93" t="inlineStr">
        <is>
          <t>02_Autonomia:M3-56</t>
        </is>
      </c>
      <c r="J93" t="inlineStr">
        <is>
          <t>Doc. SEI 37070578</t>
        </is>
      </c>
      <c r="K93" t="inlineStr">
        <is>
          <t>2026-09-23T11:46:31</t>
        </is>
      </c>
    </row>
    <row r="94">
      <c r="A94" t="n">
        <v>93</v>
      </c>
      <c r="B94" t="inlineStr">
        <is>
          <t>AM</t>
        </is>
      </c>
      <c r="C94" t="inlineStr">
        <is>
          <t>AM</t>
        </is>
      </c>
      <c r="D94" t="inlineStr">
        <is>
          <t>Amazonas</t>
        </is>
      </c>
      <c r="E94" t="inlineStr">
        <is>
          <t>02_Autonomia</t>
        </is>
      </c>
      <c r="F94" t="inlineStr">
        <is>
          <t>Autonomia técnica e funcional</t>
        </is>
      </c>
      <c r="G94" t="inlineStr">
        <is>
          <t>Item 1 — Garantia normativa de autonomia técnica/funcional</t>
        </is>
      </c>
      <c r="H94" t="inlineStr">
        <is>
          <t>M3-57</t>
        </is>
      </c>
      <c r="I94" t="inlineStr">
        <is>
          <t>02_Autonomia:M3-57</t>
        </is>
      </c>
      <c r="J94" t="inlineStr">
        <is>
          <t>Doc. SEI 37070578</t>
        </is>
      </c>
      <c r="K94" t="inlineStr">
        <is>
          <t>2026-09-23T11:46:31</t>
        </is>
      </c>
    </row>
    <row r="95">
      <c r="A95" t="n">
        <v>94</v>
      </c>
      <c r="B95" t="inlineStr">
        <is>
          <t>AM</t>
        </is>
      </c>
      <c r="C95" t="inlineStr">
        <is>
          <t>AM</t>
        </is>
      </c>
      <c r="D95" t="inlineStr">
        <is>
          <t>Amazonas</t>
        </is>
      </c>
      <c r="E95" t="inlineStr">
        <is>
          <t>02_Autonomia</t>
        </is>
      </c>
      <c r="F95" t="inlineStr">
        <is>
          <t>Autonomia técnica e funcional</t>
        </is>
      </c>
      <c r="G95" t="inlineStr">
        <is>
          <t>Item 2 — Condições institucionais de atuação sem interferência indevida</t>
        </is>
      </c>
      <c r="H95" t="inlineStr">
        <is>
          <t>M1-12</t>
        </is>
      </c>
      <c r="I95" t="inlineStr">
        <is>
          <t>02_Autonomia:M1-12</t>
        </is>
      </c>
      <c r="J95" t="inlineStr">
        <is>
          <t>Doc. SEI 37070578</t>
        </is>
      </c>
      <c r="K95" t="inlineStr">
        <is>
          <t>2026-09-23T11:46:31</t>
        </is>
      </c>
    </row>
    <row r="96">
      <c r="A96" t="n">
        <v>95</v>
      </c>
      <c r="B96" t="inlineStr">
        <is>
          <t>AM</t>
        </is>
      </c>
      <c r="C96" t="inlineStr">
        <is>
          <t>AM</t>
        </is>
      </c>
      <c r="D96" t="inlineStr">
        <is>
          <t>Amazonas</t>
        </is>
      </c>
      <c r="E96" t="inlineStr">
        <is>
          <t>02_Autonomia</t>
        </is>
      </c>
      <c r="F96" t="inlineStr">
        <is>
          <t>Autonomia técnica e funcional</t>
        </is>
      </c>
      <c r="G96" t="inlineStr">
        <is>
          <t>Item 2 — Condições institucionais de atuação sem interferência indevida</t>
        </is>
      </c>
      <c r="H96" t="inlineStr">
        <is>
          <t>M4-67</t>
        </is>
      </c>
      <c r="I96" t="inlineStr">
        <is>
          <t>02_Autonomia:M4-67</t>
        </is>
      </c>
      <c r="J96" t="inlineStr">
        <is>
          <t>Doc. SEI 37070578</t>
        </is>
      </c>
      <c r="K96" t="inlineStr">
        <is>
          <t>2026-09-23T11:46:31</t>
        </is>
      </c>
    </row>
    <row r="97">
      <c r="A97" t="n">
        <v>96</v>
      </c>
      <c r="B97" t="inlineStr">
        <is>
          <t>AM</t>
        </is>
      </c>
      <c r="C97" t="inlineStr">
        <is>
          <t>AM</t>
        </is>
      </c>
      <c r="D97" t="inlineStr">
        <is>
          <t>Amazonas</t>
        </is>
      </c>
      <c r="E97" t="inlineStr">
        <is>
          <t>02_Autonomia</t>
        </is>
      </c>
      <c r="F97" t="inlineStr">
        <is>
          <t>Autonomia técnica e funcional</t>
        </is>
      </c>
      <c r="G97" t="inlineStr">
        <is>
          <t>Item 2 — Condições institucionais de atuação sem interferência indevida</t>
        </is>
      </c>
      <c r="H97" t="inlineStr">
        <is>
          <t>M4-68</t>
        </is>
      </c>
      <c r="I97" t="inlineStr">
        <is>
          <t>02_Autonomia:M4-68</t>
        </is>
      </c>
      <c r="J97" t="inlineStr">
        <is>
          <t>Doc. SEI 37070578</t>
        </is>
      </c>
      <c r="K97" t="inlineStr">
        <is>
          <t>2026-09-23T11:46:31</t>
        </is>
      </c>
    </row>
    <row r="98">
      <c r="A98" t="n">
        <v>97</v>
      </c>
      <c r="B98" t="inlineStr">
        <is>
          <t>AM</t>
        </is>
      </c>
      <c r="C98" t="inlineStr">
        <is>
          <t>AM</t>
        </is>
      </c>
      <c r="D98" t="inlineStr">
        <is>
          <t>Amazonas</t>
        </is>
      </c>
      <c r="E98" t="inlineStr">
        <is>
          <t>03_Imparcialidade</t>
        </is>
      </c>
      <c r="F98" t="inlineStr">
        <is>
          <t>Imparcialidade, sigilo e proteção</t>
        </is>
      </c>
      <c r="G98" t="inlineStr">
        <is>
          <t>Item 1 — Proteção e tratamento de denúncias graves e sensíveis</t>
        </is>
      </c>
      <c r="H98" t="inlineStr">
        <is>
          <t>M4-69</t>
        </is>
      </c>
      <c r="I98" t="inlineStr">
        <is>
          <t>03_Imparcialidade:M4-69</t>
        </is>
      </c>
      <c r="J98" t="inlineStr">
        <is>
          <t>Doc. SEI 37070578</t>
        </is>
      </c>
      <c r="K98" t="inlineStr">
        <is>
          <t>2026-09-23T11:46:31</t>
        </is>
      </c>
    </row>
    <row r="99">
      <c r="A99" t="n">
        <v>98</v>
      </c>
      <c r="B99" t="inlineStr">
        <is>
          <t>AM</t>
        </is>
      </c>
      <c r="C99" t="inlineStr">
        <is>
          <t>AM</t>
        </is>
      </c>
      <c r="D99" t="inlineStr">
        <is>
          <t>Amazonas</t>
        </is>
      </c>
      <c r="E99" t="inlineStr">
        <is>
          <t>03_Imparcialidade</t>
        </is>
      </c>
      <c r="F99" t="inlineStr">
        <is>
          <t>Imparcialidade, sigilo e proteção</t>
        </is>
      </c>
      <c r="G99" t="inlineStr">
        <is>
          <t>Item 2 — Confidencialidade e sigilo da equipe</t>
        </is>
      </c>
      <c r="H99" t="inlineStr">
        <is>
          <t>M3-63</t>
        </is>
      </c>
      <c r="I99" t="inlineStr">
        <is>
          <t>03_Imparcialidade:M3-63</t>
        </is>
      </c>
      <c r="J99" t="inlineStr">
        <is>
          <t>Doc. SEI 37070578</t>
        </is>
      </c>
      <c r="K99" t="inlineStr">
        <is>
          <t>2026-09-23T11:46:31</t>
        </is>
      </c>
    </row>
    <row r="100">
      <c r="A100" t="n">
        <v>99</v>
      </c>
      <c r="B100" t="inlineStr">
        <is>
          <t>AM</t>
        </is>
      </c>
      <c r="C100" t="inlineStr">
        <is>
          <t>AM</t>
        </is>
      </c>
      <c r="D100" t="inlineStr">
        <is>
          <t>Amazonas</t>
        </is>
      </c>
      <c r="E100" t="inlineStr">
        <is>
          <t>04_Acessibilidade</t>
        </is>
      </c>
      <c r="F100" t="inlineStr">
        <is>
          <t>Acessibilidade e atendimento humanizado</t>
        </is>
      </c>
      <c r="G100" t="inlineStr">
        <is>
          <t>Item 1 — Canais institucionais acessíveis</t>
        </is>
      </c>
      <c r="H100" t="inlineStr">
        <is>
          <t>M2-41</t>
        </is>
      </c>
      <c r="I100" t="inlineStr">
        <is>
          <t>04_Acessibilidade:M2-41</t>
        </is>
      </c>
      <c r="J100" t="inlineStr">
        <is>
          <t>Doc. SEI 37070578</t>
        </is>
      </c>
      <c r="K100" t="inlineStr">
        <is>
          <t>2026-09-23T11:46:31</t>
        </is>
      </c>
    </row>
    <row r="101">
      <c r="A101" t="n">
        <v>100</v>
      </c>
      <c r="B101" t="inlineStr">
        <is>
          <t>AM</t>
        </is>
      </c>
      <c r="C101" t="inlineStr">
        <is>
          <t>AM</t>
        </is>
      </c>
      <c r="D101" t="inlineStr">
        <is>
          <t>Amazonas</t>
        </is>
      </c>
      <c r="E101" t="inlineStr">
        <is>
          <t>04_Acessibilidade</t>
        </is>
      </c>
      <c r="F101" t="inlineStr">
        <is>
          <t>Acessibilidade e atendimento humanizado</t>
        </is>
      </c>
      <c r="G101" t="inlineStr">
        <is>
          <t>Item 1 — Canais institucionais acessíveis</t>
        </is>
      </c>
      <c r="H101" t="inlineStr">
        <is>
          <t>M2-43</t>
        </is>
      </c>
      <c r="I101" t="inlineStr">
        <is>
          <t>04_Acessibilidade:M2-43</t>
        </is>
      </c>
      <c r="J101" t="inlineStr">
        <is>
          <t>Doc. SEI 37070578</t>
        </is>
      </c>
      <c r="K101" t="inlineStr">
        <is>
          <t>2026-09-23T11:46:31</t>
        </is>
      </c>
    </row>
    <row r="102">
      <c r="A102" t="n">
        <v>101</v>
      </c>
      <c r="B102" t="inlineStr">
        <is>
          <t>AM</t>
        </is>
      </c>
      <c r="C102" t="inlineStr">
        <is>
          <t>AM</t>
        </is>
      </c>
      <c r="D102" t="inlineStr">
        <is>
          <t>Amazonas</t>
        </is>
      </c>
      <c r="E102" t="inlineStr">
        <is>
          <t>04_Acessibilidade</t>
        </is>
      </c>
      <c r="F102" t="inlineStr">
        <is>
          <t>Acessibilidade e atendimento humanizado</t>
        </is>
      </c>
      <c r="G102" t="inlineStr">
        <is>
          <t>Item 1 — Canais institucionais acessíveis</t>
        </is>
      </c>
      <c r="H102" t="inlineStr">
        <is>
          <t>M2-47</t>
        </is>
      </c>
      <c r="I102" t="inlineStr">
        <is>
          <t>04_Acessibilidade:M2-47</t>
        </is>
      </c>
      <c r="J102" t="inlineStr">
        <is>
          <t>Doc. SEI 37070578</t>
        </is>
      </c>
      <c r="K102" t="inlineStr">
        <is>
          <t>2026-09-23T11:46:31</t>
        </is>
      </c>
    </row>
    <row r="103">
      <c r="A103" t="n">
        <v>102</v>
      </c>
      <c r="B103" t="inlineStr">
        <is>
          <t>AM</t>
        </is>
      </c>
      <c r="C103" t="inlineStr">
        <is>
          <t>AM</t>
        </is>
      </c>
      <c r="D103" t="inlineStr">
        <is>
          <t>Amazonas</t>
        </is>
      </c>
      <c r="E103" t="inlineStr">
        <is>
          <t>04_Acessibilidade</t>
        </is>
      </c>
      <c r="F103" t="inlineStr">
        <is>
          <t>Acessibilidade e atendimento humanizado</t>
        </is>
      </c>
      <c r="G103" t="inlineStr">
        <is>
          <t>Item 2 — Condições de atendimento reservado e acessível</t>
        </is>
      </c>
      <c r="H103" t="inlineStr">
        <is>
          <t>M2-16</t>
        </is>
      </c>
      <c r="I103" t="inlineStr">
        <is>
          <t>04_Acessibilidade:M2-16</t>
        </is>
      </c>
      <c r="J103" t="inlineStr">
        <is>
          <t>Doc. SEI 37070578</t>
        </is>
      </c>
      <c r="K103" t="inlineStr">
        <is>
          <t>2026-09-23T11:46:31</t>
        </is>
      </c>
    </row>
    <row r="104">
      <c r="A104" t="n">
        <v>103</v>
      </c>
      <c r="B104" t="inlineStr">
        <is>
          <t>AM</t>
        </is>
      </c>
      <c r="C104" t="inlineStr">
        <is>
          <t>AM</t>
        </is>
      </c>
      <c r="D104" t="inlineStr">
        <is>
          <t>Amazonas</t>
        </is>
      </c>
      <c r="E104" t="inlineStr">
        <is>
          <t>04_Acessibilidade</t>
        </is>
      </c>
      <c r="F104" t="inlineStr">
        <is>
          <t>Acessibilidade e atendimento humanizado</t>
        </is>
      </c>
      <c r="G104" t="inlineStr">
        <is>
          <t>Item 3 — Alcance dos públicos dos serviços penais</t>
        </is>
      </c>
      <c r="H104" t="inlineStr">
        <is>
          <t>M1-13</t>
        </is>
      </c>
      <c r="I104" t="inlineStr">
        <is>
          <t>04_Acessibilidade:M1-13</t>
        </is>
      </c>
      <c r="J104" t="inlineStr">
        <is>
          <t>Doc. SEI 37070578</t>
        </is>
      </c>
      <c r="K104" t="inlineStr">
        <is>
          <t>2026-09-23T11:46:31</t>
        </is>
      </c>
    </row>
    <row r="105">
      <c r="A105" t="n">
        <v>104</v>
      </c>
      <c r="B105" t="inlineStr">
        <is>
          <t>AM</t>
        </is>
      </c>
      <c r="C105" t="inlineStr">
        <is>
          <t>AM</t>
        </is>
      </c>
      <c r="D105" t="inlineStr">
        <is>
          <t>Amazonas</t>
        </is>
      </c>
      <c r="E105" t="inlineStr">
        <is>
          <t>04_Acessibilidade</t>
        </is>
      </c>
      <c r="F105" t="inlineStr">
        <is>
          <t>Acessibilidade e atendimento humanizado</t>
        </is>
      </c>
      <c r="G105" t="inlineStr">
        <is>
          <t>Item 3 — Alcance dos públicos dos serviços penais</t>
        </is>
      </c>
      <c r="H105" t="inlineStr">
        <is>
          <t>M4-64</t>
        </is>
      </c>
      <c r="I105" t="inlineStr">
        <is>
          <t>04_Acessibilidade:M4-64</t>
        </is>
      </c>
      <c r="J105" t="inlineStr">
        <is>
          <t>Doc. SEI 37070578</t>
        </is>
      </c>
      <c r="K105" t="inlineStr">
        <is>
          <t>2026-09-23T11:46:31</t>
        </is>
      </c>
    </row>
    <row r="106">
      <c r="A106" t="n">
        <v>105</v>
      </c>
      <c r="B106" t="inlineStr">
        <is>
          <t>AM</t>
        </is>
      </c>
      <c r="C106" t="inlineStr">
        <is>
          <t>AM</t>
        </is>
      </c>
      <c r="D106" t="inlineStr">
        <is>
          <t>Amazonas</t>
        </is>
      </c>
      <c r="E106" t="inlineStr">
        <is>
          <t>05_Transparência</t>
        </is>
      </c>
      <c r="F106" t="inlineStr">
        <is>
          <t>Transparência e publicidade</t>
        </is>
      </c>
      <c r="G106" t="inlineStr">
        <is>
          <t>Item 1 — Visibilidade institucional e divulgação dos canais</t>
        </is>
      </c>
      <c r="H106" t="inlineStr">
        <is>
          <t>M2-35</t>
        </is>
      </c>
      <c r="I106" t="inlineStr">
        <is>
          <t>05_Transparência:M2-35</t>
        </is>
      </c>
      <c r="J106" t="inlineStr">
        <is>
          <t>Doc. SEI 37070578</t>
        </is>
      </c>
      <c r="K106" t="inlineStr">
        <is>
          <t>2026-09-23T11:46:31</t>
        </is>
      </c>
    </row>
    <row r="107">
      <c r="A107" t="n">
        <v>106</v>
      </c>
      <c r="B107" t="inlineStr">
        <is>
          <t>AM</t>
        </is>
      </c>
      <c r="C107" t="inlineStr">
        <is>
          <t>AM</t>
        </is>
      </c>
      <c r="D107" t="inlineStr">
        <is>
          <t>Amazonas</t>
        </is>
      </c>
      <c r="E107" t="inlineStr">
        <is>
          <t>05_Transparência</t>
        </is>
      </c>
      <c r="F107" t="inlineStr">
        <is>
          <t>Transparência e publicidade</t>
        </is>
      </c>
      <c r="G107" t="inlineStr">
        <is>
          <t>Item 2 — Publicidade das ações e atividades</t>
        </is>
      </c>
      <c r="H107" t="inlineStr">
        <is>
          <t>M4-71</t>
        </is>
      </c>
      <c r="I107" t="inlineStr">
        <is>
          <t>05_Transparência:M4-71</t>
        </is>
      </c>
      <c r="J107" t="inlineStr">
        <is>
          <t>Doc. SEI 37070578</t>
        </is>
      </c>
      <c r="K107" t="inlineStr">
        <is>
          <t>2026-09-23T11:46:31</t>
        </is>
      </c>
    </row>
    <row r="108">
      <c r="A108" t="n">
        <v>107</v>
      </c>
      <c r="B108" t="inlineStr">
        <is>
          <t>AM</t>
        </is>
      </c>
      <c r="C108" t="inlineStr">
        <is>
          <t>AM</t>
        </is>
      </c>
      <c r="D108" t="inlineStr">
        <is>
          <t>Amazonas</t>
        </is>
      </c>
      <c r="E108" t="inlineStr">
        <is>
          <t>06_Integração Tec</t>
        </is>
      </c>
      <c r="F108" t="inlineStr">
        <is>
          <t>Integração tecnológica</t>
        </is>
      </c>
      <c r="G108" t="inlineStr">
        <is>
          <t>Item 1 — Canal eletrônico e solução para registro e gestão das manifestações</t>
        </is>
      </c>
      <c r="H108" t="inlineStr">
        <is>
          <t>M2-45</t>
        </is>
      </c>
      <c r="I108" t="inlineStr">
        <is>
          <t>06_Integração Tec:M2-45</t>
        </is>
      </c>
      <c r="J108" t="inlineStr">
        <is>
          <t>Doc. SEI 37070578</t>
        </is>
      </c>
      <c r="K108" t="inlineStr">
        <is>
          <t>2026-09-23T11:46:31</t>
        </is>
      </c>
    </row>
    <row r="109">
      <c r="A109" t="n">
        <v>108</v>
      </c>
      <c r="B109" t="inlineStr">
        <is>
          <t>AM</t>
        </is>
      </c>
      <c r="C109" t="inlineStr">
        <is>
          <t>AM</t>
        </is>
      </c>
      <c r="D109" t="inlineStr">
        <is>
          <t>Amazonas</t>
        </is>
      </c>
      <c r="E109" t="inlineStr">
        <is>
          <t>06_Integração Tec</t>
        </is>
      </c>
      <c r="F109" t="inlineStr">
        <is>
          <t>Integração tecnológica</t>
        </is>
      </c>
      <c r="G109" t="inlineStr">
        <is>
          <t>Item 2 — Registro, protocolo, rastreabilidade e acompanhamento</t>
        </is>
      </c>
      <c r="H109" t="inlineStr">
        <is>
          <t>M4-66</t>
        </is>
      </c>
      <c r="I109" t="inlineStr">
        <is>
          <t>06_Integração Tec:M4-66</t>
        </is>
      </c>
      <c r="J109" t="inlineStr">
        <is>
          <t>Doc. SEI 37070578</t>
        </is>
      </c>
      <c r="K109" t="inlineStr">
        <is>
          <t>2026-09-23T11:46:31</t>
        </is>
      </c>
    </row>
    <row r="110">
      <c r="A110" t="n">
        <v>109</v>
      </c>
      <c r="B110" t="inlineStr">
        <is>
          <t>AM</t>
        </is>
      </c>
      <c r="C110" t="inlineStr">
        <is>
          <t>AM</t>
        </is>
      </c>
      <c r="D110" t="inlineStr">
        <is>
          <t>Amazonas</t>
        </is>
      </c>
      <c r="E110" t="inlineStr">
        <is>
          <t>06_Integração Tec</t>
        </is>
      </c>
      <c r="F110" t="inlineStr">
        <is>
          <t>Integração tecnológica</t>
        </is>
      </c>
      <c r="G110" t="inlineStr">
        <is>
          <t>Item 3 — Sigilo, autenticação e controle de acesso</t>
        </is>
      </c>
      <c r="H110" t="inlineStr">
        <is>
          <t>M2-37</t>
        </is>
      </c>
      <c r="I110" t="inlineStr">
        <is>
          <t>06_Integração Tec:M2-37</t>
        </is>
      </c>
      <c r="J110" t="inlineStr">
        <is>
          <t>Doc. SEI 37070578</t>
        </is>
      </c>
      <c r="K110" t="inlineStr">
        <is>
          <t>2026-09-23T11:46:31</t>
        </is>
      </c>
    </row>
    <row r="111">
      <c r="A111" t="n">
        <v>110</v>
      </c>
      <c r="B111" t="inlineStr">
        <is>
          <t>AM</t>
        </is>
      </c>
      <c r="C111" t="inlineStr">
        <is>
          <t>AM</t>
        </is>
      </c>
      <c r="D111" t="inlineStr">
        <is>
          <t>Amazonas</t>
        </is>
      </c>
      <c r="E111" t="inlineStr">
        <is>
          <t>06_Integração Tec</t>
        </is>
      </c>
      <c r="F111" t="inlineStr">
        <is>
          <t>Integração tecnológica</t>
        </is>
      </c>
      <c r="G111" t="inlineStr">
        <is>
          <t>Item 4 — Computadores e acesso à internet</t>
        </is>
      </c>
      <c r="H111" t="inlineStr">
        <is>
          <t>M2-17</t>
        </is>
      </c>
      <c r="I111" t="inlineStr">
        <is>
          <t>06_Integração Tec:M2-17</t>
        </is>
      </c>
      <c r="J111" t="inlineStr">
        <is>
          <t>Doc. SEI 37070578</t>
        </is>
      </c>
      <c r="K111" t="inlineStr">
        <is>
          <t>2026-09-23T11:46:31</t>
        </is>
      </c>
    </row>
    <row r="112">
      <c r="A112" t="n">
        <v>111</v>
      </c>
      <c r="B112" t="inlineStr">
        <is>
          <t>AM</t>
        </is>
      </c>
      <c r="C112" t="inlineStr">
        <is>
          <t>AM</t>
        </is>
      </c>
      <c r="D112" t="inlineStr">
        <is>
          <t>Amazonas</t>
        </is>
      </c>
      <c r="E112" t="inlineStr">
        <is>
          <t>06_Integração Tec</t>
        </is>
      </c>
      <c r="F112" t="inlineStr">
        <is>
          <t>Integração tecnológica</t>
        </is>
      </c>
      <c r="G112" t="inlineStr">
        <is>
          <t>Item 5 — Impressoras e scanners</t>
        </is>
      </c>
      <c r="H112" t="inlineStr">
        <is>
          <t>M2-19</t>
        </is>
      </c>
      <c r="I112" t="inlineStr">
        <is>
          <t>06_Integração Tec:M2-19</t>
        </is>
      </c>
      <c r="J112" t="inlineStr">
        <is>
          <t>Doc. SEI 37070578</t>
        </is>
      </c>
      <c r="K112" t="inlineStr">
        <is>
          <t>2026-09-23T11:46:31</t>
        </is>
      </c>
    </row>
    <row r="113">
      <c r="A113" t="n">
        <v>112</v>
      </c>
      <c r="B113" t="inlineStr">
        <is>
          <t>AM</t>
        </is>
      </c>
      <c r="C113" t="inlineStr">
        <is>
          <t>AM</t>
        </is>
      </c>
      <c r="D113" t="inlineStr">
        <is>
          <t>Amazonas</t>
        </is>
      </c>
      <c r="E113" t="inlineStr">
        <is>
          <t>06_Integração Tec</t>
        </is>
      </c>
      <c r="F113" t="inlineStr">
        <is>
          <t>Integração tecnológica</t>
        </is>
      </c>
      <c r="G113" t="inlineStr">
        <is>
          <t>Item 5 — Impressoras e scanners</t>
        </is>
      </c>
      <c r="H113" t="inlineStr">
        <is>
          <t>M2-21</t>
        </is>
      </c>
      <c r="I113" t="inlineStr">
        <is>
          <t>06_Integração Tec:M2-21</t>
        </is>
      </c>
      <c r="J113" t="inlineStr">
        <is>
          <t>Doc. SEI 37070578</t>
        </is>
      </c>
      <c r="K113" t="inlineStr">
        <is>
          <t>2026-09-23T11:46:31</t>
        </is>
      </c>
    </row>
    <row r="114">
      <c r="A114" t="n">
        <v>113</v>
      </c>
      <c r="B114" t="inlineStr">
        <is>
          <t>AM</t>
        </is>
      </c>
      <c r="C114" t="inlineStr">
        <is>
          <t>AM</t>
        </is>
      </c>
      <c r="D114" t="inlineStr">
        <is>
          <t>Amazonas</t>
        </is>
      </c>
      <c r="E114" t="inlineStr">
        <is>
          <t>06_Integração Tec</t>
        </is>
      </c>
      <c r="F114" t="inlineStr">
        <is>
          <t>Integração tecnológica</t>
        </is>
      </c>
      <c r="G114" t="inlineStr">
        <is>
          <t>Item 6 — Aparelhos de telefone celular</t>
        </is>
      </c>
      <c r="H114" t="inlineStr">
        <is>
          <t>M2-27</t>
        </is>
      </c>
      <c r="I114" t="inlineStr">
        <is>
          <t>06_Integração Tec:M2-27</t>
        </is>
      </c>
      <c r="J114" t="inlineStr">
        <is>
          <t>Doc. SEI 37070578</t>
        </is>
      </c>
      <c r="K114" t="inlineStr">
        <is>
          <t>2026-09-23T11:46:31</t>
        </is>
      </c>
    </row>
    <row r="115">
      <c r="A115" t="n">
        <v>114</v>
      </c>
      <c r="B115" t="inlineStr">
        <is>
          <t>AM</t>
        </is>
      </c>
      <c r="C115" t="inlineStr">
        <is>
          <t>AM</t>
        </is>
      </c>
      <c r="D115" t="inlineStr">
        <is>
          <t>Amazonas</t>
        </is>
      </c>
      <c r="E115" t="inlineStr">
        <is>
          <t>07_Maturidade</t>
        </is>
      </c>
      <c r="F115" t="inlineStr">
        <is>
          <t>Maturidade / bônus</t>
        </is>
      </c>
      <c r="G115" t="inlineStr">
        <is>
          <t>Bônus — Uso do canal Fala.BR</t>
        </is>
      </c>
      <c r="H115" t="inlineStr">
        <is>
          <t>M2-46</t>
        </is>
      </c>
      <c r="I115" t="inlineStr">
        <is>
          <t>07_Maturidade:M2-46</t>
        </is>
      </c>
      <c r="J115" t="inlineStr">
        <is>
          <t>Doc. SEI 37070578</t>
        </is>
      </c>
      <c r="K115" t="inlineStr">
        <is>
          <t>2026-09-23T11:46:31</t>
        </is>
      </c>
    </row>
    <row r="116">
      <c r="A116" t="n">
        <v>115</v>
      </c>
      <c r="B116" t="inlineStr">
        <is>
          <t>AM</t>
        </is>
      </c>
      <c r="C116" t="inlineStr">
        <is>
          <t>AM</t>
        </is>
      </c>
      <c r="D116" t="inlineStr">
        <is>
          <t>Amazonas</t>
        </is>
      </c>
      <c r="E116" t="inlineStr">
        <is>
          <t>07_Maturidade</t>
        </is>
      </c>
      <c r="F116" t="inlineStr">
        <is>
          <t>Maturidade / bônus</t>
        </is>
      </c>
      <c r="G116" t="inlineStr">
        <is>
          <t>Bônus — Designação por mandato</t>
        </is>
      </c>
      <c r="H116" t="inlineStr">
        <is>
          <t>M0-08</t>
        </is>
      </c>
      <c r="I116" t="inlineStr">
        <is>
          <t>07_Maturidade:M0-08</t>
        </is>
      </c>
      <c r="J116" t="inlineStr">
        <is>
          <t>Doc. SEI 37070578</t>
        </is>
      </c>
      <c r="K116" t="inlineStr">
        <is>
          <t>2026-09-23T11:46:31</t>
        </is>
      </c>
    </row>
    <row r="117">
      <c r="A117" t="n">
        <v>116</v>
      </c>
      <c r="B117" t="inlineStr">
        <is>
          <t>AM</t>
        </is>
      </c>
      <c r="C117" t="inlineStr">
        <is>
          <t>AM</t>
        </is>
      </c>
      <c r="D117" t="inlineStr">
        <is>
          <t>Amazonas</t>
        </is>
      </c>
      <c r="E117" t="inlineStr">
        <is>
          <t>07_Maturidade</t>
        </is>
      </c>
      <c r="F117" t="inlineStr">
        <is>
          <t>Maturidade / bônus</t>
        </is>
      </c>
      <c r="G117" t="inlineStr">
        <is>
          <t>Bônus — Dedicação da equipe</t>
        </is>
      </c>
      <c r="H117" t="inlineStr">
        <is>
          <t>M3-60</t>
        </is>
      </c>
      <c r="I117" t="inlineStr">
        <is>
          <t>07_Maturidade:M3-60</t>
        </is>
      </c>
      <c r="J117" t="inlineStr">
        <is>
          <t>Doc. SEI 37070578</t>
        </is>
      </c>
      <c r="K117" t="inlineStr">
        <is>
          <t>2026-09-23T11:46:31</t>
        </is>
      </c>
    </row>
    <row r="118">
      <c r="A118" t="n">
        <v>117</v>
      </c>
      <c r="B118" t="inlineStr">
        <is>
          <t>AM</t>
        </is>
      </c>
      <c r="C118" t="inlineStr">
        <is>
          <t>AM</t>
        </is>
      </c>
      <c r="D118" t="inlineStr">
        <is>
          <t>Amazonas</t>
        </is>
      </c>
      <c r="E118" t="inlineStr">
        <is>
          <t>07_Maturidade</t>
        </is>
      </c>
      <c r="F118" t="inlineStr">
        <is>
          <t>Maturidade / bônus</t>
        </is>
      </c>
      <c r="G118" t="inlineStr">
        <is>
          <t>Bônus — Requisitos de perfil para o cargo de Ouvidor</t>
        </is>
      </c>
      <c r="H118" t="inlineStr">
        <is>
          <t>M3-58</t>
        </is>
      </c>
      <c r="I118" t="inlineStr">
        <is>
          <t>07_Maturidade:M3-58</t>
        </is>
      </c>
      <c r="J118" t="inlineStr">
        <is>
          <t>Doc. SEI 37070578</t>
        </is>
      </c>
      <c r="K118" t="inlineStr">
        <is>
          <t>2026-09-23T11:46:31</t>
        </is>
      </c>
    </row>
    <row r="119">
      <c r="A119" t="n">
        <v>118</v>
      </c>
      <c r="B119" t="inlineStr">
        <is>
          <t>AM</t>
        </is>
      </c>
      <c r="C119" t="inlineStr">
        <is>
          <t>AM</t>
        </is>
      </c>
      <c r="D119" t="inlineStr">
        <is>
          <t>Amazonas</t>
        </is>
      </c>
      <c r="E119" t="inlineStr">
        <is>
          <t>07_Maturidade</t>
        </is>
      </c>
      <c r="F119" t="inlineStr">
        <is>
          <t>Maturidade / bônus</t>
        </is>
      </c>
      <c r="G119" t="inlineStr">
        <is>
          <t>Bônus — WhatsApp institucional</t>
        </is>
      </c>
      <c r="H119" t="inlineStr">
        <is>
          <t>M2-50</t>
        </is>
      </c>
      <c r="I119" t="inlineStr">
        <is>
          <t>07_Maturidade:M2-50</t>
        </is>
      </c>
      <c r="J119" t="inlineStr">
        <is>
          <t>Doc. SEI 37070578</t>
        </is>
      </c>
      <c r="K119" t="inlineStr">
        <is>
          <t>2026-09-23T11:46:31</t>
        </is>
      </c>
    </row>
    <row r="120">
      <c r="A120" t="n">
        <v>119</v>
      </c>
      <c r="B120" t="inlineStr">
        <is>
          <t>AM</t>
        </is>
      </c>
      <c r="C120" t="inlineStr">
        <is>
          <t>AM</t>
        </is>
      </c>
      <c r="D120" t="inlineStr">
        <is>
          <t>Amazonas</t>
        </is>
      </c>
      <c r="E120" t="inlineStr">
        <is>
          <t>07_Maturidade</t>
        </is>
      </c>
      <c r="F120" t="inlineStr">
        <is>
          <t>Maturidade / bônus</t>
        </is>
      </c>
      <c r="G120" t="inlineStr">
        <is>
          <t>Bônus — Outros canais eletrônicos institucionais</t>
        </is>
      </c>
      <c r="H120" t="inlineStr">
        <is>
          <t>M2-49</t>
        </is>
      </c>
      <c r="I120" t="inlineStr">
        <is>
          <t>07_Maturidade:M2-49</t>
        </is>
      </c>
      <c r="J120" t="inlineStr">
        <is>
          <t>Doc. SEI 37070578</t>
        </is>
      </c>
      <c r="K120" t="inlineStr">
        <is>
          <t>2026-09-23T11:46:31</t>
        </is>
      </c>
    </row>
    <row r="121">
      <c r="A121" t="n">
        <v>120</v>
      </c>
      <c r="B121" t="inlineStr">
        <is>
          <t>AM</t>
        </is>
      </c>
      <c r="C121" t="inlineStr">
        <is>
          <t>AM</t>
        </is>
      </c>
      <c r="D121" t="inlineStr">
        <is>
          <t>Amazonas</t>
        </is>
      </c>
      <c r="E121" t="inlineStr">
        <is>
          <t>07_Maturidade</t>
        </is>
      </c>
      <c r="F121" t="inlineStr">
        <is>
          <t>Maturidade / bônus</t>
        </is>
      </c>
      <c r="G121" t="inlineStr">
        <is>
          <t>Bônus — Materiais adicionais de divulgação e educação em direitos</t>
        </is>
      </c>
      <c r="H121" t="inlineStr">
        <is>
          <t>M2-36</t>
        </is>
      </c>
      <c r="I121" t="inlineStr">
        <is>
          <t>07_Maturidade:M2-36</t>
        </is>
      </c>
      <c r="J121" t="inlineStr">
        <is>
          <t>Doc. SEI 37070578</t>
        </is>
      </c>
      <c r="K121" t="inlineStr">
        <is>
          <t>2026-09-23T11:46:31</t>
        </is>
      </c>
    </row>
    <row r="122">
      <c r="A122" t="n">
        <v>121</v>
      </c>
      <c r="B122" t="inlineStr">
        <is>
          <t>BA</t>
        </is>
      </c>
      <c r="C122" t="inlineStr">
        <is>
          <t>BA</t>
        </is>
      </c>
      <c r="D122" t="inlineStr">
        <is>
          <t>Bahia</t>
        </is>
      </c>
      <c r="E122" t="inlineStr">
        <is>
          <t>01_Institucionalização</t>
        </is>
      </c>
      <c r="F122" t="inlineStr">
        <is>
          <t>Institucionalização</t>
        </is>
      </c>
      <c r="G122" t="inlineStr">
        <is>
          <t>Item 1 — Instituição formal da Ouvidoria de Serviços Penais</t>
        </is>
      </c>
      <c r="H122" t="inlineStr">
        <is>
          <t>M1-11</t>
        </is>
      </c>
      <c r="I122" t="inlineStr">
        <is>
          <t>01_Institucionalização:M1-11</t>
        </is>
      </c>
      <c r="J122" t="inlineStr">
        <is>
          <t>Doc. SEI 37070578</t>
        </is>
      </c>
      <c r="K122" t="inlineStr">
        <is>
          <t>2026-09-23T11:46:31</t>
        </is>
      </c>
    </row>
    <row r="123">
      <c r="A123" t="n">
        <v>122</v>
      </c>
      <c r="B123" t="inlineStr">
        <is>
          <t>BA</t>
        </is>
      </c>
      <c r="C123" t="inlineStr">
        <is>
          <t>BA</t>
        </is>
      </c>
      <c r="D123" t="inlineStr">
        <is>
          <t>Bahia</t>
        </is>
      </c>
      <c r="E123" t="inlineStr">
        <is>
          <t>02_Autonomia</t>
        </is>
      </c>
      <c r="F123" t="inlineStr">
        <is>
          <t>Autonomia técnica e funcional</t>
        </is>
      </c>
      <c r="G123" t="inlineStr">
        <is>
          <t>Item 1 — Garantia normativa de autonomia técnica/funcional</t>
        </is>
      </c>
      <c r="H123" t="inlineStr">
        <is>
          <t>M3-56</t>
        </is>
      </c>
      <c r="I123" t="inlineStr">
        <is>
          <t>02_Autonomia:M3-56</t>
        </is>
      </c>
      <c r="J123" t="inlineStr">
        <is>
          <t>Doc. SEI 37070578</t>
        </is>
      </c>
      <c r="K123" t="inlineStr">
        <is>
          <t>2026-09-23T11:46:31</t>
        </is>
      </c>
    </row>
    <row r="124">
      <c r="A124" t="n">
        <v>123</v>
      </c>
      <c r="B124" t="inlineStr">
        <is>
          <t>BA</t>
        </is>
      </c>
      <c r="C124" t="inlineStr">
        <is>
          <t>BA</t>
        </is>
      </c>
      <c r="D124" t="inlineStr">
        <is>
          <t>Bahia</t>
        </is>
      </c>
      <c r="E124" t="inlineStr">
        <is>
          <t>02_Autonomia</t>
        </is>
      </c>
      <c r="F124" t="inlineStr">
        <is>
          <t>Autonomia técnica e funcional</t>
        </is>
      </c>
      <c r="G124" t="inlineStr">
        <is>
          <t>Item 1 — Garantia normativa de autonomia técnica/funcional</t>
        </is>
      </c>
      <c r="H124" t="inlineStr">
        <is>
          <t>M3-57</t>
        </is>
      </c>
      <c r="I124" t="inlineStr">
        <is>
          <t>02_Autonomia:M3-57</t>
        </is>
      </c>
      <c r="J124" t="inlineStr">
        <is>
          <t>Doc. SEI 37070578</t>
        </is>
      </c>
      <c r="K124" t="inlineStr">
        <is>
          <t>2026-09-23T11:46:31</t>
        </is>
      </c>
    </row>
    <row r="125">
      <c r="A125" t="n">
        <v>124</v>
      </c>
      <c r="B125" t="inlineStr">
        <is>
          <t>BA</t>
        </is>
      </c>
      <c r="C125" t="inlineStr">
        <is>
          <t>BA</t>
        </is>
      </c>
      <c r="D125" t="inlineStr">
        <is>
          <t>Bahia</t>
        </is>
      </c>
      <c r="E125" t="inlineStr">
        <is>
          <t>02_Autonomia</t>
        </is>
      </c>
      <c r="F125" t="inlineStr">
        <is>
          <t>Autonomia técnica e funcional</t>
        </is>
      </c>
      <c r="G125" t="inlineStr">
        <is>
          <t>Item 2 — Condições institucionais de atuação sem interferência indevida</t>
        </is>
      </c>
      <c r="H125" t="inlineStr">
        <is>
          <t>M1-12</t>
        </is>
      </c>
      <c r="I125" t="inlineStr">
        <is>
          <t>02_Autonomia:M1-12</t>
        </is>
      </c>
      <c r="J125" t="inlineStr">
        <is>
          <t>Doc. SEI 37070578</t>
        </is>
      </c>
      <c r="K125" t="inlineStr">
        <is>
          <t>2026-09-23T11:46:31</t>
        </is>
      </c>
    </row>
    <row r="126">
      <c r="A126" t="n">
        <v>125</v>
      </c>
      <c r="B126" t="inlineStr">
        <is>
          <t>BA</t>
        </is>
      </c>
      <c r="C126" t="inlineStr">
        <is>
          <t>BA</t>
        </is>
      </c>
      <c r="D126" t="inlineStr">
        <is>
          <t>Bahia</t>
        </is>
      </c>
      <c r="E126" t="inlineStr">
        <is>
          <t>02_Autonomia</t>
        </is>
      </c>
      <c r="F126" t="inlineStr">
        <is>
          <t>Autonomia técnica e funcional</t>
        </is>
      </c>
      <c r="G126" t="inlineStr">
        <is>
          <t>Item 2 — Condições institucionais de atuação sem interferência indevida</t>
        </is>
      </c>
      <c r="H126" t="inlineStr">
        <is>
          <t>M4-67</t>
        </is>
      </c>
      <c r="I126" t="inlineStr">
        <is>
          <t>02_Autonomia:M4-67</t>
        </is>
      </c>
      <c r="J126" t="inlineStr">
        <is>
          <t>Doc. SEI 37070578</t>
        </is>
      </c>
      <c r="K126" t="inlineStr">
        <is>
          <t>2026-09-23T11:46:31</t>
        </is>
      </c>
    </row>
    <row r="127">
      <c r="A127" t="n">
        <v>126</v>
      </c>
      <c r="B127" t="inlineStr">
        <is>
          <t>BA</t>
        </is>
      </c>
      <c r="C127" t="inlineStr">
        <is>
          <t>BA</t>
        </is>
      </c>
      <c r="D127" t="inlineStr">
        <is>
          <t>Bahia</t>
        </is>
      </c>
      <c r="E127" t="inlineStr">
        <is>
          <t>02_Autonomia</t>
        </is>
      </c>
      <c r="F127" t="inlineStr">
        <is>
          <t>Autonomia técnica e funcional</t>
        </is>
      </c>
      <c r="G127" t="inlineStr">
        <is>
          <t>Item 2 — Condições institucionais de atuação sem interferência indevida</t>
        </is>
      </c>
      <c r="H127" t="inlineStr">
        <is>
          <t>M4-68</t>
        </is>
      </c>
      <c r="I127" t="inlineStr">
        <is>
          <t>02_Autonomia:M4-68</t>
        </is>
      </c>
      <c r="J127" t="inlineStr">
        <is>
          <t>Doc. SEI 37070578</t>
        </is>
      </c>
      <c r="K127" t="inlineStr">
        <is>
          <t>2026-09-23T11:46:31</t>
        </is>
      </c>
    </row>
    <row r="128">
      <c r="A128" t="n">
        <v>127</v>
      </c>
      <c r="B128" t="inlineStr">
        <is>
          <t>BA</t>
        </is>
      </c>
      <c r="C128" t="inlineStr">
        <is>
          <t>BA</t>
        </is>
      </c>
      <c r="D128" t="inlineStr">
        <is>
          <t>Bahia</t>
        </is>
      </c>
      <c r="E128" t="inlineStr">
        <is>
          <t>03_Imparcialidade</t>
        </is>
      </c>
      <c r="F128" t="inlineStr">
        <is>
          <t>Imparcialidade, sigilo e proteção</t>
        </is>
      </c>
      <c r="G128" t="inlineStr">
        <is>
          <t>Item 1 — Proteção e tratamento de denúncias graves e sensíveis</t>
        </is>
      </c>
      <c r="H128" t="inlineStr">
        <is>
          <t>M4-69</t>
        </is>
      </c>
      <c r="I128" t="inlineStr">
        <is>
          <t>03_Imparcialidade:M4-69</t>
        </is>
      </c>
      <c r="J128" t="inlineStr">
        <is>
          <t>Doc. SEI 37070578</t>
        </is>
      </c>
      <c r="K128" t="inlineStr">
        <is>
          <t>2026-09-23T11:46:31</t>
        </is>
      </c>
    </row>
    <row r="129">
      <c r="A129" t="n">
        <v>128</v>
      </c>
      <c r="B129" t="inlineStr">
        <is>
          <t>BA</t>
        </is>
      </c>
      <c r="C129" t="inlineStr">
        <is>
          <t>BA</t>
        </is>
      </c>
      <c r="D129" t="inlineStr">
        <is>
          <t>Bahia</t>
        </is>
      </c>
      <c r="E129" t="inlineStr">
        <is>
          <t>03_Imparcialidade</t>
        </is>
      </c>
      <c r="F129" t="inlineStr">
        <is>
          <t>Imparcialidade, sigilo e proteção</t>
        </is>
      </c>
      <c r="G129" t="inlineStr">
        <is>
          <t>Item 2 — Confidencialidade e sigilo da equipe</t>
        </is>
      </c>
      <c r="H129" t="inlineStr">
        <is>
          <t>M3-63</t>
        </is>
      </c>
      <c r="I129" t="inlineStr">
        <is>
          <t>03_Imparcialidade:M3-63</t>
        </is>
      </c>
      <c r="J129" t="inlineStr">
        <is>
          <t>Doc. SEI 37070578</t>
        </is>
      </c>
      <c r="K129" t="inlineStr">
        <is>
          <t>2026-09-23T11:46:31</t>
        </is>
      </c>
    </row>
    <row r="130">
      <c r="A130" t="n">
        <v>129</v>
      </c>
      <c r="B130" t="inlineStr">
        <is>
          <t>BA</t>
        </is>
      </c>
      <c r="C130" t="inlineStr">
        <is>
          <t>BA</t>
        </is>
      </c>
      <c r="D130" t="inlineStr">
        <is>
          <t>Bahia</t>
        </is>
      </c>
      <c r="E130" t="inlineStr">
        <is>
          <t>04_Acessibilidade</t>
        </is>
      </c>
      <c r="F130" t="inlineStr">
        <is>
          <t>Acessibilidade e atendimento humanizado</t>
        </is>
      </c>
      <c r="G130" t="inlineStr">
        <is>
          <t>Item 1 — Canais institucionais acessíveis</t>
        </is>
      </c>
      <c r="H130" t="inlineStr">
        <is>
          <t>M2-41</t>
        </is>
      </c>
      <c r="I130" t="inlineStr">
        <is>
          <t>04_Acessibilidade:M2-41</t>
        </is>
      </c>
      <c r="J130" t="inlineStr">
        <is>
          <t>Doc. SEI 37070578</t>
        </is>
      </c>
      <c r="K130" t="inlineStr">
        <is>
          <t>2026-09-23T11:46:31</t>
        </is>
      </c>
    </row>
    <row r="131">
      <c r="A131" t="n">
        <v>130</v>
      </c>
      <c r="B131" t="inlineStr">
        <is>
          <t>BA</t>
        </is>
      </c>
      <c r="C131" t="inlineStr">
        <is>
          <t>BA</t>
        </is>
      </c>
      <c r="D131" t="inlineStr">
        <is>
          <t>Bahia</t>
        </is>
      </c>
      <c r="E131" t="inlineStr">
        <is>
          <t>04_Acessibilidade</t>
        </is>
      </c>
      <c r="F131" t="inlineStr">
        <is>
          <t>Acessibilidade e atendimento humanizado</t>
        </is>
      </c>
      <c r="G131" t="inlineStr">
        <is>
          <t>Item 1 — Canais institucionais acessíveis</t>
        </is>
      </c>
      <c r="H131" t="inlineStr">
        <is>
          <t>M2-43</t>
        </is>
      </c>
      <c r="I131" t="inlineStr">
        <is>
          <t>04_Acessibilidade:M2-43</t>
        </is>
      </c>
      <c r="J131" t="inlineStr">
        <is>
          <t>Doc. SEI 37070578</t>
        </is>
      </c>
      <c r="K131" t="inlineStr">
        <is>
          <t>2026-09-23T11:46:31</t>
        </is>
      </c>
    </row>
    <row r="132">
      <c r="A132" t="n">
        <v>131</v>
      </c>
      <c r="B132" t="inlineStr">
        <is>
          <t>BA</t>
        </is>
      </c>
      <c r="C132" t="inlineStr">
        <is>
          <t>BA</t>
        </is>
      </c>
      <c r="D132" t="inlineStr">
        <is>
          <t>Bahia</t>
        </is>
      </c>
      <c r="E132" t="inlineStr">
        <is>
          <t>04_Acessibilidade</t>
        </is>
      </c>
      <c r="F132" t="inlineStr">
        <is>
          <t>Acessibilidade e atendimento humanizado</t>
        </is>
      </c>
      <c r="G132" t="inlineStr">
        <is>
          <t>Item 1 — Canais institucionais acessíveis</t>
        </is>
      </c>
      <c r="H132" t="inlineStr">
        <is>
          <t>M2-47</t>
        </is>
      </c>
      <c r="I132" t="inlineStr">
        <is>
          <t>04_Acessibilidade:M2-47</t>
        </is>
      </c>
      <c r="J132" t="inlineStr">
        <is>
          <t>Doc. SEI 37070578</t>
        </is>
      </c>
      <c r="K132" t="inlineStr">
        <is>
          <t>2026-09-23T11:46:31</t>
        </is>
      </c>
    </row>
    <row r="133">
      <c r="A133" t="n">
        <v>132</v>
      </c>
      <c r="B133" t="inlineStr">
        <is>
          <t>BA</t>
        </is>
      </c>
      <c r="C133" t="inlineStr">
        <is>
          <t>BA</t>
        </is>
      </c>
      <c r="D133" t="inlineStr">
        <is>
          <t>Bahia</t>
        </is>
      </c>
      <c r="E133" t="inlineStr">
        <is>
          <t>04_Acessibilidade</t>
        </is>
      </c>
      <c r="F133" t="inlineStr">
        <is>
          <t>Acessibilidade e atendimento humanizado</t>
        </is>
      </c>
      <c r="G133" t="inlineStr">
        <is>
          <t>Item 2 — Condições de atendimento reservado e acessível</t>
        </is>
      </c>
      <c r="H133" t="inlineStr">
        <is>
          <t>M2-16</t>
        </is>
      </c>
      <c r="I133" t="inlineStr">
        <is>
          <t>04_Acessibilidade:M2-16</t>
        </is>
      </c>
      <c r="J133" t="inlineStr">
        <is>
          <t>Doc. SEI 37070578</t>
        </is>
      </c>
      <c r="K133" t="inlineStr">
        <is>
          <t>2026-09-23T11:46:31</t>
        </is>
      </c>
    </row>
    <row r="134">
      <c r="A134" t="n">
        <v>133</v>
      </c>
      <c r="B134" t="inlineStr">
        <is>
          <t>BA</t>
        </is>
      </c>
      <c r="C134" t="inlineStr">
        <is>
          <t>BA</t>
        </is>
      </c>
      <c r="D134" t="inlineStr">
        <is>
          <t>Bahia</t>
        </is>
      </c>
      <c r="E134" t="inlineStr">
        <is>
          <t>04_Acessibilidade</t>
        </is>
      </c>
      <c r="F134" t="inlineStr">
        <is>
          <t>Acessibilidade e atendimento humanizado</t>
        </is>
      </c>
      <c r="G134" t="inlineStr">
        <is>
          <t>Item 3 — Alcance dos públicos dos serviços penais</t>
        </is>
      </c>
      <c r="H134" t="inlineStr">
        <is>
          <t>M1-13</t>
        </is>
      </c>
      <c r="I134" t="inlineStr">
        <is>
          <t>04_Acessibilidade:M1-13</t>
        </is>
      </c>
      <c r="J134" t="inlineStr">
        <is>
          <t>Doc. SEI 37070578</t>
        </is>
      </c>
      <c r="K134" t="inlineStr">
        <is>
          <t>2026-09-23T11:46:31</t>
        </is>
      </c>
    </row>
    <row r="135">
      <c r="A135" t="n">
        <v>134</v>
      </c>
      <c r="B135" t="inlineStr">
        <is>
          <t>BA</t>
        </is>
      </c>
      <c r="C135" t="inlineStr">
        <is>
          <t>BA</t>
        </is>
      </c>
      <c r="D135" t="inlineStr">
        <is>
          <t>Bahia</t>
        </is>
      </c>
      <c r="E135" t="inlineStr">
        <is>
          <t>04_Acessibilidade</t>
        </is>
      </c>
      <c r="F135" t="inlineStr">
        <is>
          <t>Acessibilidade e atendimento humanizado</t>
        </is>
      </c>
      <c r="G135" t="inlineStr">
        <is>
          <t>Item 3 — Alcance dos públicos dos serviços penais</t>
        </is>
      </c>
      <c r="H135" t="inlineStr">
        <is>
          <t>M4-64</t>
        </is>
      </c>
      <c r="I135" t="inlineStr">
        <is>
          <t>04_Acessibilidade:M4-64</t>
        </is>
      </c>
      <c r="J135" t="inlineStr">
        <is>
          <t>Doc. SEI 37070578</t>
        </is>
      </c>
      <c r="K135" t="inlineStr">
        <is>
          <t>2026-09-23T11:46:31</t>
        </is>
      </c>
    </row>
    <row r="136">
      <c r="A136" t="n">
        <v>135</v>
      </c>
      <c r="B136" t="inlineStr">
        <is>
          <t>BA</t>
        </is>
      </c>
      <c r="C136" t="inlineStr">
        <is>
          <t>BA</t>
        </is>
      </c>
      <c r="D136" t="inlineStr">
        <is>
          <t>Bahia</t>
        </is>
      </c>
      <c r="E136" t="inlineStr">
        <is>
          <t>05_Transparência</t>
        </is>
      </c>
      <c r="F136" t="inlineStr">
        <is>
          <t>Transparência e publicidade</t>
        </is>
      </c>
      <c r="G136" t="inlineStr">
        <is>
          <t>Item 1 — Visibilidade institucional e divulgação dos canais</t>
        </is>
      </c>
      <c r="H136" t="inlineStr">
        <is>
          <t>M2-35</t>
        </is>
      </c>
      <c r="I136" t="inlineStr">
        <is>
          <t>05_Transparência:M2-35</t>
        </is>
      </c>
      <c r="J136" t="inlineStr">
        <is>
          <t>Doc. SEI 37070578</t>
        </is>
      </c>
      <c r="K136" t="inlineStr">
        <is>
          <t>2026-09-23T11:46:31</t>
        </is>
      </c>
    </row>
    <row r="137">
      <c r="A137" t="n">
        <v>136</v>
      </c>
      <c r="B137" t="inlineStr">
        <is>
          <t>BA</t>
        </is>
      </c>
      <c r="C137" t="inlineStr">
        <is>
          <t>BA</t>
        </is>
      </c>
      <c r="D137" t="inlineStr">
        <is>
          <t>Bahia</t>
        </is>
      </c>
      <c r="E137" t="inlineStr">
        <is>
          <t>05_Transparência</t>
        </is>
      </c>
      <c r="F137" t="inlineStr">
        <is>
          <t>Transparência e publicidade</t>
        </is>
      </c>
      <c r="G137" t="inlineStr">
        <is>
          <t>Item 2 — Publicidade das ações e atividades</t>
        </is>
      </c>
      <c r="H137" t="inlineStr">
        <is>
          <t>M4-71</t>
        </is>
      </c>
      <c r="I137" t="inlineStr">
        <is>
          <t>05_Transparência:M4-71</t>
        </is>
      </c>
      <c r="J137" t="inlineStr">
        <is>
          <t>Doc. SEI 37070578</t>
        </is>
      </c>
      <c r="K137" t="inlineStr">
        <is>
          <t>2026-09-23T11:46:31</t>
        </is>
      </c>
    </row>
    <row r="138">
      <c r="A138" t="n">
        <v>137</v>
      </c>
      <c r="B138" t="inlineStr">
        <is>
          <t>BA</t>
        </is>
      </c>
      <c r="C138" t="inlineStr">
        <is>
          <t>BA</t>
        </is>
      </c>
      <c r="D138" t="inlineStr">
        <is>
          <t>Bahia</t>
        </is>
      </c>
      <c r="E138" t="inlineStr">
        <is>
          <t>06_Integração Tec</t>
        </is>
      </c>
      <c r="F138" t="inlineStr">
        <is>
          <t>Integração tecnológica</t>
        </is>
      </c>
      <c r="G138" t="inlineStr">
        <is>
          <t>Item 1 — Canal eletrônico e solução para registro e gestão das manifestações</t>
        </is>
      </c>
      <c r="H138" t="inlineStr">
        <is>
          <t>M2-45</t>
        </is>
      </c>
      <c r="I138" t="inlineStr">
        <is>
          <t>06_Integração Tec:M2-45</t>
        </is>
      </c>
      <c r="J138" t="inlineStr">
        <is>
          <t>Doc. SEI 37070578</t>
        </is>
      </c>
      <c r="K138" t="inlineStr">
        <is>
          <t>2026-09-23T11:46:31</t>
        </is>
      </c>
    </row>
    <row r="139">
      <c r="A139" t="n">
        <v>138</v>
      </c>
      <c r="B139" t="inlineStr">
        <is>
          <t>BA</t>
        </is>
      </c>
      <c r="C139" t="inlineStr">
        <is>
          <t>BA</t>
        </is>
      </c>
      <c r="D139" t="inlineStr">
        <is>
          <t>Bahia</t>
        </is>
      </c>
      <c r="E139" t="inlineStr">
        <is>
          <t>06_Integração Tec</t>
        </is>
      </c>
      <c r="F139" t="inlineStr">
        <is>
          <t>Integração tecnológica</t>
        </is>
      </c>
      <c r="G139" t="inlineStr">
        <is>
          <t>Item 2 — Registro, protocolo, rastreabilidade e acompanhamento</t>
        </is>
      </c>
      <c r="H139" t="inlineStr">
        <is>
          <t>M4-66</t>
        </is>
      </c>
      <c r="I139" t="inlineStr">
        <is>
          <t>06_Integração Tec:M4-66</t>
        </is>
      </c>
      <c r="J139" t="inlineStr">
        <is>
          <t>Doc. SEI 37070578</t>
        </is>
      </c>
      <c r="K139" t="inlineStr">
        <is>
          <t>2026-09-23T11:46:31</t>
        </is>
      </c>
    </row>
    <row r="140">
      <c r="A140" t="n">
        <v>139</v>
      </c>
      <c r="B140" t="inlineStr">
        <is>
          <t>BA</t>
        </is>
      </c>
      <c r="C140" t="inlineStr">
        <is>
          <t>BA</t>
        </is>
      </c>
      <c r="D140" t="inlineStr">
        <is>
          <t>Bahia</t>
        </is>
      </c>
      <c r="E140" t="inlineStr">
        <is>
          <t>06_Integração Tec</t>
        </is>
      </c>
      <c r="F140" t="inlineStr">
        <is>
          <t>Integração tecnológica</t>
        </is>
      </c>
      <c r="G140" t="inlineStr">
        <is>
          <t>Item 3 — Sigilo, autenticação e controle de acesso</t>
        </is>
      </c>
      <c r="H140" t="inlineStr">
        <is>
          <t>M2-37</t>
        </is>
      </c>
      <c r="I140" t="inlineStr">
        <is>
          <t>06_Integração Tec:M2-37</t>
        </is>
      </c>
      <c r="J140" t="inlineStr">
        <is>
          <t>Doc. SEI 37070578</t>
        </is>
      </c>
      <c r="K140" t="inlineStr">
        <is>
          <t>2026-09-23T11:46:31</t>
        </is>
      </c>
    </row>
    <row r="141">
      <c r="A141" t="n">
        <v>140</v>
      </c>
      <c r="B141" t="inlineStr">
        <is>
          <t>BA</t>
        </is>
      </c>
      <c r="C141" t="inlineStr">
        <is>
          <t>BA</t>
        </is>
      </c>
      <c r="D141" t="inlineStr">
        <is>
          <t>Bahia</t>
        </is>
      </c>
      <c r="E141" t="inlineStr">
        <is>
          <t>06_Integração Tec</t>
        </is>
      </c>
      <c r="F141" t="inlineStr">
        <is>
          <t>Integração tecnológica</t>
        </is>
      </c>
      <c r="G141" t="inlineStr">
        <is>
          <t>Item 4 — Computadores e acesso à internet</t>
        </is>
      </c>
      <c r="H141" t="inlineStr">
        <is>
          <t>M2-17</t>
        </is>
      </c>
      <c r="I141" t="inlineStr">
        <is>
          <t>06_Integração Tec:M2-17</t>
        </is>
      </c>
      <c r="J141" t="inlineStr">
        <is>
          <t>Doc. SEI 37070578</t>
        </is>
      </c>
      <c r="K141" t="inlineStr">
        <is>
          <t>2026-09-23T11:46:31</t>
        </is>
      </c>
    </row>
    <row r="142">
      <c r="A142" t="n">
        <v>141</v>
      </c>
      <c r="B142" t="inlineStr">
        <is>
          <t>BA</t>
        </is>
      </c>
      <c r="C142" t="inlineStr">
        <is>
          <t>BA</t>
        </is>
      </c>
      <c r="D142" t="inlineStr">
        <is>
          <t>Bahia</t>
        </is>
      </c>
      <c r="E142" t="inlineStr">
        <is>
          <t>06_Integração Tec</t>
        </is>
      </c>
      <c r="F142" t="inlineStr">
        <is>
          <t>Integração tecnológica</t>
        </is>
      </c>
      <c r="G142" t="inlineStr">
        <is>
          <t>Item 5 — Impressoras e scanners</t>
        </is>
      </c>
      <c r="H142" t="inlineStr">
        <is>
          <t>M2-19</t>
        </is>
      </c>
      <c r="I142" t="inlineStr">
        <is>
          <t>06_Integração Tec:M2-19</t>
        </is>
      </c>
      <c r="J142" t="inlineStr">
        <is>
          <t>Doc. SEI 37070578</t>
        </is>
      </c>
      <c r="K142" t="inlineStr">
        <is>
          <t>2026-09-23T11:46:31</t>
        </is>
      </c>
    </row>
    <row r="143">
      <c r="A143" t="n">
        <v>142</v>
      </c>
      <c r="B143" t="inlineStr">
        <is>
          <t>BA</t>
        </is>
      </c>
      <c r="C143" t="inlineStr">
        <is>
          <t>BA</t>
        </is>
      </c>
      <c r="D143" t="inlineStr">
        <is>
          <t>Bahia</t>
        </is>
      </c>
      <c r="E143" t="inlineStr">
        <is>
          <t>06_Integração Tec</t>
        </is>
      </c>
      <c r="F143" t="inlineStr">
        <is>
          <t>Integração tecnológica</t>
        </is>
      </c>
      <c r="G143" t="inlineStr">
        <is>
          <t>Item 5 — Impressoras e scanners</t>
        </is>
      </c>
      <c r="H143" t="inlineStr">
        <is>
          <t>M2-21</t>
        </is>
      </c>
      <c r="I143" t="inlineStr">
        <is>
          <t>06_Integração Tec:M2-21</t>
        </is>
      </c>
      <c r="J143" t="inlineStr">
        <is>
          <t>Doc. SEI 37070578</t>
        </is>
      </c>
      <c r="K143" t="inlineStr">
        <is>
          <t>2026-09-23T11:46:31</t>
        </is>
      </c>
    </row>
    <row r="144">
      <c r="A144" t="n">
        <v>143</v>
      </c>
      <c r="B144" t="inlineStr">
        <is>
          <t>BA</t>
        </is>
      </c>
      <c r="C144" t="inlineStr">
        <is>
          <t>BA</t>
        </is>
      </c>
      <c r="D144" t="inlineStr">
        <is>
          <t>Bahia</t>
        </is>
      </c>
      <c r="E144" t="inlineStr">
        <is>
          <t>06_Integração Tec</t>
        </is>
      </c>
      <c r="F144" t="inlineStr">
        <is>
          <t>Integração tecnológica</t>
        </is>
      </c>
      <c r="G144" t="inlineStr">
        <is>
          <t>Item 6 — Aparelhos de telefone celular</t>
        </is>
      </c>
      <c r="H144" t="inlineStr">
        <is>
          <t>M2-27</t>
        </is>
      </c>
      <c r="I144" t="inlineStr">
        <is>
          <t>06_Integração Tec:M2-27</t>
        </is>
      </c>
      <c r="J144" t="inlineStr">
        <is>
          <t>Doc. SEI 37070578</t>
        </is>
      </c>
      <c r="K144" t="inlineStr">
        <is>
          <t>2026-09-23T11:46:31</t>
        </is>
      </c>
    </row>
    <row r="145">
      <c r="A145" t="n">
        <v>144</v>
      </c>
      <c r="B145" t="inlineStr">
        <is>
          <t>BA</t>
        </is>
      </c>
      <c r="C145" t="inlineStr">
        <is>
          <t>BA</t>
        </is>
      </c>
      <c r="D145" t="inlineStr">
        <is>
          <t>Bahia</t>
        </is>
      </c>
      <c r="E145" t="inlineStr">
        <is>
          <t>07_Maturidade</t>
        </is>
      </c>
      <c r="F145" t="inlineStr">
        <is>
          <t>Maturidade / bônus</t>
        </is>
      </c>
      <c r="G145" t="inlineStr">
        <is>
          <t>Bônus — Uso do canal Fala.BR</t>
        </is>
      </c>
      <c r="H145" t="inlineStr">
        <is>
          <t>M2-46</t>
        </is>
      </c>
      <c r="I145" t="inlineStr">
        <is>
          <t>07_Maturidade:M2-46</t>
        </is>
      </c>
      <c r="J145" t="inlineStr">
        <is>
          <t>Doc. SEI 37070578</t>
        </is>
      </c>
      <c r="K145" t="inlineStr">
        <is>
          <t>2026-09-23T11:46:31</t>
        </is>
      </c>
    </row>
    <row r="146">
      <c r="A146" t="n">
        <v>145</v>
      </c>
      <c r="B146" t="inlineStr">
        <is>
          <t>BA</t>
        </is>
      </c>
      <c r="C146" t="inlineStr">
        <is>
          <t>BA</t>
        </is>
      </c>
      <c r="D146" t="inlineStr">
        <is>
          <t>Bahia</t>
        </is>
      </c>
      <c r="E146" t="inlineStr">
        <is>
          <t>07_Maturidade</t>
        </is>
      </c>
      <c r="F146" t="inlineStr">
        <is>
          <t>Maturidade / bônus</t>
        </is>
      </c>
      <c r="G146" t="inlineStr">
        <is>
          <t>Bônus — Designação por mandato</t>
        </is>
      </c>
      <c r="H146" t="inlineStr">
        <is>
          <t>M0-08</t>
        </is>
      </c>
      <c r="I146" t="inlineStr">
        <is>
          <t>07_Maturidade:M0-08</t>
        </is>
      </c>
      <c r="J146" t="inlineStr">
        <is>
          <t>Doc. SEI 37070578</t>
        </is>
      </c>
      <c r="K146" t="inlineStr">
        <is>
          <t>2026-09-23T11:46:31</t>
        </is>
      </c>
    </row>
    <row r="147">
      <c r="A147" t="n">
        <v>146</v>
      </c>
      <c r="B147" t="inlineStr">
        <is>
          <t>BA</t>
        </is>
      </c>
      <c r="C147" t="inlineStr">
        <is>
          <t>BA</t>
        </is>
      </c>
      <c r="D147" t="inlineStr">
        <is>
          <t>Bahia</t>
        </is>
      </c>
      <c r="E147" t="inlineStr">
        <is>
          <t>07_Maturidade</t>
        </is>
      </c>
      <c r="F147" t="inlineStr">
        <is>
          <t>Maturidade / bônus</t>
        </is>
      </c>
      <c r="G147" t="inlineStr">
        <is>
          <t>Bônus — Dedicação da equipe</t>
        </is>
      </c>
      <c r="H147" t="inlineStr">
        <is>
          <t>M3-60</t>
        </is>
      </c>
      <c r="I147" t="inlineStr">
        <is>
          <t>07_Maturidade:M3-60</t>
        </is>
      </c>
      <c r="J147" t="inlineStr">
        <is>
          <t>Doc. SEI 37070578</t>
        </is>
      </c>
      <c r="K147" t="inlineStr">
        <is>
          <t>2026-09-23T11:46:31</t>
        </is>
      </c>
    </row>
    <row r="148">
      <c r="A148" t="n">
        <v>147</v>
      </c>
      <c r="B148" t="inlineStr">
        <is>
          <t>BA</t>
        </is>
      </c>
      <c r="C148" t="inlineStr">
        <is>
          <t>BA</t>
        </is>
      </c>
      <c r="D148" t="inlineStr">
        <is>
          <t>Bahia</t>
        </is>
      </c>
      <c r="E148" t="inlineStr">
        <is>
          <t>07_Maturidade</t>
        </is>
      </c>
      <c r="F148" t="inlineStr">
        <is>
          <t>Maturidade / bônus</t>
        </is>
      </c>
      <c r="G148" t="inlineStr">
        <is>
          <t>Bônus — Requisitos de perfil para o cargo de Ouvidor</t>
        </is>
      </c>
      <c r="H148" t="inlineStr">
        <is>
          <t>M3-58</t>
        </is>
      </c>
      <c r="I148" t="inlineStr">
        <is>
          <t>07_Maturidade:M3-58</t>
        </is>
      </c>
      <c r="J148" t="inlineStr">
        <is>
          <t>Doc. SEI 37070578</t>
        </is>
      </c>
      <c r="K148" t="inlineStr">
        <is>
          <t>2026-09-23T11:46:31</t>
        </is>
      </c>
    </row>
    <row r="149">
      <c r="A149" t="n">
        <v>148</v>
      </c>
      <c r="B149" t="inlineStr">
        <is>
          <t>BA</t>
        </is>
      </c>
      <c r="C149" t="inlineStr">
        <is>
          <t>BA</t>
        </is>
      </c>
      <c r="D149" t="inlineStr">
        <is>
          <t>Bahia</t>
        </is>
      </c>
      <c r="E149" t="inlineStr">
        <is>
          <t>07_Maturidade</t>
        </is>
      </c>
      <c r="F149" t="inlineStr">
        <is>
          <t>Maturidade / bônus</t>
        </is>
      </c>
      <c r="G149" t="inlineStr">
        <is>
          <t>Bônus — WhatsApp institucional</t>
        </is>
      </c>
      <c r="H149" t="inlineStr">
        <is>
          <t>M2-50</t>
        </is>
      </c>
      <c r="I149" t="inlineStr">
        <is>
          <t>07_Maturidade:M2-50</t>
        </is>
      </c>
      <c r="J149" t="inlineStr">
        <is>
          <t>Doc. SEI 37070578</t>
        </is>
      </c>
      <c r="K149" t="inlineStr">
        <is>
          <t>2026-09-23T11:46:31</t>
        </is>
      </c>
    </row>
    <row r="150">
      <c r="A150" t="n">
        <v>149</v>
      </c>
      <c r="B150" t="inlineStr">
        <is>
          <t>BA</t>
        </is>
      </c>
      <c r="C150" t="inlineStr">
        <is>
          <t>BA</t>
        </is>
      </c>
      <c r="D150" t="inlineStr">
        <is>
          <t>Bahia</t>
        </is>
      </c>
      <c r="E150" t="inlineStr">
        <is>
          <t>07_Maturidade</t>
        </is>
      </c>
      <c r="F150" t="inlineStr">
        <is>
          <t>Maturidade / bônus</t>
        </is>
      </c>
      <c r="G150" t="inlineStr">
        <is>
          <t>Bônus — Outros canais eletrônicos institucionais</t>
        </is>
      </c>
      <c r="H150" t="inlineStr">
        <is>
          <t>M2-49</t>
        </is>
      </c>
      <c r="I150" t="inlineStr">
        <is>
          <t>07_Maturidade:M2-49</t>
        </is>
      </c>
      <c r="J150" t="inlineStr">
        <is>
          <t>Doc. SEI 37070578</t>
        </is>
      </c>
      <c r="K150" t="inlineStr">
        <is>
          <t>2026-09-23T11:46:31</t>
        </is>
      </c>
    </row>
    <row r="151">
      <c r="A151" t="n">
        <v>150</v>
      </c>
      <c r="B151" t="inlineStr">
        <is>
          <t>BA</t>
        </is>
      </c>
      <c r="C151" t="inlineStr">
        <is>
          <t>BA</t>
        </is>
      </c>
      <c r="D151" t="inlineStr">
        <is>
          <t>Bahia</t>
        </is>
      </c>
      <c r="E151" t="inlineStr">
        <is>
          <t>07_Maturidade</t>
        </is>
      </c>
      <c r="F151" t="inlineStr">
        <is>
          <t>Maturidade / bônus</t>
        </is>
      </c>
      <c r="G151" t="inlineStr">
        <is>
          <t>Bônus — Materiais adicionais de divulgação e educação em direitos</t>
        </is>
      </c>
      <c r="H151" t="inlineStr">
        <is>
          <t>M2-36</t>
        </is>
      </c>
      <c r="I151" t="inlineStr">
        <is>
          <t>07_Maturidade:M2-36</t>
        </is>
      </c>
      <c r="J151" t="inlineStr">
        <is>
          <t>Doc. SEI 37070578</t>
        </is>
      </c>
      <c r="K151" t="inlineStr">
        <is>
          <t>2026-09-23T11:46:31</t>
        </is>
      </c>
    </row>
    <row r="152">
      <c r="A152" t="n">
        <v>151</v>
      </c>
      <c r="B152" t="inlineStr">
        <is>
          <t>CE</t>
        </is>
      </c>
      <c r="C152" t="inlineStr">
        <is>
          <t>CE</t>
        </is>
      </c>
      <c r="D152" t="inlineStr">
        <is>
          <t>Ceará</t>
        </is>
      </c>
      <c r="E152" t="inlineStr">
        <is>
          <t>01_Institucionalização</t>
        </is>
      </c>
      <c r="F152" t="inlineStr">
        <is>
          <t>Institucionalização</t>
        </is>
      </c>
      <c r="G152" t="inlineStr">
        <is>
          <t>Item 1 — Instituição formal da Ouvidoria de Serviços Penais</t>
        </is>
      </c>
      <c r="H152" t="inlineStr">
        <is>
          <t>M1-11</t>
        </is>
      </c>
      <c r="I152" t="inlineStr">
        <is>
          <t>01_Institucionalização:M1-11</t>
        </is>
      </c>
      <c r="J152" t="inlineStr">
        <is>
          <t>Doc. SEI 37070578</t>
        </is>
      </c>
      <c r="K152" t="inlineStr">
        <is>
          <t>2026-09-23T11:46:35</t>
        </is>
      </c>
    </row>
    <row r="153">
      <c r="A153" t="n">
        <v>152</v>
      </c>
      <c r="B153" t="inlineStr">
        <is>
          <t>CE</t>
        </is>
      </c>
      <c r="C153" t="inlineStr">
        <is>
          <t>CE</t>
        </is>
      </c>
      <c r="D153" t="inlineStr">
        <is>
          <t>Ceará</t>
        </is>
      </c>
      <c r="E153" t="inlineStr">
        <is>
          <t>02_Autonomia</t>
        </is>
      </c>
      <c r="F153" t="inlineStr">
        <is>
          <t>Autonomia técnica e funcional</t>
        </is>
      </c>
      <c r="G153" t="inlineStr">
        <is>
          <t>Item 1 — Garantia normativa de autonomia técnica/funcional</t>
        </is>
      </c>
      <c r="H153" t="inlineStr">
        <is>
          <t>M3-56</t>
        </is>
      </c>
      <c r="I153" t="inlineStr">
        <is>
          <t>02_Autonomia:M3-56</t>
        </is>
      </c>
      <c r="J153" t="inlineStr">
        <is>
          <t>Doc. SEI 37070578</t>
        </is>
      </c>
      <c r="K153" t="inlineStr">
        <is>
          <t>2026-09-23T11:46:31</t>
        </is>
      </c>
    </row>
    <row r="154">
      <c r="A154" t="n">
        <v>153</v>
      </c>
      <c r="B154" t="inlineStr">
        <is>
          <t>CE</t>
        </is>
      </c>
      <c r="C154" t="inlineStr">
        <is>
          <t>CE</t>
        </is>
      </c>
      <c r="D154" t="inlineStr">
        <is>
          <t>Ceará</t>
        </is>
      </c>
      <c r="E154" t="inlineStr">
        <is>
          <t>02_Autonomia</t>
        </is>
      </c>
      <c r="F154" t="inlineStr">
        <is>
          <t>Autonomia técnica e funcional</t>
        </is>
      </c>
      <c r="G154" t="inlineStr">
        <is>
          <t>Item 1 — Garantia normativa de autonomia técnica/funcional</t>
        </is>
      </c>
      <c r="H154" t="inlineStr">
        <is>
          <t>M3-57</t>
        </is>
      </c>
      <c r="I154" t="inlineStr">
        <is>
          <t>02_Autonomia:M3-57</t>
        </is>
      </c>
      <c r="J154" t="inlineStr">
        <is>
          <t>Doc. SEI 37070578</t>
        </is>
      </c>
      <c r="K154" t="inlineStr">
        <is>
          <t>2026-09-23T11:46:31</t>
        </is>
      </c>
    </row>
    <row r="155">
      <c r="A155" t="n">
        <v>154</v>
      </c>
      <c r="B155" t="inlineStr">
        <is>
          <t>CE</t>
        </is>
      </c>
      <c r="C155" t="inlineStr">
        <is>
          <t>CE</t>
        </is>
      </c>
      <c r="D155" t="inlineStr">
        <is>
          <t>Ceará</t>
        </is>
      </c>
      <c r="E155" t="inlineStr">
        <is>
          <t>02_Autonomia</t>
        </is>
      </c>
      <c r="F155" t="inlineStr">
        <is>
          <t>Autonomia técnica e funcional</t>
        </is>
      </c>
      <c r="G155" t="inlineStr">
        <is>
          <t>Item 2 — Condições institucionais de atuação sem interferência indevida</t>
        </is>
      </c>
      <c r="H155" t="inlineStr">
        <is>
          <t>M1-12</t>
        </is>
      </c>
      <c r="I155" t="inlineStr">
        <is>
          <t>02_Autonomia:M1-12</t>
        </is>
      </c>
      <c r="J155" t="inlineStr">
        <is>
          <t>Doc. SEI 37070578</t>
        </is>
      </c>
      <c r="K155" t="inlineStr">
        <is>
          <t>2026-09-23T11:46:31</t>
        </is>
      </c>
    </row>
    <row r="156">
      <c r="A156" t="n">
        <v>155</v>
      </c>
      <c r="B156" t="inlineStr">
        <is>
          <t>CE</t>
        </is>
      </c>
      <c r="C156" t="inlineStr">
        <is>
          <t>CE</t>
        </is>
      </c>
      <c r="D156" t="inlineStr">
        <is>
          <t>Ceará</t>
        </is>
      </c>
      <c r="E156" t="inlineStr">
        <is>
          <t>02_Autonomia</t>
        </is>
      </c>
      <c r="F156" t="inlineStr">
        <is>
          <t>Autonomia técnica e funcional</t>
        </is>
      </c>
      <c r="G156" t="inlineStr">
        <is>
          <t>Item 2 — Condições institucionais de atuação sem interferência indevida</t>
        </is>
      </c>
      <c r="H156" t="inlineStr">
        <is>
          <t>M4-67</t>
        </is>
      </c>
      <c r="I156" t="inlineStr">
        <is>
          <t>02_Autonomia:M4-67</t>
        </is>
      </c>
      <c r="J156" t="inlineStr">
        <is>
          <t>Doc. SEI 37070578</t>
        </is>
      </c>
      <c r="K156" t="inlineStr">
        <is>
          <t>2026-09-23T11:46:31</t>
        </is>
      </c>
    </row>
    <row r="157">
      <c r="A157" t="n">
        <v>156</v>
      </c>
      <c r="B157" t="inlineStr">
        <is>
          <t>CE</t>
        </is>
      </c>
      <c r="C157" t="inlineStr">
        <is>
          <t>CE</t>
        </is>
      </c>
      <c r="D157" t="inlineStr">
        <is>
          <t>Ceará</t>
        </is>
      </c>
      <c r="E157" t="inlineStr">
        <is>
          <t>02_Autonomia</t>
        </is>
      </c>
      <c r="F157" t="inlineStr">
        <is>
          <t>Autonomia técnica e funcional</t>
        </is>
      </c>
      <c r="G157" t="inlineStr">
        <is>
          <t>Item 2 — Condições institucionais de atuação sem interferência indevida</t>
        </is>
      </c>
      <c r="H157" t="inlineStr">
        <is>
          <t>M4-68</t>
        </is>
      </c>
      <c r="I157" t="inlineStr">
        <is>
          <t>02_Autonomia:M4-68</t>
        </is>
      </c>
      <c r="J157" t="inlineStr">
        <is>
          <t>Doc. SEI 37070578</t>
        </is>
      </c>
      <c r="K157" t="inlineStr">
        <is>
          <t>2026-09-23T11:46:31</t>
        </is>
      </c>
    </row>
    <row r="158">
      <c r="A158" t="n">
        <v>157</v>
      </c>
      <c r="B158" t="inlineStr">
        <is>
          <t>CE</t>
        </is>
      </c>
      <c r="C158" t="inlineStr">
        <is>
          <t>CE</t>
        </is>
      </c>
      <c r="D158" t="inlineStr">
        <is>
          <t>Ceará</t>
        </is>
      </c>
      <c r="E158" t="inlineStr">
        <is>
          <t>03_Imparcialidade</t>
        </is>
      </c>
      <c r="F158" t="inlineStr">
        <is>
          <t>Imparcialidade, sigilo e proteção</t>
        </is>
      </c>
      <c r="G158" t="inlineStr">
        <is>
          <t>Item 1 — Proteção e tratamento de denúncias graves e sensíveis</t>
        </is>
      </c>
      <c r="H158" t="inlineStr">
        <is>
          <t>M4-69</t>
        </is>
      </c>
      <c r="I158" t="inlineStr">
        <is>
          <t>03_Imparcialidade:M4-69</t>
        </is>
      </c>
      <c r="J158" t="inlineStr">
        <is>
          <t>Doc. SEI 37070578</t>
        </is>
      </c>
      <c r="K158" t="inlineStr">
        <is>
          <t>2026-09-23T11:46:31</t>
        </is>
      </c>
    </row>
    <row r="159">
      <c r="A159" t="n">
        <v>158</v>
      </c>
      <c r="B159" t="inlineStr">
        <is>
          <t>CE</t>
        </is>
      </c>
      <c r="C159" t="inlineStr">
        <is>
          <t>CE</t>
        </is>
      </c>
      <c r="D159" t="inlineStr">
        <is>
          <t>Ceará</t>
        </is>
      </c>
      <c r="E159" t="inlineStr">
        <is>
          <t>03_Imparcialidade</t>
        </is>
      </c>
      <c r="F159" t="inlineStr">
        <is>
          <t>Imparcialidade, sigilo e proteção</t>
        </is>
      </c>
      <c r="G159" t="inlineStr">
        <is>
          <t>Item 2 — Confidencialidade e sigilo da equipe</t>
        </is>
      </c>
      <c r="H159" t="inlineStr">
        <is>
          <t>M3-63</t>
        </is>
      </c>
      <c r="I159" t="inlineStr">
        <is>
          <t>03_Imparcialidade:M3-63</t>
        </is>
      </c>
      <c r="J159" t="inlineStr">
        <is>
          <t>Doc. SEI 37070578</t>
        </is>
      </c>
      <c r="K159" t="inlineStr">
        <is>
          <t>2026-09-23T11:46:31</t>
        </is>
      </c>
    </row>
    <row r="160">
      <c r="A160" t="n">
        <v>159</v>
      </c>
      <c r="B160" t="inlineStr">
        <is>
          <t>CE</t>
        </is>
      </c>
      <c r="C160" t="inlineStr">
        <is>
          <t>CE</t>
        </is>
      </c>
      <c r="D160" t="inlineStr">
        <is>
          <t>Ceará</t>
        </is>
      </c>
      <c r="E160" t="inlineStr">
        <is>
          <t>04_Acessibilidade</t>
        </is>
      </c>
      <c r="F160" t="inlineStr">
        <is>
          <t>Acessibilidade e atendimento humanizado</t>
        </is>
      </c>
      <c r="G160" t="inlineStr">
        <is>
          <t>Item 1 — Canais institucionais acessíveis</t>
        </is>
      </c>
      <c r="H160" t="inlineStr">
        <is>
          <t>M2-41</t>
        </is>
      </c>
      <c r="I160" t="inlineStr">
        <is>
          <t>04_Acessibilidade:M2-41</t>
        </is>
      </c>
      <c r="J160" t="inlineStr">
        <is>
          <t>Doc. SEI 37070578</t>
        </is>
      </c>
      <c r="K160" t="inlineStr">
        <is>
          <t>2026-09-23T11:46:31</t>
        </is>
      </c>
    </row>
    <row r="161">
      <c r="A161" t="n">
        <v>160</v>
      </c>
      <c r="B161" t="inlineStr">
        <is>
          <t>CE</t>
        </is>
      </c>
      <c r="C161" t="inlineStr">
        <is>
          <t>CE</t>
        </is>
      </c>
      <c r="D161" t="inlineStr">
        <is>
          <t>Ceará</t>
        </is>
      </c>
      <c r="E161" t="inlineStr">
        <is>
          <t>04_Acessibilidade</t>
        </is>
      </c>
      <c r="F161" t="inlineStr">
        <is>
          <t>Acessibilidade e atendimento humanizado</t>
        </is>
      </c>
      <c r="G161" t="inlineStr">
        <is>
          <t>Item 1 — Canais institucionais acessíveis</t>
        </is>
      </c>
      <c r="H161" t="inlineStr">
        <is>
          <t>M2-43</t>
        </is>
      </c>
      <c r="I161" t="inlineStr">
        <is>
          <t>04_Acessibilidade:M2-43</t>
        </is>
      </c>
      <c r="J161" t="inlineStr">
        <is>
          <t>Doc. SEI 37070578</t>
        </is>
      </c>
      <c r="K161" t="inlineStr">
        <is>
          <t>2026-09-23T11:46:31</t>
        </is>
      </c>
    </row>
    <row r="162">
      <c r="A162" t="n">
        <v>161</v>
      </c>
      <c r="B162" t="inlineStr">
        <is>
          <t>CE</t>
        </is>
      </c>
      <c r="C162" t="inlineStr">
        <is>
          <t>CE</t>
        </is>
      </c>
      <c r="D162" t="inlineStr">
        <is>
          <t>Ceará</t>
        </is>
      </c>
      <c r="E162" t="inlineStr">
        <is>
          <t>04_Acessibilidade</t>
        </is>
      </c>
      <c r="F162" t="inlineStr">
        <is>
          <t>Acessibilidade e atendimento humanizado</t>
        </is>
      </c>
      <c r="G162" t="inlineStr">
        <is>
          <t>Item 1 — Canais institucionais acessíveis</t>
        </is>
      </c>
      <c r="H162" t="inlineStr">
        <is>
          <t>M2-47</t>
        </is>
      </c>
      <c r="I162" t="inlineStr">
        <is>
          <t>04_Acessibilidade:M2-47</t>
        </is>
      </c>
      <c r="J162" t="inlineStr">
        <is>
          <t>Doc. SEI 37070578</t>
        </is>
      </c>
      <c r="K162" t="inlineStr">
        <is>
          <t>2026-09-23T11:46:31</t>
        </is>
      </c>
    </row>
    <row r="163">
      <c r="A163" t="n">
        <v>162</v>
      </c>
      <c r="B163" t="inlineStr">
        <is>
          <t>CE</t>
        </is>
      </c>
      <c r="C163" t="inlineStr">
        <is>
          <t>CE</t>
        </is>
      </c>
      <c r="D163" t="inlineStr">
        <is>
          <t>Ceará</t>
        </is>
      </c>
      <c r="E163" t="inlineStr">
        <is>
          <t>04_Acessibilidade</t>
        </is>
      </c>
      <c r="F163" t="inlineStr">
        <is>
          <t>Acessibilidade e atendimento humanizado</t>
        </is>
      </c>
      <c r="G163" t="inlineStr">
        <is>
          <t>Item 2 — Condições de atendimento reservado e acessível</t>
        </is>
      </c>
      <c r="H163" t="inlineStr">
        <is>
          <t>M2-16</t>
        </is>
      </c>
      <c r="I163" t="inlineStr">
        <is>
          <t>04_Acessibilidade:M2-16</t>
        </is>
      </c>
      <c r="J163" t="inlineStr">
        <is>
          <t>Doc. SEI 37070578</t>
        </is>
      </c>
      <c r="K163" t="inlineStr">
        <is>
          <t>2026-09-23T11:46:31</t>
        </is>
      </c>
    </row>
    <row r="164">
      <c r="A164" t="n">
        <v>163</v>
      </c>
      <c r="B164" t="inlineStr">
        <is>
          <t>CE</t>
        </is>
      </c>
      <c r="C164" t="inlineStr">
        <is>
          <t>CE</t>
        </is>
      </c>
      <c r="D164" t="inlineStr">
        <is>
          <t>Ceará</t>
        </is>
      </c>
      <c r="E164" t="inlineStr">
        <is>
          <t>04_Acessibilidade</t>
        </is>
      </c>
      <c r="F164" t="inlineStr">
        <is>
          <t>Acessibilidade e atendimento humanizado</t>
        </is>
      </c>
      <c r="G164" t="inlineStr">
        <is>
          <t>Item 3 — Alcance dos públicos dos serviços penais</t>
        </is>
      </c>
      <c r="H164" t="inlineStr">
        <is>
          <t>M1-13</t>
        </is>
      </c>
      <c r="I164" t="inlineStr">
        <is>
          <t>04_Acessibilidade:M1-13</t>
        </is>
      </c>
      <c r="J164" t="inlineStr">
        <is>
          <t>Doc. SEI 37070578</t>
        </is>
      </c>
      <c r="K164" t="inlineStr">
        <is>
          <t>2026-09-23T11:46:31</t>
        </is>
      </c>
    </row>
    <row r="165">
      <c r="A165" t="n">
        <v>164</v>
      </c>
      <c r="B165" t="inlineStr">
        <is>
          <t>CE</t>
        </is>
      </c>
      <c r="C165" t="inlineStr">
        <is>
          <t>CE</t>
        </is>
      </c>
      <c r="D165" t="inlineStr">
        <is>
          <t>Ceará</t>
        </is>
      </c>
      <c r="E165" t="inlineStr">
        <is>
          <t>04_Acessibilidade</t>
        </is>
      </c>
      <c r="F165" t="inlineStr">
        <is>
          <t>Acessibilidade e atendimento humanizado</t>
        </is>
      </c>
      <c r="G165" t="inlineStr">
        <is>
          <t>Item 3 — Alcance dos públicos dos serviços penais</t>
        </is>
      </c>
      <c r="H165" t="inlineStr">
        <is>
          <t>M4-64</t>
        </is>
      </c>
      <c r="I165" t="inlineStr">
        <is>
          <t>04_Acessibilidade:M4-64</t>
        </is>
      </c>
      <c r="J165" t="inlineStr">
        <is>
          <t>Doc. SEI 37070578</t>
        </is>
      </c>
      <c r="K165" t="inlineStr">
        <is>
          <t>2026-09-23T11:46:31</t>
        </is>
      </c>
    </row>
    <row r="166">
      <c r="A166" t="n">
        <v>165</v>
      </c>
      <c r="B166" t="inlineStr">
        <is>
          <t>CE</t>
        </is>
      </c>
      <c r="C166" t="inlineStr">
        <is>
          <t>CE</t>
        </is>
      </c>
      <c r="D166" t="inlineStr">
        <is>
          <t>Ceará</t>
        </is>
      </c>
      <c r="E166" t="inlineStr">
        <is>
          <t>05_Transparência</t>
        </is>
      </c>
      <c r="F166" t="inlineStr">
        <is>
          <t>Transparência e publicidade</t>
        </is>
      </c>
      <c r="G166" t="inlineStr">
        <is>
          <t>Item 1 — Visibilidade institucional e divulgação dos canais</t>
        </is>
      </c>
      <c r="H166" t="inlineStr">
        <is>
          <t>M2-35</t>
        </is>
      </c>
      <c r="I166" t="inlineStr">
        <is>
          <t>05_Transparência:M2-35</t>
        </is>
      </c>
      <c r="J166" t="inlineStr">
        <is>
          <t>Doc. SEI 37070578</t>
        </is>
      </c>
      <c r="K166" t="inlineStr">
        <is>
          <t>2026-09-23T11:46:31</t>
        </is>
      </c>
    </row>
    <row r="167">
      <c r="A167" t="n">
        <v>166</v>
      </c>
      <c r="B167" t="inlineStr">
        <is>
          <t>CE</t>
        </is>
      </c>
      <c r="C167" t="inlineStr">
        <is>
          <t>CE</t>
        </is>
      </c>
      <c r="D167" t="inlineStr">
        <is>
          <t>Ceará</t>
        </is>
      </c>
      <c r="E167" t="inlineStr">
        <is>
          <t>05_Transparência</t>
        </is>
      </c>
      <c r="F167" t="inlineStr">
        <is>
          <t>Transparência e publicidade</t>
        </is>
      </c>
      <c r="G167" t="inlineStr">
        <is>
          <t>Item 2 — Publicidade das ações e atividades</t>
        </is>
      </c>
      <c r="H167" t="inlineStr">
        <is>
          <t>M4-71</t>
        </is>
      </c>
      <c r="I167" t="inlineStr">
        <is>
          <t>05_Transparência:M4-71</t>
        </is>
      </c>
      <c r="J167" t="inlineStr">
        <is>
          <t>Doc. SEI 37070578</t>
        </is>
      </c>
      <c r="K167" t="inlineStr">
        <is>
          <t>2026-09-23T11:46:31</t>
        </is>
      </c>
    </row>
    <row r="168">
      <c r="A168" t="n">
        <v>167</v>
      </c>
      <c r="B168" t="inlineStr">
        <is>
          <t>CE</t>
        </is>
      </c>
      <c r="C168" t="inlineStr">
        <is>
          <t>CE</t>
        </is>
      </c>
      <c r="D168" t="inlineStr">
        <is>
          <t>Ceará</t>
        </is>
      </c>
      <c r="E168" t="inlineStr">
        <is>
          <t>06_Integração Tec</t>
        </is>
      </c>
      <c r="F168" t="inlineStr">
        <is>
          <t>Integração tecnológica</t>
        </is>
      </c>
      <c r="G168" t="inlineStr">
        <is>
          <t>Item 1 — Canal eletrônico e solução para registro e gestão das manifestações</t>
        </is>
      </c>
      <c r="H168" t="inlineStr">
        <is>
          <t>M2-45</t>
        </is>
      </c>
      <c r="I168" t="inlineStr">
        <is>
          <t>06_Integração Tec:M2-45</t>
        </is>
      </c>
      <c r="J168" t="inlineStr">
        <is>
          <t>Doc. SEI 37070578</t>
        </is>
      </c>
      <c r="K168" t="inlineStr">
        <is>
          <t>2026-09-23T11:46:31</t>
        </is>
      </c>
    </row>
    <row r="169">
      <c r="A169" t="n">
        <v>168</v>
      </c>
      <c r="B169" t="inlineStr">
        <is>
          <t>CE</t>
        </is>
      </c>
      <c r="C169" t="inlineStr">
        <is>
          <t>CE</t>
        </is>
      </c>
      <c r="D169" t="inlineStr">
        <is>
          <t>Ceará</t>
        </is>
      </c>
      <c r="E169" t="inlineStr">
        <is>
          <t>06_Integração Tec</t>
        </is>
      </c>
      <c r="F169" t="inlineStr">
        <is>
          <t>Integração tecnológica</t>
        </is>
      </c>
      <c r="G169" t="inlineStr">
        <is>
          <t>Item 2 — Registro, protocolo, rastreabilidade e acompanhamento</t>
        </is>
      </c>
      <c r="H169" t="inlineStr">
        <is>
          <t>M4-66</t>
        </is>
      </c>
      <c r="I169" t="inlineStr">
        <is>
          <t>06_Integração Tec:M4-66</t>
        </is>
      </c>
      <c r="J169" t="inlineStr">
        <is>
          <t>Doc. SEI 37070578</t>
        </is>
      </c>
      <c r="K169" t="inlineStr">
        <is>
          <t>2026-09-23T11:46:31</t>
        </is>
      </c>
    </row>
    <row r="170">
      <c r="A170" t="n">
        <v>169</v>
      </c>
      <c r="B170" t="inlineStr">
        <is>
          <t>CE</t>
        </is>
      </c>
      <c r="C170" t="inlineStr">
        <is>
          <t>CE</t>
        </is>
      </c>
      <c r="D170" t="inlineStr">
        <is>
          <t>Ceará</t>
        </is>
      </c>
      <c r="E170" t="inlineStr">
        <is>
          <t>06_Integração Tec</t>
        </is>
      </c>
      <c r="F170" t="inlineStr">
        <is>
          <t>Integração tecnológica</t>
        </is>
      </c>
      <c r="G170" t="inlineStr">
        <is>
          <t>Item 3 — Sigilo, autenticação e controle de acesso</t>
        </is>
      </c>
      <c r="H170" t="inlineStr">
        <is>
          <t>M2-37</t>
        </is>
      </c>
      <c r="I170" t="inlineStr">
        <is>
          <t>06_Integração Tec:M2-37</t>
        </is>
      </c>
      <c r="J170" t="inlineStr">
        <is>
          <t>Doc. SEI 37070578</t>
        </is>
      </c>
      <c r="K170" t="inlineStr">
        <is>
          <t>2026-09-23T11:46:31</t>
        </is>
      </c>
    </row>
    <row r="171">
      <c r="A171" t="n">
        <v>170</v>
      </c>
      <c r="B171" t="inlineStr">
        <is>
          <t>CE</t>
        </is>
      </c>
      <c r="C171" t="inlineStr">
        <is>
          <t>CE</t>
        </is>
      </c>
      <c r="D171" t="inlineStr">
        <is>
          <t>Ceará</t>
        </is>
      </c>
      <c r="E171" t="inlineStr">
        <is>
          <t>06_Integração Tec</t>
        </is>
      </c>
      <c r="F171" t="inlineStr">
        <is>
          <t>Integração tecnológica</t>
        </is>
      </c>
      <c r="G171" t="inlineStr">
        <is>
          <t>Item 4 — Computadores e acesso à internet</t>
        </is>
      </c>
      <c r="H171" t="inlineStr">
        <is>
          <t>M2-17</t>
        </is>
      </c>
      <c r="I171" t="inlineStr">
        <is>
          <t>06_Integração Tec:M2-17</t>
        </is>
      </c>
      <c r="J171" t="inlineStr">
        <is>
          <t>Doc. SEI 37070578</t>
        </is>
      </c>
      <c r="K171" t="inlineStr">
        <is>
          <t>2026-09-23T11:46:31</t>
        </is>
      </c>
    </row>
    <row r="172">
      <c r="A172" t="n">
        <v>171</v>
      </c>
      <c r="B172" t="inlineStr">
        <is>
          <t>CE</t>
        </is>
      </c>
      <c r="C172" t="inlineStr">
        <is>
          <t>CE</t>
        </is>
      </c>
      <c r="D172" t="inlineStr">
        <is>
          <t>Ceará</t>
        </is>
      </c>
      <c r="E172" t="inlineStr">
        <is>
          <t>06_Integração Tec</t>
        </is>
      </c>
      <c r="F172" t="inlineStr">
        <is>
          <t>Integração tecnológica</t>
        </is>
      </c>
      <c r="G172" t="inlineStr">
        <is>
          <t>Item 5 — Impressoras e scanners</t>
        </is>
      </c>
      <c r="H172" t="inlineStr">
        <is>
          <t>M2-19</t>
        </is>
      </c>
      <c r="I172" t="inlineStr">
        <is>
          <t>06_Integração Tec:M2-19</t>
        </is>
      </c>
      <c r="J172" t="inlineStr">
        <is>
          <t>Doc. SEI 37070578</t>
        </is>
      </c>
      <c r="K172" t="inlineStr">
        <is>
          <t>2026-09-23T11:46:31</t>
        </is>
      </c>
    </row>
    <row r="173">
      <c r="A173" t="n">
        <v>172</v>
      </c>
      <c r="B173" t="inlineStr">
        <is>
          <t>CE</t>
        </is>
      </c>
      <c r="C173" t="inlineStr">
        <is>
          <t>CE</t>
        </is>
      </c>
      <c r="D173" t="inlineStr">
        <is>
          <t>Ceará</t>
        </is>
      </c>
      <c r="E173" t="inlineStr">
        <is>
          <t>06_Integração Tec</t>
        </is>
      </c>
      <c r="F173" t="inlineStr">
        <is>
          <t>Integração tecnológica</t>
        </is>
      </c>
      <c r="G173" t="inlineStr">
        <is>
          <t>Item 5 — Impressoras e scanners</t>
        </is>
      </c>
      <c r="H173" t="inlineStr">
        <is>
          <t>M2-21</t>
        </is>
      </c>
      <c r="I173" t="inlineStr">
        <is>
          <t>06_Integração Tec:M2-21</t>
        </is>
      </c>
      <c r="J173" t="inlineStr">
        <is>
          <t>Doc. SEI 37070578</t>
        </is>
      </c>
      <c r="K173" t="inlineStr">
        <is>
          <t>2026-09-23T11:46:31</t>
        </is>
      </c>
    </row>
    <row r="174">
      <c r="A174" t="n">
        <v>173</v>
      </c>
      <c r="B174" t="inlineStr">
        <is>
          <t>CE</t>
        </is>
      </c>
      <c r="C174" t="inlineStr">
        <is>
          <t>CE</t>
        </is>
      </c>
      <c r="D174" t="inlineStr">
        <is>
          <t>Ceará</t>
        </is>
      </c>
      <c r="E174" t="inlineStr">
        <is>
          <t>06_Integração Tec</t>
        </is>
      </c>
      <c r="F174" t="inlineStr">
        <is>
          <t>Integração tecnológica</t>
        </is>
      </c>
      <c r="G174" t="inlineStr">
        <is>
          <t>Item 6 — Aparelhos de telefone celular</t>
        </is>
      </c>
      <c r="H174" t="inlineStr">
        <is>
          <t>M2-27</t>
        </is>
      </c>
      <c r="I174" t="inlineStr">
        <is>
          <t>06_Integração Tec:M2-27</t>
        </is>
      </c>
      <c r="J174" t="inlineStr">
        <is>
          <t>Doc. SEI 37070578</t>
        </is>
      </c>
      <c r="K174" t="inlineStr">
        <is>
          <t>2026-09-23T11:46:31</t>
        </is>
      </c>
    </row>
    <row r="175">
      <c r="A175" t="n">
        <v>174</v>
      </c>
      <c r="B175" t="inlineStr">
        <is>
          <t>CE</t>
        </is>
      </c>
      <c r="C175" t="inlineStr">
        <is>
          <t>CE</t>
        </is>
      </c>
      <c r="D175" t="inlineStr">
        <is>
          <t>Ceará</t>
        </is>
      </c>
      <c r="E175" t="inlineStr">
        <is>
          <t>07_Maturidade</t>
        </is>
      </c>
      <c r="F175" t="inlineStr">
        <is>
          <t>Maturidade / bônus</t>
        </is>
      </c>
      <c r="G175" t="inlineStr">
        <is>
          <t>Bônus — Uso do canal Fala.BR</t>
        </is>
      </c>
      <c r="H175" t="inlineStr">
        <is>
          <t>M2-46</t>
        </is>
      </c>
      <c r="I175" t="inlineStr">
        <is>
          <t>07_Maturidade:M2-46</t>
        </is>
      </c>
      <c r="J175" t="inlineStr">
        <is>
          <t>Doc. SEI 37070578</t>
        </is>
      </c>
      <c r="K175" t="inlineStr">
        <is>
          <t>2026-09-23T11:46:31</t>
        </is>
      </c>
    </row>
    <row r="176">
      <c r="A176" t="n">
        <v>175</v>
      </c>
      <c r="B176" t="inlineStr">
        <is>
          <t>CE</t>
        </is>
      </c>
      <c r="C176" t="inlineStr">
        <is>
          <t>CE</t>
        </is>
      </c>
      <c r="D176" t="inlineStr">
        <is>
          <t>Ceará</t>
        </is>
      </c>
      <c r="E176" t="inlineStr">
        <is>
          <t>07_Maturidade</t>
        </is>
      </c>
      <c r="F176" t="inlineStr">
        <is>
          <t>Maturidade / bônus</t>
        </is>
      </c>
      <c r="G176" t="inlineStr">
        <is>
          <t>Bônus — Designação por mandato</t>
        </is>
      </c>
      <c r="H176" t="inlineStr">
        <is>
          <t>M0-08</t>
        </is>
      </c>
      <c r="I176" t="inlineStr">
        <is>
          <t>07_Maturidade:M0-08</t>
        </is>
      </c>
      <c r="J176" t="inlineStr">
        <is>
          <t>Doc. SEI 37070578</t>
        </is>
      </c>
      <c r="K176" t="inlineStr">
        <is>
          <t>2026-09-23T11:46:31</t>
        </is>
      </c>
    </row>
    <row r="177">
      <c r="A177" t="n">
        <v>176</v>
      </c>
      <c r="B177" t="inlineStr">
        <is>
          <t>CE</t>
        </is>
      </c>
      <c r="C177" t="inlineStr">
        <is>
          <t>CE</t>
        </is>
      </c>
      <c r="D177" t="inlineStr">
        <is>
          <t>Ceará</t>
        </is>
      </c>
      <c r="E177" t="inlineStr">
        <is>
          <t>07_Maturidade</t>
        </is>
      </c>
      <c r="F177" t="inlineStr">
        <is>
          <t>Maturidade / bônus</t>
        </is>
      </c>
      <c r="G177" t="inlineStr">
        <is>
          <t>Bônus — Dedicação da equipe</t>
        </is>
      </c>
      <c r="H177" t="inlineStr">
        <is>
          <t>M3-60</t>
        </is>
      </c>
      <c r="I177" t="inlineStr">
        <is>
          <t>07_Maturidade:M3-60</t>
        </is>
      </c>
      <c r="J177" t="inlineStr">
        <is>
          <t>Doc. SEI 37070578</t>
        </is>
      </c>
      <c r="K177" t="inlineStr">
        <is>
          <t>2026-09-23T11:46:31</t>
        </is>
      </c>
    </row>
    <row r="178">
      <c r="A178" t="n">
        <v>177</v>
      </c>
      <c r="B178" t="inlineStr">
        <is>
          <t>CE</t>
        </is>
      </c>
      <c r="C178" t="inlineStr">
        <is>
          <t>CE</t>
        </is>
      </c>
      <c r="D178" t="inlineStr">
        <is>
          <t>Ceará</t>
        </is>
      </c>
      <c r="E178" t="inlineStr">
        <is>
          <t>07_Maturidade</t>
        </is>
      </c>
      <c r="F178" t="inlineStr">
        <is>
          <t>Maturidade / bônus</t>
        </is>
      </c>
      <c r="G178" t="inlineStr">
        <is>
          <t>Bônus — Requisitos de perfil para o cargo de Ouvidor</t>
        </is>
      </c>
      <c r="H178" t="inlineStr">
        <is>
          <t>M3-58</t>
        </is>
      </c>
      <c r="I178" t="inlineStr">
        <is>
          <t>07_Maturidade:M3-58</t>
        </is>
      </c>
      <c r="J178" t="inlineStr">
        <is>
          <t>Doc. SEI 37070578</t>
        </is>
      </c>
      <c r="K178" t="inlineStr">
        <is>
          <t>2026-09-23T11:46:31</t>
        </is>
      </c>
    </row>
    <row r="179">
      <c r="A179" t="n">
        <v>178</v>
      </c>
      <c r="B179" t="inlineStr">
        <is>
          <t>CE</t>
        </is>
      </c>
      <c r="C179" t="inlineStr">
        <is>
          <t>CE</t>
        </is>
      </c>
      <c r="D179" t="inlineStr">
        <is>
          <t>Ceará</t>
        </is>
      </c>
      <c r="E179" t="inlineStr">
        <is>
          <t>07_Maturidade</t>
        </is>
      </c>
      <c r="F179" t="inlineStr">
        <is>
          <t>Maturidade / bônus</t>
        </is>
      </c>
      <c r="G179" t="inlineStr">
        <is>
          <t>Bônus — WhatsApp institucional</t>
        </is>
      </c>
      <c r="H179" t="inlineStr">
        <is>
          <t>M2-50</t>
        </is>
      </c>
      <c r="I179" t="inlineStr">
        <is>
          <t>07_Maturidade:M2-50</t>
        </is>
      </c>
      <c r="J179" t="inlineStr">
        <is>
          <t>Doc. SEI 37070578</t>
        </is>
      </c>
      <c r="K179" t="inlineStr">
        <is>
          <t>2026-09-23T11:46:31</t>
        </is>
      </c>
    </row>
    <row r="180">
      <c r="A180" t="n">
        <v>179</v>
      </c>
      <c r="B180" t="inlineStr">
        <is>
          <t>CE</t>
        </is>
      </c>
      <c r="C180" t="inlineStr">
        <is>
          <t>CE</t>
        </is>
      </c>
      <c r="D180" t="inlineStr">
        <is>
          <t>Ceará</t>
        </is>
      </c>
      <c r="E180" t="inlineStr">
        <is>
          <t>07_Maturidade</t>
        </is>
      </c>
      <c r="F180" t="inlineStr">
        <is>
          <t>Maturidade / bônus</t>
        </is>
      </c>
      <c r="G180" t="inlineStr">
        <is>
          <t>Bônus — Outros canais eletrônicos institucionais</t>
        </is>
      </c>
      <c r="H180" t="inlineStr">
        <is>
          <t>M2-49</t>
        </is>
      </c>
      <c r="I180" t="inlineStr">
        <is>
          <t>07_Maturidade:M2-49</t>
        </is>
      </c>
      <c r="J180" t="inlineStr">
        <is>
          <t>Doc. SEI 37070578</t>
        </is>
      </c>
      <c r="K180" t="inlineStr">
        <is>
          <t>2026-09-23T11:46:31</t>
        </is>
      </c>
    </row>
    <row r="181">
      <c r="A181" t="n">
        <v>180</v>
      </c>
      <c r="B181" t="inlineStr">
        <is>
          <t>CE</t>
        </is>
      </c>
      <c r="C181" t="inlineStr">
        <is>
          <t>CE</t>
        </is>
      </c>
      <c r="D181" t="inlineStr">
        <is>
          <t>Ceará</t>
        </is>
      </c>
      <c r="E181" t="inlineStr">
        <is>
          <t>07_Maturidade</t>
        </is>
      </c>
      <c r="F181" t="inlineStr">
        <is>
          <t>Maturidade / bônus</t>
        </is>
      </c>
      <c r="G181" t="inlineStr">
        <is>
          <t>Bônus — Materiais adicionais de divulgação e educação em direitos</t>
        </is>
      </c>
      <c r="H181" t="inlineStr">
        <is>
          <t>M2-36</t>
        </is>
      </c>
      <c r="I181" t="inlineStr">
        <is>
          <t>07_Maturidade:M2-36</t>
        </is>
      </c>
      <c r="J181" t="inlineStr">
        <is>
          <t>Doc. SEI 37070578</t>
        </is>
      </c>
      <c r="K181" t="inlineStr">
        <is>
          <t>2026-09-23T11:46:31</t>
        </is>
      </c>
    </row>
    <row r="182">
      <c r="A182" t="n">
        <v>181</v>
      </c>
      <c r="B182" t="inlineStr">
        <is>
          <t>DF</t>
        </is>
      </c>
      <c r="C182" t="inlineStr">
        <is>
          <t>DF</t>
        </is>
      </c>
      <c r="D182" t="inlineStr">
        <is>
          <t>Distrito Federal</t>
        </is>
      </c>
      <c r="E182" t="inlineStr">
        <is>
          <t>01_Institucionalização</t>
        </is>
      </c>
      <c r="F182" t="inlineStr">
        <is>
          <t>Institucionalização</t>
        </is>
      </c>
      <c r="G182" t="inlineStr">
        <is>
          <t>Item 1 — Instituição formal da Ouvidoria de Serviços Penais</t>
        </is>
      </c>
      <c r="H182" t="inlineStr">
        <is>
          <t>M1-11</t>
        </is>
      </c>
      <c r="I182" t="inlineStr">
        <is>
          <t>01_Institucionalização:M1-11</t>
        </is>
      </c>
      <c r="J182" t="inlineStr">
        <is>
          <t>Doc. SEI 37070578</t>
        </is>
      </c>
      <c r="K182" t="inlineStr">
        <is>
          <t>2026-09-23T11:46:31</t>
        </is>
      </c>
    </row>
    <row r="183">
      <c r="A183" t="n">
        <v>182</v>
      </c>
      <c r="B183" t="inlineStr">
        <is>
          <t>DF</t>
        </is>
      </c>
      <c r="C183" t="inlineStr">
        <is>
          <t>DF</t>
        </is>
      </c>
      <c r="D183" t="inlineStr">
        <is>
          <t>Distrito Federal</t>
        </is>
      </c>
      <c r="E183" t="inlineStr">
        <is>
          <t>02_Autonomia</t>
        </is>
      </c>
      <c r="F183" t="inlineStr">
        <is>
          <t>Autonomia técnica e funcional</t>
        </is>
      </c>
      <c r="G183" t="inlineStr">
        <is>
          <t>Item 1 — Garantia normativa de autonomia técnica/funcional</t>
        </is>
      </c>
      <c r="H183" t="inlineStr">
        <is>
          <t>M3-56</t>
        </is>
      </c>
      <c r="I183" t="inlineStr">
        <is>
          <t>02_Autonomia:M3-56</t>
        </is>
      </c>
      <c r="J183" t="inlineStr">
        <is>
          <t>Doc. SEI 37070578</t>
        </is>
      </c>
      <c r="K183" t="inlineStr">
        <is>
          <t>2026-09-23T11:46:31</t>
        </is>
      </c>
    </row>
    <row r="184">
      <c r="A184" t="n">
        <v>183</v>
      </c>
      <c r="B184" t="inlineStr">
        <is>
          <t>DF</t>
        </is>
      </c>
      <c r="C184" t="inlineStr">
        <is>
          <t>DF</t>
        </is>
      </c>
      <c r="D184" t="inlineStr">
        <is>
          <t>Distrito Federal</t>
        </is>
      </c>
      <c r="E184" t="inlineStr">
        <is>
          <t>02_Autonomia</t>
        </is>
      </c>
      <c r="F184" t="inlineStr">
        <is>
          <t>Autonomia técnica e funcional</t>
        </is>
      </c>
      <c r="G184" t="inlineStr">
        <is>
          <t>Item 1 — Garantia normativa de autonomia técnica/funcional</t>
        </is>
      </c>
      <c r="H184" t="inlineStr">
        <is>
          <t>M3-57</t>
        </is>
      </c>
      <c r="I184" t="inlineStr">
        <is>
          <t>02_Autonomia:M3-57</t>
        </is>
      </c>
      <c r="J184" t="inlineStr">
        <is>
          <t>Doc. SEI 37070578</t>
        </is>
      </c>
      <c r="K184" t="inlineStr">
        <is>
          <t>2026-09-23T11:46:31</t>
        </is>
      </c>
    </row>
    <row r="185">
      <c r="A185" t="n">
        <v>184</v>
      </c>
      <c r="B185" t="inlineStr">
        <is>
          <t>DF</t>
        </is>
      </c>
      <c r="C185" t="inlineStr">
        <is>
          <t>DF</t>
        </is>
      </c>
      <c r="D185" t="inlineStr">
        <is>
          <t>Distrito Federal</t>
        </is>
      </c>
      <c r="E185" t="inlineStr">
        <is>
          <t>02_Autonomia</t>
        </is>
      </c>
      <c r="F185" t="inlineStr">
        <is>
          <t>Autonomia técnica e funcional</t>
        </is>
      </c>
      <c r="G185" t="inlineStr">
        <is>
          <t>Item 2 — Condições institucionais de atuação sem interferência indevida</t>
        </is>
      </c>
      <c r="H185" t="inlineStr">
        <is>
          <t>M1-12</t>
        </is>
      </c>
      <c r="I185" t="inlineStr">
        <is>
          <t>02_Autonomia:M1-12</t>
        </is>
      </c>
      <c r="J185" t="inlineStr">
        <is>
          <t>Doc. SEI 37070578</t>
        </is>
      </c>
      <c r="K185" t="inlineStr">
        <is>
          <t>2026-09-23T11:46:31</t>
        </is>
      </c>
    </row>
    <row r="186">
      <c r="A186" t="n">
        <v>185</v>
      </c>
      <c r="B186" t="inlineStr">
        <is>
          <t>DF</t>
        </is>
      </c>
      <c r="C186" t="inlineStr">
        <is>
          <t>DF</t>
        </is>
      </c>
      <c r="D186" t="inlineStr">
        <is>
          <t>Distrito Federal</t>
        </is>
      </c>
      <c r="E186" t="inlineStr">
        <is>
          <t>02_Autonomia</t>
        </is>
      </c>
      <c r="F186" t="inlineStr">
        <is>
          <t>Autonomia técnica e funcional</t>
        </is>
      </c>
      <c r="G186" t="inlineStr">
        <is>
          <t>Item 2 — Condições institucionais de atuação sem interferência indevida</t>
        </is>
      </c>
      <c r="H186" t="inlineStr">
        <is>
          <t>M4-67</t>
        </is>
      </c>
      <c r="I186" t="inlineStr">
        <is>
          <t>02_Autonomia:M4-67</t>
        </is>
      </c>
      <c r="J186" t="inlineStr">
        <is>
          <t>Doc. SEI 37070578</t>
        </is>
      </c>
      <c r="K186" t="inlineStr">
        <is>
          <t>2026-09-23T11:46:31</t>
        </is>
      </c>
    </row>
    <row r="187">
      <c r="A187" t="n">
        <v>186</v>
      </c>
      <c r="B187" t="inlineStr">
        <is>
          <t>DF</t>
        </is>
      </c>
      <c r="C187" t="inlineStr">
        <is>
          <t>DF</t>
        </is>
      </c>
      <c r="D187" t="inlineStr">
        <is>
          <t>Distrito Federal</t>
        </is>
      </c>
      <c r="E187" t="inlineStr">
        <is>
          <t>02_Autonomia</t>
        </is>
      </c>
      <c r="F187" t="inlineStr">
        <is>
          <t>Autonomia técnica e funcional</t>
        </is>
      </c>
      <c r="G187" t="inlineStr">
        <is>
          <t>Item 2 — Condições institucionais de atuação sem interferência indevida</t>
        </is>
      </c>
      <c r="H187" t="inlineStr">
        <is>
          <t>M4-68</t>
        </is>
      </c>
      <c r="I187" t="inlineStr">
        <is>
          <t>02_Autonomia:M4-68</t>
        </is>
      </c>
      <c r="J187" t="inlineStr">
        <is>
          <t>Doc. SEI 37070578</t>
        </is>
      </c>
      <c r="K187" t="inlineStr">
        <is>
          <t>2026-09-23T11:46:31</t>
        </is>
      </c>
    </row>
    <row r="188">
      <c r="A188" t="n">
        <v>187</v>
      </c>
      <c r="B188" t="inlineStr">
        <is>
          <t>DF</t>
        </is>
      </c>
      <c r="C188" t="inlineStr">
        <is>
          <t>DF</t>
        </is>
      </c>
      <c r="D188" t="inlineStr">
        <is>
          <t>Distrito Federal</t>
        </is>
      </c>
      <c r="E188" t="inlineStr">
        <is>
          <t>03_Imparcialidade</t>
        </is>
      </c>
      <c r="F188" t="inlineStr">
        <is>
          <t>Imparcialidade, sigilo e proteção</t>
        </is>
      </c>
      <c r="G188" t="inlineStr">
        <is>
          <t>Item 1 — Proteção e tratamento de denúncias graves e sensíveis</t>
        </is>
      </c>
      <c r="H188" t="inlineStr">
        <is>
          <t>M4-69</t>
        </is>
      </c>
      <c r="I188" t="inlineStr">
        <is>
          <t>03_Imparcialidade:M4-69</t>
        </is>
      </c>
      <c r="J188" t="inlineStr">
        <is>
          <t>Doc. SEI 37070578</t>
        </is>
      </c>
      <c r="K188" t="inlineStr">
        <is>
          <t>2026-09-23T11:46:31</t>
        </is>
      </c>
    </row>
    <row r="189">
      <c r="A189" t="n">
        <v>188</v>
      </c>
      <c r="B189" t="inlineStr">
        <is>
          <t>DF</t>
        </is>
      </c>
      <c r="C189" t="inlineStr">
        <is>
          <t>DF</t>
        </is>
      </c>
      <c r="D189" t="inlineStr">
        <is>
          <t>Distrito Federal</t>
        </is>
      </c>
      <c r="E189" t="inlineStr">
        <is>
          <t>03_Imparcialidade</t>
        </is>
      </c>
      <c r="F189" t="inlineStr">
        <is>
          <t>Imparcialidade, sigilo e proteção</t>
        </is>
      </c>
      <c r="G189" t="inlineStr">
        <is>
          <t>Item 2 — Confidencialidade e sigilo da equipe</t>
        </is>
      </c>
      <c r="H189" t="inlineStr">
        <is>
          <t>M3-63</t>
        </is>
      </c>
      <c r="I189" t="inlineStr">
        <is>
          <t>03_Imparcialidade:M3-63</t>
        </is>
      </c>
      <c r="J189" t="inlineStr">
        <is>
          <t>Doc. SEI 37070578</t>
        </is>
      </c>
      <c r="K189" t="inlineStr">
        <is>
          <t>2026-09-23T11:46:31</t>
        </is>
      </c>
    </row>
    <row r="190">
      <c r="A190" t="n">
        <v>189</v>
      </c>
      <c r="B190" t="inlineStr">
        <is>
          <t>DF</t>
        </is>
      </c>
      <c r="C190" t="inlineStr">
        <is>
          <t>DF</t>
        </is>
      </c>
      <c r="D190" t="inlineStr">
        <is>
          <t>Distrito Federal</t>
        </is>
      </c>
      <c r="E190" t="inlineStr">
        <is>
          <t>04_Acessibilidade</t>
        </is>
      </c>
      <c r="F190" t="inlineStr">
        <is>
          <t>Acessibilidade e atendimento humanizado</t>
        </is>
      </c>
      <c r="G190" t="inlineStr">
        <is>
          <t>Item 1 — Canais institucionais acessíveis</t>
        </is>
      </c>
      <c r="H190" t="inlineStr">
        <is>
          <t>M2-41</t>
        </is>
      </c>
      <c r="I190" t="inlineStr">
        <is>
          <t>04_Acessibilidade:M2-41</t>
        </is>
      </c>
      <c r="J190" t="inlineStr">
        <is>
          <t>Doc. SEI 37070578</t>
        </is>
      </c>
      <c r="K190" t="inlineStr">
        <is>
          <t>2026-09-23T11:46:31</t>
        </is>
      </c>
    </row>
    <row r="191">
      <c r="A191" t="n">
        <v>190</v>
      </c>
      <c r="B191" t="inlineStr">
        <is>
          <t>DF</t>
        </is>
      </c>
      <c r="C191" t="inlineStr">
        <is>
          <t>DF</t>
        </is>
      </c>
      <c r="D191" t="inlineStr">
        <is>
          <t>Distrito Federal</t>
        </is>
      </c>
      <c r="E191" t="inlineStr">
        <is>
          <t>04_Acessibilidade</t>
        </is>
      </c>
      <c r="F191" t="inlineStr">
        <is>
          <t>Acessibilidade e atendimento humanizado</t>
        </is>
      </c>
      <c r="G191" t="inlineStr">
        <is>
          <t>Item 1 — Canais institucionais acessíveis</t>
        </is>
      </c>
      <c r="H191" t="inlineStr">
        <is>
          <t>M2-43</t>
        </is>
      </c>
      <c r="I191" t="inlineStr">
        <is>
          <t>04_Acessibilidade:M2-43</t>
        </is>
      </c>
      <c r="J191" t="inlineStr">
        <is>
          <t>Doc. SEI 37070578</t>
        </is>
      </c>
      <c r="K191" t="inlineStr">
        <is>
          <t>2026-09-23T11:46:31</t>
        </is>
      </c>
    </row>
    <row r="192">
      <c r="A192" t="n">
        <v>191</v>
      </c>
      <c r="B192" t="inlineStr">
        <is>
          <t>DF</t>
        </is>
      </c>
      <c r="C192" t="inlineStr">
        <is>
          <t>DF</t>
        </is>
      </c>
      <c r="D192" t="inlineStr">
        <is>
          <t>Distrito Federal</t>
        </is>
      </c>
      <c r="E192" t="inlineStr">
        <is>
          <t>04_Acessibilidade</t>
        </is>
      </c>
      <c r="F192" t="inlineStr">
        <is>
          <t>Acessibilidade e atendimento humanizado</t>
        </is>
      </c>
      <c r="G192" t="inlineStr">
        <is>
          <t>Item 1 — Canais institucionais acessíveis</t>
        </is>
      </c>
      <c r="H192" t="inlineStr">
        <is>
          <t>M2-47</t>
        </is>
      </c>
      <c r="I192" t="inlineStr">
        <is>
          <t>04_Acessibilidade:M2-47</t>
        </is>
      </c>
      <c r="J192" t="inlineStr">
        <is>
          <t>Doc. SEI 37070578</t>
        </is>
      </c>
      <c r="K192" t="inlineStr">
        <is>
          <t>2026-09-23T11:46:31</t>
        </is>
      </c>
    </row>
    <row r="193">
      <c r="A193" t="n">
        <v>192</v>
      </c>
      <c r="B193" t="inlineStr">
        <is>
          <t>DF</t>
        </is>
      </c>
      <c r="C193" t="inlineStr">
        <is>
          <t>DF</t>
        </is>
      </c>
      <c r="D193" t="inlineStr">
        <is>
          <t>Distrito Federal</t>
        </is>
      </c>
      <c r="E193" t="inlineStr">
        <is>
          <t>04_Acessibilidade</t>
        </is>
      </c>
      <c r="F193" t="inlineStr">
        <is>
          <t>Acessibilidade e atendimento humanizado</t>
        </is>
      </c>
      <c r="G193" t="inlineStr">
        <is>
          <t>Item 2 — Condições de atendimento reservado e acessível</t>
        </is>
      </c>
      <c r="H193" t="inlineStr">
        <is>
          <t>M2-16</t>
        </is>
      </c>
      <c r="I193" t="inlineStr">
        <is>
          <t>04_Acessibilidade:M2-16</t>
        </is>
      </c>
      <c r="J193" t="inlineStr">
        <is>
          <t>Doc. SEI 37070578</t>
        </is>
      </c>
      <c r="K193" t="inlineStr">
        <is>
          <t>2026-09-23T11:46:31</t>
        </is>
      </c>
    </row>
    <row r="194">
      <c r="A194" t="n">
        <v>193</v>
      </c>
      <c r="B194" t="inlineStr">
        <is>
          <t>DF</t>
        </is>
      </c>
      <c r="C194" t="inlineStr">
        <is>
          <t>DF</t>
        </is>
      </c>
      <c r="D194" t="inlineStr">
        <is>
          <t>Distrito Federal</t>
        </is>
      </c>
      <c r="E194" t="inlineStr">
        <is>
          <t>04_Acessibilidade</t>
        </is>
      </c>
      <c r="F194" t="inlineStr">
        <is>
          <t>Acessibilidade e atendimento humanizado</t>
        </is>
      </c>
      <c r="G194" t="inlineStr">
        <is>
          <t>Item 3 — Alcance dos públicos dos serviços penais</t>
        </is>
      </c>
      <c r="H194" t="inlineStr">
        <is>
          <t>M1-13</t>
        </is>
      </c>
      <c r="I194" t="inlineStr">
        <is>
          <t>04_Acessibilidade:M1-13</t>
        </is>
      </c>
      <c r="J194" t="inlineStr">
        <is>
          <t>Doc. SEI 37070578</t>
        </is>
      </c>
      <c r="K194" t="inlineStr">
        <is>
          <t>2026-09-23T11:46:31</t>
        </is>
      </c>
    </row>
    <row r="195">
      <c r="A195" t="n">
        <v>194</v>
      </c>
      <c r="B195" t="inlineStr">
        <is>
          <t>DF</t>
        </is>
      </c>
      <c r="C195" t="inlineStr">
        <is>
          <t>DF</t>
        </is>
      </c>
      <c r="D195" t="inlineStr">
        <is>
          <t>Distrito Federal</t>
        </is>
      </c>
      <c r="E195" t="inlineStr">
        <is>
          <t>04_Acessibilidade</t>
        </is>
      </c>
      <c r="F195" t="inlineStr">
        <is>
          <t>Acessibilidade e atendimento humanizado</t>
        </is>
      </c>
      <c r="G195" t="inlineStr">
        <is>
          <t>Item 3 — Alcance dos públicos dos serviços penais</t>
        </is>
      </c>
      <c r="H195" t="inlineStr">
        <is>
          <t>M4-64</t>
        </is>
      </c>
      <c r="I195" t="inlineStr">
        <is>
          <t>04_Acessibilidade:M4-64</t>
        </is>
      </c>
      <c r="J195" t="inlineStr">
        <is>
          <t>Doc. SEI 37070578</t>
        </is>
      </c>
      <c r="K195" t="inlineStr">
        <is>
          <t>2026-09-23T11:46:31</t>
        </is>
      </c>
    </row>
    <row r="196">
      <c r="A196" t="n">
        <v>195</v>
      </c>
      <c r="B196" t="inlineStr">
        <is>
          <t>DF</t>
        </is>
      </c>
      <c r="C196" t="inlineStr">
        <is>
          <t>DF</t>
        </is>
      </c>
      <c r="D196" t="inlineStr">
        <is>
          <t>Distrito Federal</t>
        </is>
      </c>
      <c r="E196" t="inlineStr">
        <is>
          <t>05_Transparência</t>
        </is>
      </c>
      <c r="F196" t="inlineStr">
        <is>
          <t>Transparência e publicidade</t>
        </is>
      </c>
      <c r="G196" t="inlineStr">
        <is>
          <t>Item 1 — Visibilidade institucional e divulgação dos canais</t>
        </is>
      </c>
      <c r="H196" t="inlineStr">
        <is>
          <t>M2-35</t>
        </is>
      </c>
      <c r="I196" t="inlineStr">
        <is>
          <t>05_Transparência:M2-35</t>
        </is>
      </c>
      <c r="J196" t="inlineStr">
        <is>
          <t>Doc. SEI 37070578</t>
        </is>
      </c>
      <c r="K196" t="inlineStr">
        <is>
          <t>2026-09-23T11:46:31</t>
        </is>
      </c>
    </row>
    <row r="197">
      <c r="A197" t="n">
        <v>196</v>
      </c>
      <c r="B197" t="inlineStr">
        <is>
          <t>DF</t>
        </is>
      </c>
      <c r="C197" t="inlineStr">
        <is>
          <t>DF</t>
        </is>
      </c>
      <c r="D197" t="inlineStr">
        <is>
          <t>Distrito Federal</t>
        </is>
      </c>
      <c r="E197" t="inlineStr">
        <is>
          <t>05_Transparência</t>
        </is>
      </c>
      <c r="F197" t="inlineStr">
        <is>
          <t>Transparência e publicidade</t>
        </is>
      </c>
      <c r="G197" t="inlineStr">
        <is>
          <t>Item 2 — Publicidade das ações e atividades</t>
        </is>
      </c>
      <c r="H197" t="inlineStr">
        <is>
          <t>M4-71</t>
        </is>
      </c>
      <c r="I197" t="inlineStr">
        <is>
          <t>05_Transparência:M4-71</t>
        </is>
      </c>
      <c r="J197" t="inlineStr">
        <is>
          <t>Doc. SEI 37070578</t>
        </is>
      </c>
      <c r="K197" t="inlineStr">
        <is>
          <t>2026-09-23T11:46:31</t>
        </is>
      </c>
    </row>
    <row r="198">
      <c r="A198" t="n">
        <v>197</v>
      </c>
      <c r="B198" t="inlineStr">
        <is>
          <t>DF</t>
        </is>
      </c>
      <c r="C198" t="inlineStr">
        <is>
          <t>DF</t>
        </is>
      </c>
      <c r="D198" t="inlineStr">
        <is>
          <t>Distrito Federal</t>
        </is>
      </c>
      <c r="E198" t="inlineStr">
        <is>
          <t>06_Integração Tec</t>
        </is>
      </c>
      <c r="F198" t="inlineStr">
        <is>
          <t>Integração tecnológica</t>
        </is>
      </c>
      <c r="G198" t="inlineStr">
        <is>
          <t>Item 1 — Canal eletrônico e solução para registro e gestão das manifestações</t>
        </is>
      </c>
      <c r="H198" t="inlineStr">
        <is>
          <t>M2-45</t>
        </is>
      </c>
      <c r="I198" t="inlineStr">
        <is>
          <t>06_Integração Tec:M2-45</t>
        </is>
      </c>
      <c r="J198" t="inlineStr">
        <is>
          <t>Doc. SEI 37070578</t>
        </is>
      </c>
      <c r="K198" t="inlineStr">
        <is>
          <t>2026-09-23T11:46:31</t>
        </is>
      </c>
    </row>
    <row r="199">
      <c r="A199" t="n">
        <v>198</v>
      </c>
      <c r="B199" t="inlineStr">
        <is>
          <t>DF</t>
        </is>
      </c>
      <c r="C199" t="inlineStr">
        <is>
          <t>DF</t>
        </is>
      </c>
      <c r="D199" t="inlineStr">
        <is>
          <t>Distrito Federal</t>
        </is>
      </c>
      <c r="E199" t="inlineStr">
        <is>
          <t>06_Integração Tec</t>
        </is>
      </c>
      <c r="F199" t="inlineStr">
        <is>
          <t>Integração tecnológica</t>
        </is>
      </c>
      <c r="G199" t="inlineStr">
        <is>
          <t>Item 2 — Registro, protocolo, rastreabilidade e acompanhamento</t>
        </is>
      </c>
      <c r="H199" t="inlineStr">
        <is>
          <t>M4-66</t>
        </is>
      </c>
      <c r="I199" t="inlineStr">
        <is>
          <t>06_Integração Tec:M4-66</t>
        </is>
      </c>
      <c r="J199" t="inlineStr">
        <is>
          <t>Doc. SEI 37070578</t>
        </is>
      </c>
      <c r="K199" t="inlineStr">
        <is>
          <t>2026-09-23T11:46:31</t>
        </is>
      </c>
    </row>
    <row r="200">
      <c r="A200" t="n">
        <v>199</v>
      </c>
      <c r="B200" t="inlineStr">
        <is>
          <t>DF</t>
        </is>
      </c>
      <c r="C200" t="inlineStr">
        <is>
          <t>DF</t>
        </is>
      </c>
      <c r="D200" t="inlineStr">
        <is>
          <t>Distrito Federal</t>
        </is>
      </c>
      <c r="E200" t="inlineStr">
        <is>
          <t>06_Integração Tec</t>
        </is>
      </c>
      <c r="F200" t="inlineStr">
        <is>
          <t>Integração tecnológica</t>
        </is>
      </c>
      <c r="G200" t="inlineStr">
        <is>
          <t>Item 3 — Sigilo, autenticação e controle de acesso</t>
        </is>
      </c>
      <c r="H200" t="inlineStr">
        <is>
          <t>M2-37</t>
        </is>
      </c>
      <c r="I200" t="inlineStr">
        <is>
          <t>06_Integração Tec:M2-37</t>
        </is>
      </c>
      <c r="J200" t="inlineStr">
        <is>
          <t>Doc. SEI 37070578</t>
        </is>
      </c>
      <c r="K200" t="inlineStr">
        <is>
          <t>2026-09-23T11:46:31</t>
        </is>
      </c>
    </row>
    <row r="201">
      <c r="A201" t="n">
        <v>200</v>
      </c>
      <c r="B201" t="inlineStr">
        <is>
          <t>DF</t>
        </is>
      </c>
      <c r="C201" t="inlineStr">
        <is>
          <t>DF</t>
        </is>
      </c>
      <c r="D201" t="inlineStr">
        <is>
          <t>Distrito Federal</t>
        </is>
      </c>
      <c r="E201" t="inlineStr">
        <is>
          <t>06_Integração Tec</t>
        </is>
      </c>
      <c r="F201" t="inlineStr">
        <is>
          <t>Integração tecnológica</t>
        </is>
      </c>
      <c r="G201" t="inlineStr">
        <is>
          <t>Item 4 — Computadores e acesso à internet</t>
        </is>
      </c>
      <c r="H201" t="inlineStr">
        <is>
          <t>M2-17</t>
        </is>
      </c>
      <c r="I201" t="inlineStr">
        <is>
          <t>06_Integração Tec:M2-17</t>
        </is>
      </c>
      <c r="J201" t="inlineStr">
        <is>
          <t>Doc. SEI 37070578</t>
        </is>
      </c>
      <c r="K201" t="inlineStr">
        <is>
          <t>2026-09-23T11:46:31</t>
        </is>
      </c>
    </row>
    <row r="202">
      <c r="A202" t="n">
        <v>201</v>
      </c>
      <c r="B202" t="inlineStr">
        <is>
          <t>DF</t>
        </is>
      </c>
      <c r="C202" t="inlineStr">
        <is>
          <t>DF</t>
        </is>
      </c>
      <c r="D202" t="inlineStr">
        <is>
          <t>Distrito Federal</t>
        </is>
      </c>
      <c r="E202" t="inlineStr">
        <is>
          <t>06_Integração Tec</t>
        </is>
      </c>
      <c r="F202" t="inlineStr">
        <is>
          <t>Integração tecnológica</t>
        </is>
      </c>
      <c r="G202" t="inlineStr">
        <is>
          <t>Item 5 — Impressoras e scanners</t>
        </is>
      </c>
      <c r="H202" t="inlineStr">
        <is>
          <t>M2-19</t>
        </is>
      </c>
      <c r="I202" t="inlineStr">
        <is>
          <t>06_Integração Tec:M2-19</t>
        </is>
      </c>
      <c r="J202" t="inlineStr">
        <is>
          <t>Doc. SEI 37070578</t>
        </is>
      </c>
      <c r="K202" t="inlineStr">
        <is>
          <t>2026-09-23T11:46:31</t>
        </is>
      </c>
    </row>
    <row r="203">
      <c r="A203" t="n">
        <v>202</v>
      </c>
      <c r="B203" t="inlineStr">
        <is>
          <t>DF</t>
        </is>
      </c>
      <c r="C203" t="inlineStr">
        <is>
          <t>DF</t>
        </is>
      </c>
      <c r="D203" t="inlineStr">
        <is>
          <t>Distrito Federal</t>
        </is>
      </c>
      <c r="E203" t="inlineStr">
        <is>
          <t>06_Integração Tec</t>
        </is>
      </c>
      <c r="F203" t="inlineStr">
        <is>
          <t>Integração tecnológica</t>
        </is>
      </c>
      <c r="G203" t="inlineStr">
        <is>
          <t>Item 5 — Impressoras e scanners</t>
        </is>
      </c>
      <c r="H203" t="inlineStr">
        <is>
          <t>M2-21</t>
        </is>
      </c>
      <c r="I203" t="inlineStr">
        <is>
          <t>06_Integração Tec:M2-21</t>
        </is>
      </c>
      <c r="J203" t="inlineStr">
        <is>
          <t>Doc. SEI 37070578</t>
        </is>
      </c>
      <c r="K203" t="inlineStr">
        <is>
          <t>2026-09-23T11:46:31</t>
        </is>
      </c>
    </row>
    <row r="204">
      <c r="A204" t="n">
        <v>203</v>
      </c>
      <c r="B204" t="inlineStr">
        <is>
          <t>DF</t>
        </is>
      </c>
      <c r="C204" t="inlineStr">
        <is>
          <t>DF</t>
        </is>
      </c>
      <c r="D204" t="inlineStr">
        <is>
          <t>Distrito Federal</t>
        </is>
      </c>
      <c r="E204" t="inlineStr">
        <is>
          <t>06_Integração Tec</t>
        </is>
      </c>
      <c r="F204" t="inlineStr">
        <is>
          <t>Integração tecnológica</t>
        </is>
      </c>
      <c r="G204" t="inlineStr">
        <is>
          <t>Item 6 — Aparelhos de telefone celular</t>
        </is>
      </c>
      <c r="H204" t="inlineStr">
        <is>
          <t>M2-27</t>
        </is>
      </c>
      <c r="I204" t="inlineStr">
        <is>
          <t>06_Integração Tec:M2-27</t>
        </is>
      </c>
      <c r="J204" t="inlineStr">
        <is>
          <t>Doc. SEI 37070578</t>
        </is>
      </c>
      <c r="K204" t="inlineStr">
        <is>
          <t>2026-09-23T11:46:31</t>
        </is>
      </c>
    </row>
    <row r="205">
      <c r="A205" t="n">
        <v>204</v>
      </c>
      <c r="B205" t="inlineStr">
        <is>
          <t>DF</t>
        </is>
      </c>
      <c r="C205" t="inlineStr">
        <is>
          <t>DF</t>
        </is>
      </c>
      <c r="D205" t="inlineStr">
        <is>
          <t>Distrito Federal</t>
        </is>
      </c>
      <c r="E205" t="inlineStr">
        <is>
          <t>07_Maturidade</t>
        </is>
      </c>
      <c r="F205" t="inlineStr">
        <is>
          <t>Maturidade / bônus</t>
        </is>
      </c>
      <c r="G205" t="inlineStr">
        <is>
          <t>Bônus — Uso do canal Fala.BR</t>
        </is>
      </c>
      <c r="H205" t="inlineStr">
        <is>
          <t>M2-46</t>
        </is>
      </c>
      <c r="I205" t="inlineStr">
        <is>
          <t>07_Maturidade:M2-46</t>
        </is>
      </c>
      <c r="J205" t="inlineStr">
        <is>
          <t>Doc. SEI 37070578</t>
        </is>
      </c>
      <c r="K205" t="inlineStr">
        <is>
          <t>2026-09-23T11:46:31</t>
        </is>
      </c>
    </row>
    <row r="206">
      <c r="A206" t="n">
        <v>205</v>
      </c>
      <c r="B206" t="inlineStr">
        <is>
          <t>DF</t>
        </is>
      </c>
      <c r="C206" t="inlineStr">
        <is>
          <t>DF</t>
        </is>
      </c>
      <c r="D206" t="inlineStr">
        <is>
          <t>Distrito Federal</t>
        </is>
      </c>
      <c r="E206" t="inlineStr">
        <is>
          <t>07_Maturidade</t>
        </is>
      </c>
      <c r="F206" t="inlineStr">
        <is>
          <t>Maturidade / bônus</t>
        </is>
      </c>
      <c r="G206" t="inlineStr">
        <is>
          <t>Bônus — Designação por mandato</t>
        </is>
      </c>
      <c r="H206" t="inlineStr">
        <is>
          <t>M0-08</t>
        </is>
      </c>
      <c r="I206" t="inlineStr">
        <is>
          <t>07_Maturidade:M0-08</t>
        </is>
      </c>
      <c r="J206" t="inlineStr">
        <is>
          <t>Doc. SEI 37070578</t>
        </is>
      </c>
      <c r="K206" t="inlineStr">
        <is>
          <t>2026-09-23T11:46:31</t>
        </is>
      </c>
    </row>
    <row r="207">
      <c r="A207" t="n">
        <v>206</v>
      </c>
      <c r="B207" t="inlineStr">
        <is>
          <t>DF</t>
        </is>
      </c>
      <c r="C207" t="inlineStr">
        <is>
          <t>DF</t>
        </is>
      </c>
      <c r="D207" t="inlineStr">
        <is>
          <t>Distrito Federal</t>
        </is>
      </c>
      <c r="E207" t="inlineStr">
        <is>
          <t>07_Maturidade</t>
        </is>
      </c>
      <c r="F207" t="inlineStr">
        <is>
          <t>Maturidade / bônus</t>
        </is>
      </c>
      <c r="G207" t="inlineStr">
        <is>
          <t>Bônus — Dedicação da equipe</t>
        </is>
      </c>
      <c r="H207" t="inlineStr">
        <is>
          <t>M3-60</t>
        </is>
      </c>
      <c r="I207" t="inlineStr">
        <is>
          <t>07_Maturidade:M3-60</t>
        </is>
      </c>
      <c r="J207" t="inlineStr">
        <is>
          <t>Doc. SEI 37070578</t>
        </is>
      </c>
      <c r="K207" t="inlineStr">
        <is>
          <t>2026-09-23T11:46:31</t>
        </is>
      </c>
    </row>
    <row r="208">
      <c r="A208" t="n">
        <v>207</v>
      </c>
      <c r="B208" t="inlineStr">
        <is>
          <t>DF</t>
        </is>
      </c>
      <c r="C208" t="inlineStr">
        <is>
          <t>DF</t>
        </is>
      </c>
      <c r="D208" t="inlineStr">
        <is>
          <t>Distrito Federal</t>
        </is>
      </c>
      <c r="E208" t="inlineStr">
        <is>
          <t>07_Maturidade</t>
        </is>
      </c>
      <c r="F208" t="inlineStr">
        <is>
          <t>Maturidade / bônus</t>
        </is>
      </c>
      <c r="G208" t="inlineStr">
        <is>
          <t>Bônus — Requisitos de perfil para o cargo de Ouvidor</t>
        </is>
      </c>
      <c r="H208" t="inlineStr">
        <is>
          <t>M3-58</t>
        </is>
      </c>
      <c r="I208" t="inlineStr">
        <is>
          <t>07_Maturidade:M3-58</t>
        </is>
      </c>
      <c r="J208" t="inlineStr">
        <is>
          <t>Doc. SEI 37070578</t>
        </is>
      </c>
      <c r="K208" t="inlineStr">
        <is>
          <t>2026-09-23T11:46:31</t>
        </is>
      </c>
    </row>
    <row r="209">
      <c r="A209" t="n">
        <v>208</v>
      </c>
      <c r="B209" t="inlineStr">
        <is>
          <t>DF</t>
        </is>
      </c>
      <c r="C209" t="inlineStr">
        <is>
          <t>DF</t>
        </is>
      </c>
      <c r="D209" t="inlineStr">
        <is>
          <t>Distrito Federal</t>
        </is>
      </c>
      <c r="E209" t="inlineStr">
        <is>
          <t>07_Maturidade</t>
        </is>
      </c>
      <c r="F209" t="inlineStr">
        <is>
          <t>Maturidade / bônus</t>
        </is>
      </c>
      <c r="G209" t="inlineStr">
        <is>
          <t>Bônus — WhatsApp institucional</t>
        </is>
      </c>
      <c r="H209" t="inlineStr">
        <is>
          <t>M2-50</t>
        </is>
      </c>
      <c r="I209" t="inlineStr">
        <is>
          <t>07_Maturidade:M2-50</t>
        </is>
      </c>
      <c r="J209" t="inlineStr">
        <is>
          <t>Doc. SEI 37070578</t>
        </is>
      </c>
      <c r="K209" t="inlineStr">
        <is>
          <t>2026-09-23T11:46:31</t>
        </is>
      </c>
    </row>
    <row r="210">
      <c r="A210" t="n">
        <v>209</v>
      </c>
      <c r="B210" t="inlineStr">
        <is>
          <t>DF</t>
        </is>
      </c>
      <c r="C210" t="inlineStr">
        <is>
          <t>DF</t>
        </is>
      </c>
      <c r="D210" t="inlineStr">
        <is>
          <t>Distrito Federal</t>
        </is>
      </c>
      <c r="E210" t="inlineStr">
        <is>
          <t>07_Maturidade</t>
        </is>
      </c>
      <c r="F210" t="inlineStr">
        <is>
          <t>Maturidade / bônus</t>
        </is>
      </c>
      <c r="G210" t="inlineStr">
        <is>
          <t>Bônus — Outros canais eletrônicos institucionais</t>
        </is>
      </c>
      <c r="H210" t="inlineStr">
        <is>
          <t>M2-49</t>
        </is>
      </c>
      <c r="I210" t="inlineStr">
        <is>
          <t>07_Maturidade:M2-49</t>
        </is>
      </c>
      <c r="J210" t="inlineStr">
        <is>
          <t>Doc. SEI 37070578</t>
        </is>
      </c>
      <c r="K210" t="inlineStr">
        <is>
          <t>2026-09-23T11:46:31</t>
        </is>
      </c>
    </row>
    <row r="211">
      <c r="A211" t="n">
        <v>210</v>
      </c>
      <c r="B211" t="inlineStr">
        <is>
          <t>DF</t>
        </is>
      </c>
      <c r="C211" t="inlineStr">
        <is>
          <t>DF</t>
        </is>
      </c>
      <c r="D211" t="inlineStr">
        <is>
          <t>Distrito Federal</t>
        </is>
      </c>
      <c r="E211" t="inlineStr">
        <is>
          <t>07_Maturidade</t>
        </is>
      </c>
      <c r="F211" t="inlineStr">
        <is>
          <t>Maturidade / bônus</t>
        </is>
      </c>
      <c r="G211" t="inlineStr">
        <is>
          <t>Bônus — Materiais adicionais de divulgação e educação em direitos</t>
        </is>
      </c>
      <c r="H211" t="inlineStr">
        <is>
          <t>M2-36</t>
        </is>
      </c>
      <c r="I211" t="inlineStr">
        <is>
          <t>07_Maturidade:M2-36</t>
        </is>
      </c>
      <c r="J211" t="inlineStr">
        <is>
          <t>Doc. SEI 37070578</t>
        </is>
      </c>
      <c r="K211" t="inlineStr">
        <is>
          <t>2026-09-23T11:46:31</t>
        </is>
      </c>
    </row>
    <row r="212">
      <c r="A212" t="n">
        <v>211</v>
      </c>
      <c r="B212" t="inlineStr">
        <is>
          <t>ES_PP</t>
        </is>
      </c>
      <c r="C212" t="inlineStr">
        <is>
          <t>ES</t>
        </is>
      </c>
      <c r="D212" t="inlineStr">
        <is>
          <t>Espírito Santo — Polícia Penal</t>
        </is>
      </c>
      <c r="E212" t="inlineStr">
        <is>
          <t>01_Institucionalização</t>
        </is>
      </c>
      <c r="F212" t="inlineStr">
        <is>
          <t>Institucionalização</t>
        </is>
      </c>
      <c r="G212" t="inlineStr">
        <is>
          <t>Item 1 — Instituição formal da Ouvidoria de Serviços Penais</t>
        </is>
      </c>
      <c r="H212" t="inlineStr">
        <is>
          <t>M1-11</t>
        </is>
      </c>
      <c r="I212" t="inlineStr">
        <is>
          <t>01_Institucionalização:M1-11</t>
        </is>
      </c>
      <c r="J212" t="inlineStr">
        <is>
          <t>Doc. SEI 37070578</t>
        </is>
      </c>
      <c r="K212" t="inlineStr">
        <is>
          <t>2026-09-23T11:46:31</t>
        </is>
      </c>
    </row>
    <row r="213">
      <c r="A213" t="n">
        <v>212</v>
      </c>
      <c r="B213" t="inlineStr">
        <is>
          <t>ES_PP</t>
        </is>
      </c>
      <c r="C213" t="inlineStr">
        <is>
          <t>ES</t>
        </is>
      </c>
      <c r="D213" t="inlineStr">
        <is>
          <t>Espírito Santo — Polícia Penal</t>
        </is>
      </c>
      <c r="E213" t="inlineStr">
        <is>
          <t>02_Autonomia</t>
        </is>
      </c>
      <c r="F213" t="inlineStr">
        <is>
          <t>Autonomia técnica e funcional</t>
        </is>
      </c>
      <c r="G213" t="inlineStr">
        <is>
          <t>Item 1 — Garantia normativa de autonomia técnica/funcional</t>
        </is>
      </c>
      <c r="H213" t="inlineStr">
        <is>
          <t>M3-56</t>
        </is>
      </c>
      <c r="I213" t="inlineStr">
        <is>
          <t>02_Autonomia:M3-56</t>
        </is>
      </c>
      <c r="J213" t="inlineStr">
        <is>
          <t>Doc. SEI 37070578</t>
        </is>
      </c>
      <c r="K213" t="inlineStr">
        <is>
          <t>2026-09-23T11:46:31</t>
        </is>
      </c>
    </row>
    <row r="214">
      <c r="A214" t="n">
        <v>213</v>
      </c>
      <c r="B214" t="inlineStr">
        <is>
          <t>ES_PP</t>
        </is>
      </c>
      <c r="C214" t="inlineStr">
        <is>
          <t>ES</t>
        </is>
      </c>
      <c r="D214" t="inlineStr">
        <is>
          <t>Espírito Santo — Polícia Penal</t>
        </is>
      </c>
      <c r="E214" t="inlineStr">
        <is>
          <t>02_Autonomia</t>
        </is>
      </c>
      <c r="F214" t="inlineStr">
        <is>
          <t>Autonomia técnica e funcional</t>
        </is>
      </c>
      <c r="G214" t="inlineStr">
        <is>
          <t>Item 1 — Garantia normativa de autonomia técnica/funcional</t>
        </is>
      </c>
      <c r="H214" t="inlineStr">
        <is>
          <t>M3-57</t>
        </is>
      </c>
      <c r="I214" t="inlineStr">
        <is>
          <t>02_Autonomia:M3-57</t>
        </is>
      </c>
      <c r="J214" t="inlineStr">
        <is>
          <t>Doc. SEI 37070578</t>
        </is>
      </c>
      <c r="K214" t="inlineStr">
        <is>
          <t>2026-09-23T11:46:31</t>
        </is>
      </c>
    </row>
    <row r="215">
      <c r="A215" t="n">
        <v>214</v>
      </c>
      <c r="B215" t="inlineStr">
        <is>
          <t>ES_PP</t>
        </is>
      </c>
      <c r="C215" t="inlineStr">
        <is>
          <t>ES</t>
        </is>
      </c>
      <c r="D215" t="inlineStr">
        <is>
          <t>Espírito Santo — Polícia Penal</t>
        </is>
      </c>
      <c r="E215" t="inlineStr">
        <is>
          <t>02_Autonomia</t>
        </is>
      </c>
      <c r="F215" t="inlineStr">
        <is>
          <t>Autonomia técnica e funcional</t>
        </is>
      </c>
      <c r="G215" t="inlineStr">
        <is>
          <t>Item 2 — Condições institucionais de atuação sem interferência indevida</t>
        </is>
      </c>
      <c r="H215" t="inlineStr">
        <is>
          <t>M1-12</t>
        </is>
      </c>
      <c r="I215" t="inlineStr">
        <is>
          <t>02_Autonomia:M1-12</t>
        </is>
      </c>
      <c r="J215" t="inlineStr">
        <is>
          <t>Doc. SEI 37070578</t>
        </is>
      </c>
      <c r="K215" t="inlineStr">
        <is>
          <t>2026-09-23T11:46:31</t>
        </is>
      </c>
    </row>
    <row r="216">
      <c r="A216" t="n">
        <v>215</v>
      </c>
      <c r="B216" t="inlineStr">
        <is>
          <t>ES_PP</t>
        </is>
      </c>
      <c r="C216" t="inlineStr">
        <is>
          <t>ES</t>
        </is>
      </c>
      <c r="D216" t="inlineStr">
        <is>
          <t>Espírito Santo — Polícia Penal</t>
        </is>
      </c>
      <c r="E216" t="inlineStr">
        <is>
          <t>02_Autonomia</t>
        </is>
      </c>
      <c r="F216" t="inlineStr">
        <is>
          <t>Autonomia técnica e funcional</t>
        </is>
      </c>
      <c r="G216" t="inlineStr">
        <is>
          <t>Item 2 — Condições institucionais de atuação sem interferência indevida</t>
        </is>
      </c>
      <c r="H216" t="inlineStr">
        <is>
          <t>M4-67</t>
        </is>
      </c>
      <c r="I216" t="inlineStr">
        <is>
          <t>02_Autonomia:M4-67</t>
        </is>
      </c>
      <c r="J216" t="inlineStr">
        <is>
          <t>Doc. SEI 37070578</t>
        </is>
      </c>
      <c r="K216" t="inlineStr">
        <is>
          <t>2026-09-23T11:46:31</t>
        </is>
      </c>
    </row>
    <row r="217">
      <c r="A217" t="n">
        <v>216</v>
      </c>
      <c r="B217" t="inlineStr">
        <is>
          <t>ES_PP</t>
        </is>
      </c>
      <c r="C217" t="inlineStr">
        <is>
          <t>ES</t>
        </is>
      </c>
      <c r="D217" t="inlineStr">
        <is>
          <t>Espírito Santo — Polícia Penal</t>
        </is>
      </c>
      <c r="E217" t="inlineStr">
        <is>
          <t>02_Autonomia</t>
        </is>
      </c>
      <c r="F217" t="inlineStr">
        <is>
          <t>Autonomia técnica e funcional</t>
        </is>
      </c>
      <c r="G217" t="inlineStr">
        <is>
          <t>Item 2 — Condições institucionais de atuação sem interferência indevida</t>
        </is>
      </c>
      <c r="H217" t="inlineStr">
        <is>
          <t>M4-68</t>
        </is>
      </c>
      <c r="I217" t="inlineStr">
        <is>
          <t>02_Autonomia:M4-68</t>
        </is>
      </c>
      <c r="J217" t="inlineStr">
        <is>
          <t>Doc. SEI 37070578</t>
        </is>
      </c>
      <c r="K217" t="inlineStr">
        <is>
          <t>2026-09-23T11:46:31</t>
        </is>
      </c>
    </row>
    <row r="218">
      <c r="A218" t="n">
        <v>217</v>
      </c>
      <c r="B218" t="inlineStr">
        <is>
          <t>ES_PP</t>
        </is>
      </c>
      <c r="C218" t="inlineStr">
        <is>
          <t>ES</t>
        </is>
      </c>
      <c r="D218" t="inlineStr">
        <is>
          <t>Espírito Santo — Polícia Penal</t>
        </is>
      </c>
      <c r="E218" t="inlineStr">
        <is>
          <t>03_Imparcialidade</t>
        </is>
      </c>
      <c r="F218" t="inlineStr">
        <is>
          <t>Imparcialidade, sigilo e proteção</t>
        </is>
      </c>
      <c r="G218" t="inlineStr">
        <is>
          <t>Item 1 — Proteção e tratamento de denúncias graves e sensíveis</t>
        </is>
      </c>
      <c r="H218" t="inlineStr">
        <is>
          <t>M4-69</t>
        </is>
      </c>
      <c r="I218" t="inlineStr">
        <is>
          <t>03_Imparcialidade:M4-69</t>
        </is>
      </c>
      <c r="J218" t="inlineStr">
        <is>
          <t>Doc. SEI 37070578</t>
        </is>
      </c>
      <c r="K218" t="inlineStr">
        <is>
          <t>2026-09-23T11:46:31</t>
        </is>
      </c>
    </row>
    <row r="219">
      <c r="A219" t="n">
        <v>218</v>
      </c>
      <c r="B219" t="inlineStr">
        <is>
          <t>ES_PP</t>
        </is>
      </c>
      <c r="C219" t="inlineStr">
        <is>
          <t>ES</t>
        </is>
      </c>
      <c r="D219" t="inlineStr">
        <is>
          <t>Espírito Santo — Polícia Penal</t>
        </is>
      </c>
      <c r="E219" t="inlineStr">
        <is>
          <t>03_Imparcialidade</t>
        </is>
      </c>
      <c r="F219" t="inlineStr">
        <is>
          <t>Imparcialidade, sigilo e proteção</t>
        </is>
      </c>
      <c r="G219" t="inlineStr">
        <is>
          <t>Item 2 — Confidencialidade e sigilo da equipe</t>
        </is>
      </c>
      <c r="H219" t="inlineStr">
        <is>
          <t>M3-63</t>
        </is>
      </c>
      <c r="I219" t="inlineStr">
        <is>
          <t>03_Imparcialidade:M3-63</t>
        </is>
      </c>
      <c r="J219" t="inlineStr">
        <is>
          <t>Doc. SEI 37070578</t>
        </is>
      </c>
      <c r="K219" t="inlineStr">
        <is>
          <t>2026-09-23T11:46:31</t>
        </is>
      </c>
    </row>
    <row r="220">
      <c r="A220" t="n">
        <v>219</v>
      </c>
      <c r="B220" t="inlineStr">
        <is>
          <t>ES_PP</t>
        </is>
      </c>
      <c r="C220" t="inlineStr">
        <is>
          <t>ES</t>
        </is>
      </c>
      <c r="D220" t="inlineStr">
        <is>
          <t>Espírito Santo — Polícia Penal</t>
        </is>
      </c>
      <c r="E220" t="inlineStr">
        <is>
          <t>04_Acessibilidade</t>
        </is>
      </c>
      <c r="F220" t="inlineStr">
        <is>
          <t>Acessibilidade e atendimento humanizado</t>
        </is>
      </c>
      <c r="G220" t="inlineStr">
        <is>
          <t>Item 1 — Canais institucionais acessíveis</t>
        </is>
      </c>
      <c r="H220" t="inlineStr">
        <is>
          <t>M2-41</t>
        </is>
      </c>
      <c r="I220" t="inlineStr">
        <is>
          <t>04_Acessibilidade:M2-41</t>
        </is>
      </c>
      <c r="J220" t="inlineStr">
        <is>
          <t>Doc. SEI 37070578</t>
        </is>
      </c>
      <c r="K220" t="inlineStr">
        <is>
          <t>2026-09-23T11:46:31</t>
        </is>
      </c>
    </row>
    <row r="221">
      <c r="A221" t="n">
        <v>220</v>
      </c>
      <c r="B221" t="inlineStr">
        <is>
          <t>ES_PP</t>
        </is>
      </c>
      <c r="C221" t="inlineStr">
        <is>
          <t>ES</t>
        </is>
      </c>
      <c r="D221" t="inlineStr">
        <is>
          <t>Espírito Santo — Polícia Penal</t>
        </is>
      </c>
      <c r="E221" t="inlineStr">
        <is>
          <t>04_Acessibilidade</t>
        </is>
      </c>
      <c r="F221" t="inlineStr">
        <is>
          <t>Acessibilidade e atendimento humanizado</t>
        </is>
      </c>
      <c r="G221" t="inlineStr">
        <is>
          <t>Item 1 — Canais institucionais acessíveis</t>
        </is>
      </c>
      <c r="H221" t="inlineStr">
        <is>
          <t>M2-43</t>
        </is>
      </c>
      <c r="I221" t="inlineStr">
        <is>
          <t>04_Acessibilidade:M2-43</t>
        </is>
      </c>
      <c r="J221" t="inlineStr">
        <is>
          <t>Doc. SEI 37070578</t>
        </is>
      </c>
      <c r="K221" t="inlineStr">
        <is>
          <t>2026-09-23T11:46:31</t>
        </is>
      </c>
    </row>
    <row r="222">
      <c r="A222" t="n">
        <v>221</v>
      </c>
      <c r="B222" t="inlineStr">
        <is>
          <t>ES_PP</t>
        </is>
      </c>
      <c r="C222" t="inlineStr">
        <is>
          <t>ES</t>
        </is>
      </c>
      <c r="D222" t="inlineStr">
        <is>
          <t>Espírito Santo — Polícia Penal</t>
        </is>
      </c>
      <c r="E222" t="inlineStr">
        <is>
          <t>04_Acessibilidade</t>
        </is>
      </c>
      <c r="F222" t="inlineStr">
        <is>
          <t>Acessibilidade e atendimento humanizado</t>
        </is>
      </c>
      <c r="G222" t="inlineStr">
        <is>
          <t>Item 1 — Canais institucionais acessíveis</t>
        </is>
      </c>
      <c r="H222" t="inlineStr">
        <is>
          <t>M2-47</t>
        </is>
      </c>
      <c r="I222" t="inlineStr">
        <is>
          <t>04_Acessibilidade:M2-47</t>
        </is>
      </c>
      <c r="J222" t="inlineStr">
        <is>
          <t>Doc. SEI 37070578</t>
        </is>
      </c>
      <c r="K222" t="inlineStr">
        <is>
          <t>2026-09-23T11:46:31</t>
        </is>
      </c>
    </row>
    <row r="223">
      <c r="A223" t="n">
        <v>222</v>
      </c>
      <c r="B223" t="inlineStr">
        <is>
          <t>ES_PP</t>
        </is>
      </c>
      <c r="C223" t="inlineStr">
        <is>
          <t>ES</t>
        </is>
      </c>
      <c r="D223" t="inlineStr">
        <is>
          <t>Espírito Santo — Polícia Penal</t>
        </is>
      </c>
      <c r="E223" t="inlineStr">
        <is>
          <t>04_Acessibilidade</t>
        </is>
      </c>
      <c r="F223" t="inlineStr">
        <is>
          <t>Acessibilidade e atendimento humanizado</t>
        </is>
      </c>
      <c r="G223" t="inlineStr">
        <is>
          <t>Item 2 — Condições de atendimento reservado e acessível</t>
        </is>
      </c>
      <c r="H223" t="inlineStr">
        <is>
          <t>M2-16</t>
        </is>
      </c>
      <c r="I223" t="inlineStr">
        <is>
          <t>04_Acessibilidade:M2-16</t>
        </is>
      </c>
      <c r="J223" t="inlineStr">
        <is>
          <t>Doc. SEI 37070578</t>
        </is>
      </c>
      <c r="K223" t="inlineStr">
        <is>
          <t>2026-09-23T11:46:31</t>
        </is>
      </c>
    </row>
    <row r="224">
      <c r="A224" t="n">
        <v>223</v>
      </c>
      <c r="B224" t="inlineStr">
        <is>
          <t>ES_PP</t>
        </is>
      </c>
      <c r="C224" t="inlineStr">
        <is>
          <t>ES</t>
        </is>
      </c>
      <c r="D224" t="inlineStr">
        <is>
          <t>Espírito Santo — Polícia Penal</t>
        </is>
      </c>
      <c r="E224" t="inlineStr">
        <is>
          <t>04_Acessibilidade</t>
        </is>
      </c>
      <c r="F224" t="inlineStr">
        <is>
          <t>Acessibilidade e atendimento humanizado</t>
        </is>
      </c>
      <c r="G224" t="inlineStr">
        <is>
          <t>Item 3 — Alcance dos públicos dos serviços penais</t>
        </is>
      </c>
      <c r="H224" t="inlineStr">
        <is>
          <t>M1-13</t>
        </is>
      </c>
      <c r="I224" t="inlineStr">
        <is>
          <t>04_Acessibilidade:M1-13</t>
        </is>
      </c>
      <c r="J224" t="inlineStr">
        <is>
          <t>Doc. SEI 37070578</t>
        </is>
      </c>
      <c r="K224" t="inlineStr">
        <is>
          <t>2026-09-23T11:46:31</t>
        </is>
      </c>
    </row>
    <row r="225">
      <c r="A225" t="n">
        <v>224</v>
      </c>
      <c r="B225" t="inlineStr">
        <is>
          <t>ES_PP</t>
        </is>
      </c>
      <c r="C225" t="inlineStr">
        <is>
          <t>ES</t>
        </is>
      </c>
      <c r="D225" t="inlineStr">
        <is>
          <t>Espírito Santo — Polícia Penal</t>
        </is>
      </c>
      <c r="E225" t="inlineStr">
        <is>
          <t>04_Acessibilidade</t>
        </is>
      </c>
      <c r="F225" t="inlineStr">
        <is>
          <t>Acessibilidade e atendimento humanizado</t>
        </is>
      </c>
      <c r="G225" t="inlineStr">
        <is>
          <t>Item 3 — Alcance dos públicos dos serviços penais</t>
        </is>
      </c>
      <c r="H225" t="inlineStr">
        <is>
          <t>M4-64</t>
        </is>
      </c>
      <c r="I225" t="inlineStr">
        <is>
          <t>04_Acessibilidade:M4-64</t>
        </is>
      </c>
      <c r="J225" t="inlineStr">
        <is>
          <t>Doc. SEI 37070578</t>
        </is>
      </c>
      <c r="K225" t="inlineStr">
        <is>
          <t>2026-09-23T11:46:31</t>
        </is>
      </c>
    </row>
    <row r="226">
      <c r="A226" t="n">
        <v>225</v>
      </c>
      <c r="B226" t="inlineStr">
        <is>
          <t>ES_PP</t>
        </is>
      </c>
      <c r="C226" t="inlineStr">
        <is>
          <t>ES</t>
        </is>
      </c>
      <c r="D226" t="inlineStr">
        <is>
          <t>Espírito Santo — Polícia Penal</t>
        </is>
      </c>
      <c r="E226" t="inlineStr">
        <is>
          <t>05_Transparência</t>
        </is>
      </c>
      <c r="F226" t="inlineStr">
        <is>
          <t>Transparência e publicidade</t>
        </is>
      </c>
      <c r="G226" t="inlineStr">
        <is>
          <t>Item 1 — Visibilidade institucional e divulgação dos canais</t>
        </is>
      </c>
      <c r="H226" t="inlineStr">
        <is>
          <t>M2-35</t>
        </is>
      </c>
      <c r="I226" t="inlineStr">
        <is>
          <t>05_Transparência:M2-35</t>
        </is>
      </c>
      <c r="J226" t="inlineStr">
        <is>
          <t>Doc. SEI 37070578</t>
        </is>
      </c>
      <c r="K226" t="inlineStr">
        <is>
          <t>2026-09-23T11:46:31</t>
        </is>
      </c>
    </row>
    <row r="227">
      <c r="A227" t="n">
        <v>226</v>
      </c>
      <c r="B227" t="inlineStr">
        <is>
          <t>ES_PP</t>
        </is>
      </c>
      <c r="C227" t="inlineStr">
        <is>
          <t>ES</t>
        </is>
      </c>
      <c r="D227" t="inlineStr">
        <is>
          <t>Espírito Santo — Polícia Penal</t>
        </is>
      </c>
      <c r="E227" t="inlineStr">
        <is>
          <t>05_Transparência</t>
        </is>
      </c>
      <c r="F227" t="inlineStr">
        <is>
          <t>Transparência e publicidade</t>
        </is>
      </c>
      <c r="G227" t="inlineStr">
        <is>
          <t>Item 2 — Publicidade das ações e atividades</t>
        </is>
      </c>
      <c r="H227" t="inlineStr">
        <is>
          <t>M4-71</t>
        </is>
      </c>
      <c r="I227" t="inlineStr">
        <is>
          <t>05_Transparência:M4-71</t>
        </is>
      </c>
      <c r="J227" t="inlineStr">
        <is>
          <t>Doc. SEI 37070578</t>
        </is>
      </c>
      <c r="K227" t="inlineStr">
        <is>
          <t>2026-09-23T11:46:31</t>
        </is>
      </c>
    </row>
    <row r="228">
      <c r="A228" t="n">
        <v>227</v>
      </c>
      <c r="B228" t="inlineStr">
        <is>
          <t>ES_PP</t>
        </is>
      </c>
      <c r="C228" t="inlineStr">
        <is>
          <t>ES</t>
        </is>
      </c>
      <c r="D228" t="inlineStr">
        <is>
          <t>Espírito Santo — Polícia Penal</t>
        </is>
      </c>
      <c r="E228" t="inlineStr">
        <is>
          <t>06_Integração Tec</t>
        </is>
      </c>
      <c r="F228" t="inlineStr">
        <is>
          <t>Integração tecnológica</t>
        </is>
      </c>
      <c r="G228" t="inlineStr">
        <is>
          <t>Item 1 — Canal eletrônico e solução para registro e gestão das manifestações</t>
        </is>
      </c>
      <c r="H228" t="inlineStr">
        <is>
          <t>M2-45</t>
        </is>
      </c>
      <c r="I228" t="inlineStr">
        <is>
          <t>06_Integração Tec:M2-45</t>
        </is>
      </c>
      <c r="J228" t="inlineStr">
        <is>
          <t>Doc. SEI 37070578</t>
        </is>
      </c>
      <c r="K228" t="inlineStr">
        <is>
          <t>2026-09-23T11:46:31</t>
        </is>
      </c>
    </row>
    <row r="229">
      <c r="A229" t="n">
        <v>228</v>
      </c>
      <c r="B229" t="inlineStr">
        <is>
          <t>ES_PP</t>
        </is>
      </c>
      <c r="C229" t="inlineStr">
        <is>
          <t>ES</t>
        </is>
      </c>
      <c r="D229" t="inlineStr">
        <is>
          <t>Espírito Santo — Polícia Penal</t>
        </is>
      </c>
      <c r="E229" t="inlineStr">
        <is>
          <t>06_Integração Tec</t>
        </is>
      </c>
      <c r="F229" t="inlineStr">
        <is>
          <t>Integração tecnológica</t>
        </is>
      </c>
      <c r="G229" t="inlineStr">
        <is>
          <t>Item 2 — Registro, protocolo, rastreabilidade e acompanhamento</t>
        </is>
      </c>
      <c r="H229" t="inlineStr">
        <is>
          <t>M4-66</t>
        </is>
      </c>
      <c r="I229" t="inlineStr">
        <is>
          <t>06_Integração Tec:M4-66</t>
        </is>
      </c>
      <c r="J229" t="inlineStr">
        <is>
          <t>Doc. SEI 37070578</t>
        </is>
      </c>
      <c r="K229" t="inlineStr">
        <is>
          <t>2026-09-23T11:46:31</t>
        </is>
      </c>
    </row>
    <row r="230">
      <c r="A230" t="n">
        <v>229</v>
      </c>
      <c r="B230" t="inlineStr">
        <is>
          <t>ES_PP</t>
        </is>
      </c>
      <c r="C230" t="inlineStr">
        <is>
          <t>ES</t>
        </is>
      </c>
      <c r="D230" t="inlineStr">
        <is>
          <t>Espírito Santo — Polícia Penal</t>
        </is>
      </c>
      <c r="E230" t="inlineStr">
        <is>
          <t>06_Integração Tec</t>
        </is>
      </c>
      <c r="F230" t="inlineStr">
        <is>
          <t>Integração tecnológica</t>
        </is>
      </c>
      <c r="G230" t="inlineStr">
        <is>
          <t>Item 3 — Sigilo, autenticação e controle de acesso</t>
        </is>
      </c>
      <c r="H230" t="inlineStr">
        <is>
          <t>M2-37</t>
        </is>
      </c>
      <c r="I230" t="inlineStr">
        <is>
          <t>06_Integração Tec:M2-37</t>
        </is>
      </c>
      <c r="J230" t="inlineStr">
        <is>
          <t>Doc. SEI 37070578</t>
        </is>
      </c>
      <c r="K230" t="inlineStr">
        <is>
          <t>2026-09-23T11:46:31</t>
        </is>
      </c>
    </row>
    <row r="231">
      <c r="A231" t="n">
        <v>230</v>
      </c>
      <c r="B231" t="inlineStr">
        <is>
          <t>ES_PP</t>
        </is>
      </c>
      <c r="C231" t="inlineStr">
        <is>
          <t>ES</t>
        </is>
      </c>
      <c r="D231" t="inlineStr">
        <is>
          <t>Espírito Santo — Polícia Penal</t>
        </is>
      </c>
      <c r="E231" t="inlineStr">
        <is>
          <t>06_Integração Tec</t>
        </is>
      </c>
      <c r="F231" t="inlineStr">
        <is>
          <t>Integração tecnológica</t>
        </is>
      </c>
      <c r="G231" t="inlineStr">
        <is>
          <t>Item 4 — Computadores e acesso à internet</t>
        </is>
      </c>
      <c r="H231" t="inlineStr">
        <is>
          <t>M2-17</t>
        </is>
      </c>
      <c r="I231" t="inlineStr">
        <is>
          <t>06_Integração Tec:M2-17</t>
        </is>
      </c>
      <c r="J231" t="inlineStr">
        <is>
          <t>Doc. SEI 37070578</t>
        </is>
      </c>
      <c r="K231" t="inlineStr">
        <is>
          <t>2026-09-23T11:46:31</t>
        </is>
      </c>
    </row>
    <row r="232">
      <c r="A232" t="n">
        <v>231</v>
      </c>
      <c r="B232" t="inlineStr">
        <is>
          <t>ES_PP</t>
        </is>
      </c>
      <c r="C232" t="inlineStr">
        <is>
          <t>ES</t>
        </is>
      </c>
      <c r="D232" t="inlineStr">
        <is>
          <t>Espírito Santo — Polícia Penal</t>
        </is>
      </c>
      <c r="E232" t="inlineStr">
        <is>
          <t>06_Integração Tec</t>
        </is>
      </c>
      <c r="F232" t="inlineStr">
        <is>
          <t>Integração tecnológica</t>
        </is>
      </c>
      <c r="G232" t="inlineStr">
        <is>
          <t>Item 5 — Impressoras e scanners</t>
        </is>
      </c>
      <c r="H232" t="inlineStr">
        <is>
          <t>M2-19</t>
        </is>
      </c>
      <c r="I232" t="inlineStr">
        <is>
          <t>06_Integração Tec:M2-19</t>
        </is>
      </c>
      <c r="J232" t="inlineStr">
        <is>
          <t>Doc. SEI 37070578</t>
        </is>
      </c>
      <c r="K232" t="inlineStr">
        <is>
          <t>2026-09-23T11:46:31</t>
        </is>
      </c>
    </row>
    <row r="233">
      <c r="A233" t="n">
        <v>232</v>
      </c>
      <c r="B233" t="inlineStr">
        <is>
          <t>ES_PP</t>
        </is>
      </c>
      <c r="C233" t="inlineStr">
        <is>
          <t>ES</t>
        </is>
      </c>
      <c r="D233" t="inlineStr">
        <is>
          <t>Espírito Santo — Polícia Penal</t>
        </is>
      </c>
      <c r="E233" t="inlineStr">
        <is>
          <t>06_Integração Tec</t>
        </is>
      </c>
      <c r="F233" t="inlineStr">
        <is>
          <t>Integração tecnológica</t>
        </is>
      </c>
      <c r="G233" t="inlineStr">
        <is>
          <t>Item 5 — Impressoras e scanners</t>
        </is>
      </c>
      <c r="H233" t="inlineStr">
        <is>
          <t>M2-21</t>
        </is>
      </c>
      <c r="I233" t="inlineStr">
        <is>
          <t>06_Integração Tec:M2-21</t>
        </is>
      </c>
      <c r="J233" t="inlineStr">
        <is>
          <t>Doc. SEI 37070578</t>
        </is>
      </c>
      <c r="K233" t="inlineStr">
        <is>
          <t>2026-09-23T11:46:31</t>
        </is>
      </c>
    </row>
    <row r="234">
      <c r="A234" t="n">
        <v>233</v>
      </c>
      <c r="B234" t="inlineStr">
        <is>
          <t>ES_PP</t>
        </is>
      </c>
      <c r="C234" t="inlineStr">
        <is>
          <t>ES</t>
        </is>
      </c>
      <c r="D234" t="inlineStr">
        <is>
          <t>Espírito Santo — Polícia Penal</t>
        </is>
      </c>
      <c r="E234" t="inlineStr">
        <is>
          <t>06_Integração Tec</t>
        </is>
      </c>
      <c r="F234" t="inlineStr">
        <is>
          <t>Integração tecnológica</t>
        </is>
      </c>
      <c r="G234" t="inlineStr">
        <is>
          <t>Item 6 — Aparelhos de telefone celular</t>
        </is>
      </c>
      <c r="H234" t="inlineStr">
        <is>
          <t>M2-27</t>
        </is>
      </c>
      <c r="I234" t="inlineStr">
        <is>
          <t>06_Integração Tec:M2-27</t>
        </is>
      </c>
      <c r="J234" t="inlineStr">
        <is>
          <t>Doc. SEI 37070578</t>
        </is>
      </c>
      <c r="K234" t="inlineStr">
        <is>
          <t>2026-09-23T11:46:31</t>
        </is>
      </c>
    </row>
    <row r="235">
      <c r="A235" t="n">
        <v>234</v>
      </c>
      <c r="B235" t="inlineStr">
        <is>
          <t>ES_PP</t>
        </is>
      </c>
      <c r="C235" t="inlineStr">
        <is>
          <t>ES</t>
        </is>
      </c>
      <c r="D235" t="inlineStr">
        <is>
          <t>Espírito Santo — Polícia Penal</t>
        </is>
      </c>
      <c r="E235" t="inlineStr">
        <is>
          <t>07_Maturidade</t>
        </is>
      </c>
      <c r="F235" t="inlineStr">
        <is>
          <t>Maturidade / bônus</t>
        </is>
      </c>
      <c r="G235" t="inlineStr">
        <is>
          <t>Bônus — Uso do canal Fala.BR</t>
        </is>
      </c>
      <c r="H235" t="inlineStr">
        <is>
          <t>M2-46</t>
        </is>
      </c>
      <c r="I235" t="inlineStr">
        <is>
          <t>07_Maturidade:M2-46</t>
        </is>
      </c>
      <c r="J235" t="inlineStr">
        <is>
          <t>Doc. SEI 37070578</t>
        </is>
      </c>
      <c r="K235" t="inlineStr">
        <is>
          <t>2026-09-23T11:46:31</t>
        </is>
      </c>
    </row>
    <row r="236">
      <c r="A236" t="n">
        <v>235</v>
      </c>
      <c r="B236" t="inlineStr">
        <is>
          <t>ES_PP</t>
        </is>
      </c>
      <c r="C236" t="inlineStr">
        <is>
          <t>ES</t>
        </is>
      </c>
      <c r="D236" t="inlineStr">
        <is>
          <t>Espírito Santo — Polícia Penal</t>
        </is>
      </c>
      <c r="E236" t="inlineStr">
        <is>
          <t>07_Maturidade</t>
        </is>
      </c>
      <c r="F236" t="inlineStr">
        <is>
          <t>Maturidade / bônus</t>
        </is>
      </c>
      <c r="G236" t="inlineStr">
        <is>
          <t>Bônus — Designação por mandato</t>
        </is>
      </c>
      <c r="H236" t="inlineStr">
        <is>
          <t>M0-08</t>
        </is>
      </c>
      <c r="I236" t="inlineStr">
        <is>
          <t>07_Maturidade:M0-08</t>
        </is>
      </c>
      <c r="J236" t="inlineStr">
        <is>
          <t>Doc. SEI 37070578</t>
        </is>
      </c>
      <c r="K236" t="inlineStr">
        <is>
          <t>2026-09-23T11:46:31</t>
        </is>
      </c>
    </row>
    <row r="237">
      <c r="A237" t="n">
        <v>236</v>
      </c>
      <c r="B237" t="inlineStr">
        <is>
          <t>ES_PP</t>
        </is>
      </c>
      <c r="C237" t="inlineStr">
        <is>
          <t>ES</t>
        </is>
      </c>
      <c r="D237" t="inlineStr">
        <is>
          <t>Espírito Santo — Polícia Penal</t>
        </is>
      </c>
      <c r="E237" t="inlineStr">
        <is>
          <t>07_Maturidade</t>
        </is>
      </c>
      <c r="F237" t="inlineStr">
        <is>
          <t>Maturidade / bônus</t>
        </is>
      </c>
      <c r="G237" t="inlineStr">
        <is>
          <t>Bônus — Dedicação da equipe</t>
        </is>
      </c>
      <c r="H237" t="inlineStr">
        <is>
          <t>M3-60</t>
        </is>
      </c>
      <c r="I237" t="inlineStr">
        <is>
          <t>07_Maturidade:M3-60</t>
        </is>
      </c>
      <c r="J237" t="inlineStr">
        <is>
          <t>Doc. SEI 37070578</t>
        </is>
      </c>
      <c r="K237" t="inlineStr">
        <is>
          <t>2026-09-23T11:46:31</t>
        </is>
      </c>
    </row>
    <row r="238">
      <c r="A238" t="n">
        <v>237</v>
      </c>
      <c r="B238" t="inlineStr">
        <is>
          <t>ES_PP</t>
        </is>
      </c>
      <c r="C238" t="inlineStr">
        <is>
          <t>ES</t>
        </is>
      </c>
      <c r="D238" t="inlineStr">
        <is>
          <t>Espírito Santo — Polícia Penal</t>
        </is>
      </c>
      <c r="E238" t="inlineStr">
        <is>
          <t>07_Maturidade</t>
        </is>
      </c>
      <c r="F238" t="inlineStr">
        <is>
          <t>Maturidade / bônus</t>
        </is>
      </c>
      <c r="G238" t="inlineStr">
        <is>
          <t>Bônus — Requisitos de perfil para o cargo de Ouvidor</t>
        </is>
      </c>
      <c r="H238" t="inlineStr">
        <is>
          <t>M3-58</t>
        </is>
      </c>
      <c r="I238" t="inlineStr">
        <is>
          <t>07_Maturidade:M3-58</t>
        </is>
      </c>
      <c r="J238" t="inlineStr">
        <is>
          <t>Doc. SEI 37070578</t>
        </is>
      </c>
      <c r="K238" t="inlineStr">
        <is>
          <t>2026-09-23T11:46:31</t>
        </is>
      </c>
    </row>
    <row r="239">
      <c r="A239" t="n">
        <v>238</v>
      </c>
      <c r="B239" t="inlineStr">
        <is>
          <t>ES_PP</t>
        </is>
      </c>
      <c r="C239" t="inlineStr">
        <is>
          <t>ES</t>
        </is>
      </c>
      <c r="D239" t="inlineStr">
        <is>
          <t>Espírito Santo — Polícia Penal</t>
        </is>
      </c>
      <c r="E239" t="inlineStr">
        <is>
          <t>07_Maturidade</t>
        </is>
      </c>
      <c r="F239" t="inlineStr">
        <is>
          <t>Maturidade / bônus</t>
        </is>
      </c>
      <c r="G239" t="inlineStr">
        <is>
          <t>Bônus — WhatsApp institucional</t>
        </is>
      </c>
      <c r="H239" t="inlineStr">
        <is>
          <t>M2-50</t>
        </is>
      </c>
      <c r="I239" t="inlineStr">
        <is>
          <t>07_Maturidade:M2-50</t>
        </is>
      </c>
      <c r="J239" t="inlineStr">
        <is>
          <t>Doc. SEI 37070578</t>
        </is>
      </c>
      <c r="K239" t="inlineStr">
        <is>
          <t>2026-09-23T11:46:31</t>
        </is>
      </c>
    </row>
    <row r="240">
      <c r="A240" t="n">
        <v>239</v>
      </c>
      <c r="B240" t="inlineStr">
        <is>
          <t>ES_PP</t>
        </is>
      </c>
      <c r="C240" t="inlineStr">
        <is>
          <t>ES</t>
        </is>
      </c>
      <c r="D240" t="inlineStr">
        <is>
          <t>Espírito Santo — Polícia Penal</t>
        </is>
      </c>
      <c r="E240" t="inlineStr">
        <is>
          <t>07_Maturidade</t>
        </is>
      </c>
      <c r="F240" t="inlineStr">
        <is>
          <t>Maturidade / bônus</t>
        </is>
      </c>
      <c r="G240" t="inlineStr">
        <is>
          <t>Bônus — Outros canais eletrônicos institucionais</t>
        </is>
      </c>
      <c r="H240" t="inlineStr">
        <is>
          <t>M2-49</t>
        </is>
      </c>
      <c r="I240" t="inlineStr">
        <is>
          <t>07_Maturidade:M2-49</t>
        </is>
      </c>
      <c r="J240" t="inlineStr">
        <is>
          <t>Doc. SEI 37070578</t>
        </is>
      </c>
      <c r="K240" t="inlineStr">
        <is>
          <t>2026-09-23T11:46:31</t>
        </is>
      </c>
    </row>
    <row r="241">
      <c r="A241" t="n">
        <v>240</v>
      </c>
      <c r="B241" t="inlineStr">
        <is>
          <t>ES_PP</t>
        </is>
      </c>
      <c r="C241" t="inlineStr">
        <is>
          <t>ES</t>
        </is>
      </c>
      <c r="D241" t="inlineStr">
        <is>
          <t>Espírito Santo — Polícia Penal</t>
        </is>
      </c>
      <c r="E241" t="inlineStr">
        <is>
          <t>07_Maturidade</t>
        </is>
      </c>
      <c r="F241" t="inlineStr">
        <is>
          <t>Maturidade / bônus</t>
        </is>
      </c>
      <c r="G241" t="inlineStr">
        <is>
          <t>Bônus — Materiais adicionais de divulgação e educação em direitos</t>
        </is>
      </c>
      <c r="H241" t="inlineStr">
        <is>
          <t>M2-36</t>
        </is>
      </c>
      <c r="I241" t="inlineStr">
        <is>
          <t>07_Maturidade:M2-36</t>
        </is>
      </c>
      <c r="J241" t="inlineStr">
        <is>
          <t>Doc. SEI 37070578</t>
        </is>
      </c>
      <c r="K241" t="inlineStr">
        <is>
          <t>2026-09-23T11:46:31</t>
        </is>
      </c>
    </row>
    <row r="242">
      <c r="A242" t="n">
        <v>241</v>
      </c>
      <c r="B242" t="inlineStr">
        <is>
          <t>ES_SEJUS</t>
        </is>
      </c>
      <c r="C242" t="inlineStr">
        <is>
          <t>ES</t>
        </is>
      </c>
      <c r="D242" t="inlineStr">
        <is>
          <t>Espírito Santo — SEJUS/ES</t>
        </is>
      </c>
      <c r="E242" t="inlineStr">
        <is>
          <t>01_Institucionalização</t>
        </is>
      </c>
      <c r="F242" t="inlineStr">
        <is>
          <t>Institucionalização</t>
        </is>
      </c>
      <c r="G242" t="inlineStr">
        <is>
          <t>Item 1 — Instituição formal da Ouvidoria de Serviços Penais</t>
        </is>
      </c>
      <c r="H242" t="inlineStr">
        <is>
          <t>M1-11</t>
        </is>
      </c>
      <c r="I242" t="inlineStr">
        <is>
          <t>01_Institucionalização:M1-11</t>
        </is>
      </c>
      <c r="J242" t="inlineStr">
        <is>
          <t>Doc. SEI 37070578</t>
        </is>
      </c>
      <c r="K242" t="inlineStr">
        <is>
          <t>2026-09-23T11:46:31</t>
        </is>
      </c>
    </row>
    <row r="243">
      <c r="A243" t="n">
        <v>242</v>
      </c>
      <c r="B243" t="inlineStr">
        <is>
          <t>ES_SEJUS</t>
        </is>
      </c>
      <c r="C243" t="inlineStr">
        <is>
          <t>ES</t>
        </is>
      </c>
      <c r="D243" t="inlineStr">
        <is>
          <t>Espírito Santo — SEJUS/ES</t>
        </is>
      </c>
      <c r="E243" t="inlineStr">
        <is>
          <t>02_Autonomia</t>
        </is>
      </c>
      <c r="F243" t="inlineStr">
        <is>
          <t>Autonomia técnica e funcional</t>
        </is>
      </c>
      <c r="G243" t="inlineStr">
        <is>
          <t>Item 1 — Garantia normativa de autonomia técnica/funcional</t>
        </is>
      </c>
      <c r="H243" t="inlineStr">
        <is>
          <t>M3-56</t>
        </is>
      </c>
      <c r="I243" t="inlineStr">
        <is>
          <t>02_Autonomia:M3-56</t>
        </is>
      </c>
      <c r="J243" t="inlineStr">
        <is>
          <t>Doc. SEI 37070578</t>
        </is>
      </c>
      <c r="K243" t="inlineStr">
        <is>
          <t>2026-09-23T11:46:31</t>
        </is>
      </c>
    </row>
    <row r="244">
      <c r="A244" t="n">
        <v>243</v>
      </c>
      <c r="B244" t="inlineStr">
        <is>
          <t>ES_SEJUS</t>
        </is>
      </c>
      <c r="C244" t="inlineStr">
        <is>
          <t>ES</t>
        </is>
      </c>
      <c r="D244" t="inlineStr">
        <is>
          <t>Espírito Santo — SEJUS/ES</t>
        </is>
      </c>
      <c r="E244" t="inlineStr">
        <is>
          <t>02_Autonomia</t>
        </is>
      </c>
      <c r="F244" t="inlineStr">
        <is>
          <t>Autonomia técnica e funcional</t>
        </is>
      </c>
      <c r="G244" t="inlineStr">
        <is>
          <t>Item 1 — Garantia normativa de autonomia técnica/funcional</t>
        </is>
      </c>
      <c r="H244" t="inlineStr">
        <is>
          <t>M3-57</t>
        </is>
      </c>
      <c r="I244" t="inlineStr">
        <is>
          <t>02_Autonomia:M3-57</t>
        </is>
      </c>
      <c r="J244" t="inlineStr">
        <is>
          <t>Doc. SEI 37070578</t>
        </is>
      </c>
      <c r="K244" t="inlineStr">
        <is>
          <t>2026-09-23T11:46:31</t>
        </is>
      </c>
    </row>
    <row r="245">
      <c r="A245" t="n">
        <v>244</v>
      </c>
      <c r="B245" t="inlineStr">
        <is>
          <t>ES_SEJUS</t>
        </is>
      </c>
      <c r="C245" t="inlineStr">
        <is>
          <t>ES</t>
        </is>
      </c>
      <c r="D245" t="inlineStr">
        <is>
          <t>Espírito Santo — SEJUS/ES</t>
        </is>
      </c>
      <c r="E245" t="inlineStr">
        <is>
          <t>02_Autonomia</t>
        </is>
      </c>
      <c r="F245" t="inlineStr">
        <is>
          <t>Autonomia técnica e funcional</t>
        </is>
      </c>
      <c r="G245" t="inlineStr">
        <is>
          <t>Item 2 — Condições institucionais de atuação sem interferência indevida</t>
        </is>
      </c>
      <c r="H245" t="inlineStr">
        <is>
          <t>M1-12</t>
        </is>
      </c>
      <c r="I245" t="inlineStr">
        <is>
          <t>02_Autonomia:M1-12</t>
        </is>
      </c>
      <c r="J245" t="inlineStr">
        <is>
          <t>Doc. SEI 37070578</t>
        </is>
      </c>
      <c r="K245" t="inlineStr">
        <is>
          <t>2026-09-23T11:46:31</t>
        </is>
      </c>
    </row>
    <row r="246">
      <c r="A246" t="n">
        <v>245</v>
      </c>
      <c r="B246" t="inlineStr">
        <is>
          <t>ES_SEJUS</t>
        </is>
      </c>
      <c r="C246" t="inlineStr">
        <is>
          <t>ES</t>
        </is>
      </c>
      <c r="D246" t="inlineStr">
        <is>
          <t>Espírito Santo — SEJUS/ES</t>
        </is>
      </c>
      <c r="E246" t="inlineStr">
        <is>
          <t>02_Autonomia</t>
        </is>
      </c>
      <c r="F246" t="inlineStr">
        <is>
          <t>Autonomia técnica e funcional</t>
        </is>
      </c>
      <c r="G246" t="inlineStr">
        <is>
          <t>Item 2 — Condições institucionais de atuação sem interferência indevida</t>
        </is>
      </c>
      <c r="H246" t="inlineStr">
        <is>
          <t>M4-67</t>
        </is>
      </c>
      <c r="I246" t="inlineStr">
        <is>
          <t>02_Autonomia:M4-67</t>
        </is>
      </c>
      <c r="J246" t="inlineStr">
        <is>
          <t>Doc. SEI 37070578</t>
        </is>
      </c>
      <c r="K246" t="inlineStr">
        <is>
          <t>2026-09-23T11:46:31</t>
        </is>
      </c>
    </row>
    <row r="247">
      <c r="A247" t="n">
        <v>246</v>
      </c>
      <c r="B247" t="inlineStr">
        <is>
          <t>ES_SEJUS</t>
        </is>
      </c>
      <c r="C247" t="inlineStr">
        <is>
          <t>ES</t>
        </is>
      </c>
      <c r="D247" t="inlineStr">
        <is>
          <t>Espírito Santo — SEJUS/ES</t>
        </is>
      </c>
      <c r="E247" t="inlineStr">
        <is>
          <t>02_Autonomia</t>
        </is>
      </c>
      <c r="F247" t="inlineStr">
        <is>
          <t>Autonomia técnica e funcional</t>
        </is>
      </c>
      <c r="G247" t="inlineStr">
        <is>
          <t>Item 2 — Condições institucionais de atuação sem interferência indevida</t>
        </is>
      </c>
      <c r="H247" t="inlineStr">
        <is>
          <t>M4-68</t>
        </is>
      </c>
      <c r="I247" t="inlineStr">
        <is>
          <t>02_Autonomia:M4-68</t>
        </is>
      </c>
      <c r="J247" t="inlineStr">
        <is>
          <t>Doc. SEI 37070578</t>
        </is>
      </c>
      <c r="K247" t="inlineStr">
        <is>
          <t>2026-09-23T11:46:31</t>
        </is>
      </c>
    </row>
    <row r="248">
      <c r="A248" t="n">
        <v>247</v>
      </c>
      <c r="B248" t="inlineStr">
        <is>
          <t>ES_SEJUS</t>
        </is>
      </c>
      <c r="C248" t="inlineStr">
        <is>
          <t>ES</t>
        </is>
      </c>
      <c r="D248" t="inlineStr">
        <is>
          <t>Espírito Santo — SEJUS/ES</t>
        </is>
      </c>
      <c r="E248" t="inlineStr">
        <is>
          <t>03_Imparcialidade</t>
        </is>
      </c>
      <c r="F248" t="inlineStr">
        <is>
          <t>Imparcialidade, sigilo e proteção</t>
        </is>
      </c>
      <c r="G248" t="inlineStr">
        <is>
          <t>Item 1 — Proteção e tratamento de denúncias graves e sensíveis</t>
        </is>
      </c>
      <c r="H248" t="inlineStr">
        <is>
          <t>M4-69</t>
        </is>
      </c>
      <c r="I248" t="inlineStr">
        <is>
          <t>03_Imparcialidade:M4-69</t>
        </is>
      </c>
      <c r="J248" t="inlineStr">
        <is>
          <t>Doc. SEI 37070578</t>
        </is>
      </c>
      <c r="K248" t="inlineStr">
        <is>
          <t>2026-09-23T11:46:31</t>
        </is>
      </c>
    </row>
    <row r="249">
      <c r="A249" t="n">
        <v>248</v>
      </c>
      <c r="B249" t="inlineStr">
        <is>
          <t>ES_SEJUS</t>
        </is>
      </c>
      <c r="C249" t="inlineStr">
        <is>
          <t>ES</t>
        </is>
      </c>
      <c r="D249" t="inlineStr">
        <is>
          <t>Espírito Santo — SEJUS/ES</t>
        </is>
      </c>
      <c r="E249" t="inlineStr">
        <is>
          <t>03_Imparcialidade</t>
        </is>
      </c>
      <c r="F249" t="inlineStr">
        <is>
          <t>Imparcialidade, sigilo e proteção</t>
        </is>
      </c>
      <c r="G249" t="inlineStr">
        <is>
          <t>Item 2 — Confidencialidade e sigilo da equipe</t>
        </is>
      </c>
      <c r="H249" t="inlineStr">
        <is>
          <t>M3-63</t>
        </is>
      </c>
      <c r="I249" t="inlineStr">
        <is>
          <t>03_Imparcialidade:M3-63</t>
        </is>
      </c>
      <c r="J249" t="inlineStr">
        <is>
          <t>Doc. SEI 37070578</t>
        </is>
      </c>
      <c r="K249" t="inlineStr">
        <is>
          <t>2026-09-23T11:46:31</t>
        </is>
      </c>
    </row>
    <row r="250">
      <c r="A250" t="n">
        <v>249</v>
      </c>
      <c r="B250" t="inlineStr">
        <is>
          <t>ES_SEJUS</t>
        </is>
      </c>
      <c r="C250" t="inlineStr">
        <is>
          <t>ES</t>
        </is>
      </c>
      <c r="D250" t="inlineStr">
        <is>
          <t>Espírito Santo — SEJUS/ES</t>
        </is>
      </c>
      <c r="E250" t="inlineStr">
        <is>
          <t>04_Acessibilidade</t>
        </is>
      </c>
      <c r="F250" t="inlineStr">
        <is>
          <t>Acessibilidade e atendimento humanizado</t>
        </is>
      </c>
      <c r="G250" t="inlineStr">
        <is>
          <t>Item 1 — Canais institucionais acessíveis</t>
        </is>
      </c>
      <c r="H250" t="inlineStr">
        <is>
          <t>M2-41</t>
        </is>
      </c>
      <c r="I250" t="inlineStr">
        <is>
          <t>04_Acessibilidade:M2-41</t>
        </is>
      </c>
      <c r="J250" t="inlineStr">
        <is>
          <t>Doc. SEI 37070578</t>
        </is>
      </c>
      <c r="K250" t="inlineStr">
        <is>
          <t>2026-09-23T11:46:31</t>
        </is>
      </c>
    </row>
    <row r="251">
      <c r="A251" t="n">
        <v>250</v>
      </c>
      <c r="B251" t="inlineStr">
        <is>
          <t>ES_SEJUS</t>
        </is>
      </c>
      <c r="C251" t="inlineStr">
        <is>
          <t>ES</t>
        </is>
      </c>
      <c r="D251" t="inlineStr">
        <is>
          <t>Espírito Santo — SEJUS/ES</t>
        </is>
      </c>
      <c r="E251" t="inlineStr">
        <is>
          <t>04_Acessibilidade</t>
        </is>
      </c>
      <c r="F251" t="inlineStr">
        <is>
          <t>Acessibilidade e atendimento humanizado</t>
        </is>
      </c>
      <c r="G251" t="inlineStr">
        <is>
          <t>Item 1 — Canais institucionais acessíveis</t>
        </is>
      </c>
      <c r="H251" t="inlineStr">
        <is>
          <t>M2-43</t>
        </is>
      </c>
      <c r="I251" t="inlineStr">
        <is>
          <t>04_Acessibilidade:M2-43</t>
        </is>
      </c>
      <c r="J251" t="inlineStr">
        <is>
          <t>Doc. SEI 37070578</t>
        </is>
      </c>
      <c r="K251" t="inlineStr">
        <is>
          <t>2026-09-23T11:46:31</t>
        </is>
      </c>
    </row>
    <row r="252">
      <c r="A252" t="n">
        <v>251</v>
      </c>
      <c r="B252" t="inlineStr">
        <is>
          <t>ES_SEJUS</t>
        </is>
      </c>
      <c r="C252" t="inlineStr">
        <is>
          <t>ES</t>
        </is>
      </c>
      <c r="D252" t="inlineStr">
        <is>
          <t>Espírito Santo — SEJUS/ES</t>
        </is>
      </c>
      <c r="E252" t="inlineStr">
        <is>
          <t>04_Acessibilidade</t>
        </is>
      </c>
      <c r="F252" t="inlineStr">
        <is>
          <t>Acessibilidade e atendimento humanizado</t>
        </is>
      </c>
      <c r="G252" t="inlineStr">
        <is>
          <t>Item 1 — Canais institucionais acessíveis</t>
        </is>
      </c>
      <c r="H252" t="inlineStr">
        <is>
          <t>M2-47</t>
        </is>
      </c>
      <c r="I252" t="inlineStr">
        <is>
          <t>04_Acessibilidade:M2-47</t>
        </is>
      </c>
      <c r="J252" t="inlineStr">
        <is>
          <t>Doc. SEI 37070578</t>
        </is>
      </c>
      <c r="K252" t="inlineStr">
        <is>
          <t>2026-09-23T11:46:31</t>
        </is>
      </c>
    </row>
    <row r="253">
      <c r="A253" t="n">
        <v>252</v>
      </c>
      <c r="B253" t="inlineStr">
        <is>
          <t>ES_SEJUS</t>
        </is>
      </c>
      <c r="C253" t="inlineStr">
        <is>
          <t>ES</t>
        </is>
      </c>
      <c r="D253" t="inlineStr">
        <is>
          <t>Espírito Santo — SEJUS/ES</t>
        </is>
      </c>
      <c r="E253" t="inlineStr">
        <is>
          <t>04_Acessibilidade</t>
        </is>
      </c>
      <c r="F253" t="inlineStr">
        <is>
          <t>Acessibilidade e atendimento humanizado</t>
        </is>
      </c>
      <c r="G253" t="inlineStr">
        <is>
          <t>Item 2 — Condições de atendimento reservado e acessível</t>
        </is>
      </c>
      <c r="H253" t="inlineStr">
        <is>
          <t>M2-16</t>
        </is>
      </c>
      <c r="I253" t="inlineStr">
        <is>
          <t>04_Acessibilidade:M2-16</t>
        </is>
      </c>
      <c r="J253" t="inlineStr">
        <is>
          <t>Doc. SEI 37070578</t>
        </is>
      </c>
      <c r="K253" t="inlineStr">
        <is>
          <t>2026-09-23T11:46:31</t>
        </is>
      </c>
    </row>
    <row r="254">
      <c r="A254" t="n">
        <v>253</v>
      </c>
      <c r="B254" t="inlineStr">
        <is>
          <t>ES_SEJUS</t>
        </is>
      </c>
      <c r="C254" t="inlineStr">
        <is>
          <t>ES</t>
        </is>
      </c>
      <c r="D254" t="inlineStr">
        <is>
          <t>Espírito Santo — SEJUS/ES</t>
        </is>
      </c>
      <c r="E254" t="inlineStr">
        <is>
          <t>04_Acessibilidade</t>
        </is>
      </c>
      <c r="F254" t="inlineStr">
        <is>
          <t>Acessibilidade e atendimento humanizado</t>
        </is>
      </c>
      <c r="G254" t="inlineStr">
        <is>
          <t>Item 3 — Alcance dos públicos dos serviços penais</t>
        </is>
      </c>
      <c r="H254" t="inlineStr">
        <is>
          <t>M1-13</t>
        </is>
      </c>
      <c r="I254" t="inlineStr">
        <is>
          <t>04_Acessibilidade:M1-13</t>
        </is>
      </c>
      <c r="J254" t="inlineStr">
        <is>
          <t>Doc. SEI 37070578</t>
        </is>
      </c>
      <c r="K254" t="inlineStr">
        <is>
          <t>2026-09-23T11:46:31</t>
        </is>
      </c>
    </row>
    <row r="255">
      <c r="A255" t="n">
        <v>254</v>
      </c>
      <c r="B255" t="inlineStr">
        <is>
          <t>ES_SEJUS</t>
        </is>
      </c>
      <c r="C255" t="inlineStr">
        <is>
          <t>ES</t>
        </is>
      </c>
      <c r="D255" t="inlineStr">
        <is>
          <t>Espírito Santo — SEJUS/ES</t>
        </is>
      </c>
      <c r="E255" t="inlineStr">
        <is>
          <t>04_Acessibilidade</t>
        </is>
      </c>
      <c r="F255" t="inlineStr">
        <is>
          <t>Acessibilidade e atendimento humanizado</t>
        </is>
      </c>
      <c r="G255" t="inlineStr">
        <is>
          <t>Item 3 — Alcance dos públicos dos serviços penais</t>
        </is>
      </c>
      <c r="H255" t="inlineStr">
        <is>
          <t>M4-64</t>
        </is>
      </c>
      <c r="I255" t="inlineStr">
        <is>
          <t>04_Acessibilidade:M4-64</t>
        </is>
      </c>
      <c r="J255" t="inlineStr">
        <is>
          <t>Doc. SEI 37070578</t>
        </is>
      </c>
      <c r="K255" t="inlineStr">
        <is>
          <t>2026-09-23T11:46:31</t>
        </is>
      </c>
    </row>
    <row r="256">
      <c r="A256" t="n">
        <v>255</v>
      </c>
      <c r="B256" t="inlineStr">
        <is>
          <t>ES_SEJUS</t>
        </is>
      </c>
      <c r="C256" t="inlineStr">
        <is>
          <t>ES</t>
        </is>
      </c>
      <c r="D256" t="inlineStr">
        <is>
          <t>Espírito Santo — SEJUS/ES</t>
        </is>
      </c>
      <c r="E256" t="inlineStr">
        <is>
          <t>05_Transparência</t>
        </is>
      </c>
      <c r="F256" t="inlineStr">
        <is>
          <t>Transparência e publicidade</t>
        </is>
      </c>
      <c r="G256" t="inlineStr">
        <is>
          <t>Item 1 — Visibilidade institucional e divulgação dos canais</t>
        </is>
      </c>
      <c r="H256" t="inlineStr">
        <is>
          <t>M2-35</t>
        </is>
      </c>
      <c r="I256" t="inlineStr">
        <is>
          <t>05_Transparência:M2-35</t>
        </is>
      </c>
      <c r="J256" t="inlineStr">
        <is>
          <t>Doc. SEI 37070578</t>
        </is>
      </c>
      <c r="K256" t="inlineStr">
        <is>
          <t>2026-09-23T11:46:31</t>
        </is>
      </c>
    </row>
    <row r="257">
      <c r="A257" t="n">
        <v>256</v>
      </c>
      <c r="B257" t="inlineStr">
        <is>
          <t>ES_SEJUS</t>
        </is>
      </c>
      <c r="C257" t="inlineStr">
        <is>
          <t>ES</t>
        </is>
      </c>
      <c r="D257" t="inlineStr">
        <is>
          <t>Espírito Santo — SEJUS/ES</t>
        </is>
      </c>
      <c r="E257" t="inlineStr">
        <is>
          <t>05_Transparência</t>
        </is>
      </c>
      <c r="F257" t="inlineStr">
        <is>
          <t>Transparência e publicidade</t>
        </is>
      </c>
      <c r="G257" t="inlineStr">
        <is>
          <t>Item 2 — Publicidade das ações e atividades</t>
        </is>
      </c>
      <c r="H257" t="inlineStr">
        <is>
          <t>M4-71</t>
        </is>
      </c>
      <c r="I257" t="inlineStr">
        <is>
          <t>05_Transparência:M4-71</t>
        </is>
      </c>
      <c r="J257" t="inlineStr">
        <is>
          <t>Doc. SEI 37070578</t>
        </is>
      </c>
      <c r="K257" t="inlineStr">
        <is>
          <t>2026-09-23T11:46:31</t>
        </is>
      </c>
    </row>
    <row r="258">
      <c r="A258" t="n">
        <v>257</v>
      </c>
      <c r="B258" t="inlineStr">
        <is>
          <t>ES_SEJUS</t>
        </is>
      </c>
      <c r="C258" t="inlineStr">
        <is>
          <t>ES</t>
        </is>
      </c>
      <c r="D258" t="inlineStr">
        <is>
          <t>Espírito Santo — SEJUS/ES</t>
        </is>
      </c>
      <c r="E258" t="inlineStr">
        <is>
          <t>06_Integração Tec</t>
        </is>
      </c>
      <c r="F258" t="inlineStr">
        <is>
          <t>Integração tecnológica</t>
        </is>
      </c>
      <c r="G258" t="inlineStr">
        <is>
          <t>Item 1 — Canal eletrônico e solução para registro e gestão das manifestações</t>
        </is>
      </c>
      <c r="H258" t="inlineStr">
        <is>
          <t>M2-45</t>
        </is>
      </c>
      <c r="I258" t="inlineStr">
        <is>
          <t>06_Integração Tec:M2-45</t>
        </is>
      </c>
      <c r="J258" t="inlineStr">
        <is>
          <t>Doc. SEI 37070578</t>
        </is>
      </c>
      <c r="K258" t="inlineStr">
        <is>
          <t>2026-09-23T11:46:31</t>
        </is>
      </c>
    </row>
    <row r="259">
      <c r="A259" t="n">
        <v>258</v>
      </c>
      <c r="B259" t="inlineStr">
        <is>
          <t>ES_SEJUS</t>
        </is>
      </c>
      <c r="C259" t="inlineStr">
        <is>
          <t>ES</t>
        </is>
      </c>
      <c r="D259" t="inlineStr">
        <is>
          <t>Espírito Santo — SEJUS/ES</t>
        </is>
      </c>
      <c r="E259" t="inlineStr">
        <is>
          <t>06_Integração Tec</t>
        </is>
      </c>
      <c r="F259" t="inlineStr">
        <is>
          <t>Integração tecnológica</t>
        </is>
      </c>
      <c r="G259" t="inlineStr">
        <is>
          <t>Item 2 — Registro, protocolo, rastreabilidade e acompanhamento</t>
        </is>
      </c>
      <c r="H259" t="inlineStr">
        <is>
          <t>M4-66</t>
        </is>
      </c>
      <c r="I259" t="inlineStr">
        <is>
          <t>06_Integração Tec:M4-66</t>
        </is>
      </c>
      <c r="J259" t="inlineStr">
        <is>
          <t>Doc. SEI 37070578</t>
        </is>
      </c>
      <c r="K259" t="inlineStr">
        <is>
          <t>2026-09-23T11:46:31</t>
        </is>
      </c>
    </row>
    <row r="260">
      <c r="A260" t="n">
        <v>259</v>
      </c>
      <c r="B260" t="inlineStr">
        <is>
          <t>ES_SEJUS</t>
        </is>
      </c>
      <c r="C260" t="inlineStr">
        <is>
          <t>ES</t>
        </is>
      </c>
      <c r="D260" t="inlineStr">
        <is>
          <t>Espírito Santo — SEJUS/ES</t>
        </is>
      </c>
      <c r="E260" t="inlineStr">
        <is>
          <t>06_Integração Tec</t>
        </is>
      </c>
      <c r="F260" t="inlineStr">
        <is>
          <t>Integração tecnológica</t>
        </is>
      </c>
      <c r="G260" t="inlineStr">
        <is>
          <t>Item 3 — Sigilo, autenticação e controle de acesso</t>
        </is>
      </c>
      <c r="H260" t="inlineStr">
        <is>
          <t>M2-37</t>
        </is>
      </c>
      <c r="I260" t="inlineStr">
        <is>
          <t>06_Integração Tec:M2-37</t>
        </is>
      </c>
      <c r="J260" t="inlineStr">
        <is>
          <t>Doc. SEI 37070578</t>
        </is>
      </c>
      <c r="K260" t="inlineStr">
        <is>
          <t>2026-09-23T11:46:31</t>
        </is>
      </c>
    </row>
    <row r="261">
      <c r="A261" t="n">
        <v>260</v>
      </c>
      <c r="B261" t="inlineStr">
        <is>
          <t>ES_SEJUS</t>
        </is>
      </c>
      <c r="C261" t="inlineStr">
        <is>
          <t>ES</t>
        </is>
      </c>
      <c r="D261" t="inlineStr">
        <is>
          <t>Espírito Santo — SEJUS/ES</t>
        </is>
      </c>
      <c r="E261" t="inlineStr">
        <is>
          <t>06_Integração Tec</t>
        </is>
      </c>
      <c r="F261" t="inlineStr">
        <is>
          <t>Integração tecnológica</t>
        </is>
      </c>
      <c r="G261" t="inlineStr">
        <is>
          <t>Item 4 — Computadores e acesso à internet</t>
        </is>
      </c>
      <c r="H261" t="inlineStr">
        <is>
          <t>M2-17</t>
        </is>
      </c>
      <c r="I261" t="inlineStr">
        <is>
          <t>06_Integração Tec:M2-17</t>
        </is>
      </c>
      <c r="J261" t="inlineStr">
        <is>
          <t>Doc. SEI 37070578</t>
        </is>
      </c>
      <c r="K261" t="inlineStr">
        <is>
          <t>2026-09-23T11:46:31</t>
        </is>
      </c>
    </row>
    <row r="262">
      <c r="A262" t="n">
        <v>261</v>
      </c>
      <c r="B262" t="inlineStr">
        <is>
          <t>ES_SEJUS</t>
        </is>
      </c>
      <c r="C262" t="inlineStr">
        <is>
          <t>ES</t>
        </is>
      </c>
      <c r="D262" t="inlineStr">
        <is>
          <t>Espírito Santo — SEJUS/ES</t>
        </is>
      </c>
      <c r="E262" t="inlineStr">
        <is>
          <t>06_Integração Tec</t>
        </is>
      </c>
      <c r="F262" t="inlineStr">
        <is>
          <t>Integração tecnológica</t>
        </is>
      </c>
      <c r="G262" t="inlineStr">
        <is>
          <t>Item 5 — Impressoras e scanners</t>
        </is>
      </c>
      <c r="H262" t="inlineStr">
        <is>
          <t>M2-19</t>
        </is>
      </c>
      <c r="I262" t="inlineStr">
        <is>
          <t>06_Integração Tec:M2-19</t>
        </is>
      </c>
      <c r="J262" t="inlineStr">
        <is>
          <t>Doc. SEI 37070578</t>
        </is>
      </c>
      <c r="K262" t="inlineStr">
        <is>
          <t>2026-09-23T11:46:31</t>
        </is>
      </c>
    </row>
    <row r="263">
      <c r="A263" t="n">
        <v>262</v>
      </c>
      <c r="B263" t="inlineStr">
        <is>
          <t>ES_SEJUS</t>
        </is>
      </c>
      <c r="C263" t="inlineStr">
        <is>
          <t>ES</t>
        </is>
      </c>
      <c r="D263" t="inlineStr">
        <is>
          <t>Espírito Santo — SEJUS/ES</t>
        </is>
      </c>
      <c r="E263" t="inlineStr">
        <is>
          <t>06_Integração Tec</t>
        </is>
      </c>
      <c r="F263" t="inlineStr">
        <is>
          <t>Integração tecnológica</t>
        </is>
      </c>
      <c r="G263" t="inlineStr">
        <is>
          <t>Item 5 — Impressoras e scanners</t>
        </is>
      </c>
      <c r="H263" t="inlineStr">
        <is>
          <t>M2-21</t>
        </is>
      </c>
      <c r="I263" t="inlineStr">
        <is>
          <t>06_Integração Tec:M2-21</t>
        </is>
      </c>
      <c r="J263" t="inlineStr">
        <is>
          <t>Doc. SEI 37070578</t>
        </is>
      </c>
      <c r="K263" t="inlineStr">
        <is>
          <t>2026-09-23T11:46:31</t>
        </is>
      </c>
    </row>
    <row r="264">
      <c r="A264" t="n">
        <v>263</v>
      </c>
      <c r="B264" t="inlineStr">
        <is>
          <t>ES_SEJUS</t>
        </is>
      </c>
      <c r="C264" t="inlineStr">
        <is>
          <t>ES</t>
        </is>
      </c>
      <c r="D264" t="inlineStr">
        <is>
          <t>Espírito Santo — SEJUS/ES</t>
        </is>
      </c>
      <c r="E264" t="inlineStr">
        <is>
          <t>06_Integração Tec</t>
        </is>
      </c>
      <c r="F264" t="inlineStr">
        <is>
          <t>Integração tecnológica</t>
        </is>
      </c>
      <c r="G264" t="inlineStr">
        <is>
          <t>Item 6 — Aparelhos de telefone celular</t>
        </is>
      </c>
      <c r="H264" t="inlineStr">
        <is>
          <t>M2-27</t>
        </is>
      </c>
      <c r="I264" t="inlineStr">
        <is>
          <t>06_Integração Tec:M2-27</t>
        </is>
      </c>
      <c r="J264" t="inlineStr">
        <is>
          <t>Doc. SEI 37070578</t>
        </is>
      </c>
      <c r="K264" t="inlineStr">
        <is>
          <t>2026-09-23T11:46:31</t>
        </is>
      </c>
    </row>
    <row r="265">
      <c r="A265" t="n">
        <v>264</v>
      </c>
      <c r="B265" t="inlineStr">
        <is>
          <t>ES_SEJUS</t>
        </is>
      </c>
      <c r="C265" t="inlineStr">
        <is>
          <t>ES</t>
        </is>
      </c>
      <c r="D265" t="inlineStr">
        <is>
          <t>Espírito Santo — SEJUS/ES</t>
        </is>
      </c>
      <c r="E265" t="inlineStr">
        <is>
          <t>07_Maturidade</t>
        </is>
      </c>
      <c r="F265" t="inlineStr">
        <is>
          <t>Maturidade / bônus</t>
        </is>
      </c>
      <c r="G265" t="inlineStr">
        <is>
          <t>Bônus — Uso do canal Fala.BR</t>
        </is>
      </c>
      <c r="H265" t="inlineStr">
        <is>
          <t>M2-46</t>
        </is>
      </c>
      <c r="I265" t="inlineStr">
        <is>
          <t>07_Maturidade:M2-46</t>
        </is>
      </c>
      <c r="J265" t="inlineStr">
        <is>
          <t>Doc. SEI 37070578</t>
        </is>
      </c>
      <c r="K265" t="inlineStr">
        <is>
          <t>2026-09-23T11:46:31</t>
        </is>
      </c>
    </row>
    <row r="266">
      <c r="A266" t="n">
        <v>265</v>
      </c>
      <c r="B266" t="inlineStr">
        <is>
          <t>ES_SEJUS</t>
        </is>
      </c>
      <c r="C266" t="inlineStr">
        <is>
          <t>ES</t>
        </is>
      </c>
      <c r="D266" t="inlineStr">
        <is>
          <t>Espírito Santo — SEJUS/ES</t>
        </is>
      </c>
      <c r="E266" t="inlineStr">
        <is>
          <t>07_Maturidade</t>
        </is>
      </c>
      <c r="F266" t="inlineStr">
        <is>
          <t>Maturidade / bônus</t>
        </is>
      </c>
      <c r="G266" t="inlineStr">
        <is>
          <t>Bônus — Designação por mandato</t>
        </is>
      </c>
      <c r="H266" t="inlineStr">
        <is>
          <t>M0-08</t>
        </is>
      </c>
      <c r="I266" t="inlineStr">
        <is>
          <t>07_Maturidade:M0-08</t>
        </is>
      </c>
      <c r="J266" t="inlineStr">
        <is>
          <t>Doc. SEI 37070578</t>
        </is>
      </c>
      <c r="K266" t="inlineStr">
        <is>
          <t>2026-09-23T11:46:31</t>
        </is>
      </c>
    </row>
    <row r="267">
      <c r="A267" t="n">
        <v>266</v>
      </c>
      <c r="B267" t="inlineStr">
        <is>
          <t>ES_SEJUS</t>
        </is>
      </c>
      <c r="C267" t="inlineStr">
        <is>
          <t>ES</t>
        </is>
      </c>
      <c r="D267" t="inlineStr">
        <is>
          <t>Espírito Santo — SEJUS/ES</t>
        </is>
      </c>
      <c r="E267" t="inlineStr">
        <is>
          <t>07_Maturidade</t>
        </is>
      </c>
      <c r="F267" t="inlineStr">
        <is>
          <t>Maturidade / bônus</t>
        </is>
      </c>
      <c r="G267" t="inlineStr">
        <is>
          <t>Bônus — Dedicação da equipe</t>
        </is>
      </c>
      <c r="H267" t="inlineStr">
        <is>
          <t>M3-60</t>
        </is>
      </c>
      <c r="I267" t="inlineStr">
        <is>
          <t>07_Maturidade:M3-60</t>
        </is>
      </c>
      <c r="J267" t="inlineStr">
        <is>
          <t>Doc. SEI 37070578</t>
        </is>
      </c>
      <c r="K267" t="inlineStr">
        <is>
          <t>2026-09-23T11:46:31</t>
        </is>
      </c>
    </row>
    <row r="268">
      <c r="A268" t="n">
        <v>267</v>
      </c>
      <c r="B268" t="inlineStr">
        <is>
          <t>ES_SEJUS</t>
        </is>
      </c>
      <c r="C268" t="inlineStr">
        <is>
          <t>ES</t>
        </is>
      </c>
      <c r="D268" t="inlineStr">
        <is>
          <t>Espírito Santo — SEJUS/ES</t>
        </is>
      </c>
      <c r="E268" t="inlineStr">
        <is>
          <t>07_Maturidade</t>
        </is>
      </c>
      <c r="F268" t="inlineStr">
        <is>
          <t>Maturidade / bônus</t>
        </is>
      </c>
      <c r="G268" t="inlineStr">
        <is>
          <t>Bônus — Requisitos de perfil para o cargo de Ouvidor</t>
        </is>
      </c>
      <c r="H268" t="inlineStr">
        <is>
          <t>M3-58</t>
        </is>
      </c>
      <c r="I268" t="inlineStr">
        <is>
          <t>07_Maturidade:M3-58</t>
        </is>
      </c>
      <c r="J268" t="inlineStr">
        <is>
          <t>Doc. SEI 37070578</t>
        </is>
      </c>
      <c r="K268" t="inlineStr">
        <is>
          <t>2026-09-23T11:46:31</t>
        </is>
      </c>
    </row>
    <row r="269">
      <c r="A269" t="n">
        <v>268</v>
      </c>
      <c r="B269" t="inlineStr">
        <is>
          <t>ES_SEJUS</t>
        </is>
      </c>
      <c r="C269" t="inlineStr">
        <is>
          <t>ES</t>
        </is>
      </c>
      <c r="D269" t="inlineStr">
        <is>
          <t>Espírito Santo — SEJUS/ES</t>
        </is>
      </c>
      <c r="E269" t="inlineStr">
        <is>
          <t>07_Maturidade</t>
        </is>
      </c>
      <c r="F269" t="inlineStr">
        <is>
          <t>Maturidade / bônus</t>
        </is>
      </c>
      <c r="G269" t="inlineStr">
        <is>
          <t>Bônus — WhatsApp institucional</t>
        </is>
      </c>
      <c r="H269" t="inlineStr">
        <is>
          <t>M2-50</t>
        </is>
      </c>
      <c r="I269" t="inlineStr">
        <is>
          <t>07_Maturidade:M2-50</t>
        </is>
      </c>
      <c r="J269" t="inlineStr">
        <is>
          <t>Doc. SEI 37070578</t>
        </is>
      </c>
      <c r="K269" t="inlineStr">
        <is>
          <t>2026-09-23T11:46:31</t>
        </is>
      </c>
    </row>
    <row r="270">
      <c r="A270" t="n">
        <v>269</v>
      </c>
      <c r="B270" t="inlineStr">
        <is>
          <t>ES_SEJUS</t>
        </is>
      </c>
      <c r="C270" t="inlineStr">
        <is>
          <t>ES</t>
        </is>
      </c>
      <c r="D270" t="inlineStr">
        <is>
          <t>Espírito Santo — SEJUS/ES</t>
        </is>
      </c>
      <c r="E270" t="inlineStr">
        <is>
          <t>07_Maturidade</t>
        </is>
      </c>
      <c r="F270" t="inlineStr">
        <is>
          <t>Maturidade / bônus</t>
        </is>
      </c>
      <c r="G270" t="inlineStr">
        <is>
          <t>Bônus — Outros canais eletrônicos institucionais</t>
        </is>
      </c>
      <c r="H270" t="inlineStr">
        <is>
          <t>M2-49</t>
        </is>
      </c>
      <c r="I270" t="inlineStr">
        <is>
          <t>07_Maturidade:M2-49</t>
        </is>
      </c>
      <c r="J270" t="inlineStr">
        <is>
          <t>Doc. SEI 37070578</t>
        </is>
      </c>
      <c r="K270" t="inlineStr">
        <is>
          <t>2026-09-23T11:46:31</t>
        </is>
      </c>
    </row>
    <row r="271">
      <c r="A271" t="n">
        <v>270</v>
      </c>
      <c r="B271" t="inlineStr">
        <is>
          <t>ES_SEJUS</t>
        </is>
      </c>
      <c r="C271" t="inlineStr">
        <is>
          <t>ES</t>
        </is>
      </c>
      <c r="D271" t="inlineStr">
        <is>
          <t>Espírito Santo — SEJUS/ES</t>
        </is>
      </c>
      <c r="E271" t="inlineStr">
        <is>
          <t>07_Maturidade</t>
        </is>
      </c>
      <c r="F271" t="inlineStr">
        <is>
          <t>Maturidade / bônus</t>
        </is>
      </c>
      <c r="G271" t="inlineStr">
        <is>
          <t>Bônus — Materiais adicionais de divulgação e educação em direitos</t>
        </is>
      </c>
      <c r="H271" t="inlineStr">
        <is>
          <t>M2-36</t>
        </is>
      </c>
      <c r="I271" t="inlineStr">
        <is>
          <t>07_Maturidade:M2-36</t>
        </is>
      </c>
      <c r="J271" t="inlineStr">
        <is>
          <t>Doc. SEI 37070578</t>
        </is>
      </c>
      <c r="K271" t="inlineStr">
        <is>
          <t>2026-09-23T11:46:31</t>
        </is>
      </c>
    </row>
    <row r="272">
      <c r="A272" t="n">
        <v>271</v>
      </c>
      <c r="B272" t="inlineStr">
        <is>
          <t>GO</t>
        </is>
      </c>
      <c r="C272" t="inlineStr">
        <is>
          <t>GO</t>
        </is>
      </c>
      <c r="D272" t="inlineStr">
        <is>
          <t>Goiás</t>
        </is>
      </c>
      <c r="E272" t="inlineStr">
        <is>
          <t>01_Institucionalização</t>
        </is>
      </c>
      <c r="F272" t="inlineStr">
        <is>
          <t>Institucionalização</t>
        </is>
      </c>
      <c r="G272" t="inlineStr">
        <is>
          <t>Item 1 — Instituição formal da Ouvidoria de Serviços Penais</t>
        </is>
      </c>
      <c r="H272" t="inlineStr">
        <is>
          <t>M1-11</t>
        </is>
      </c>
      <c r="I272" t="inlineStr">
        <is>
          <t>01_Institucionalização:M1-11</t>
        </is>
      </c>
      <c r="J272" t="inlineStr">
        <is>
          <t>Doc. SEI 37070578</t>
        </is>
      </c>
      <c r="K272" t="inlineStr">
        <is>
          <t>2026-09-23T11:46:31</t>
        </is>
      </c>
    </row>
    <row r="273">
      <c r="A273" t="n">
        <v>272</v>
      </c>
      <c r="B273" t="inlineStr">
        <is>
          <t>GO</t>
        </is>
      </c>
      <c r="C273" t="inlineStr">
        <is>
          <t>GO</t>
        </is>
      </c>
      <c r="D273" t="inlineStr">
        <is>
          <t>Goiás</t>
        </is>
      </c>
      <c r="E273" t="inlineStr">
        <is>
          <t>02_Autonomia</t>
        </is>
      </c>
      <c r="F273" t="inlineStr">
        <is>
          <t>Autonomia técnica e funcional</t>
        </is>
      </c>
      <c r="G273" t="inlineStr">
        <is>
          <t>Item 1 — Garantia normativa de autonomia técnica/funcional</t>
        </is>
      </c>
      <c r="H273" t="inlineStr">
        <is>
          <t>M3-56</t>
        </is>
      </c>
      <c r="I273" t="inlineStr">
        <is>
          <t>02_Autonomia:M3-56</t>
        </is>
      </c>
      <c r="J273" t="inlineStr">
        <is>
          <t>Doc. SEI 37070578</t>
        </is>
      </c>
      <c r="K273" t="inlineStr">
        <is>
          <t>2026-09-23T11:46:31</t>
        </is>
      </c>
    </row>
    <row r="274">
      <c r="A274" t="n">
        <v>273</v>
      </c>
      <c r="B274" t="inlineStr">
        <is>
          <t>GO</t>
        </is>
      </c>
      <c r="C274" t="inlineStr">
        <is>
          <t>GO</t>
        </is>
      </c>
      <c r="D274" t="inlineStr">
        <is>
          <t>Goiás</t>
        </is>
      </c>
      <c r="E274" t="inlineStr">
        <is>
          <t>02_Autonomia</t>
        </is>
      </c>
      <c r="F274" t="inlineStr">
        <is>
          <t>Autonomia técnica e funcional</t>
        </is>
      </c>
      <c r="G274" t="inlineStr">
        <is>
          <t>Item 1 — Garantia normativa de autonomia técnica/funcional</t>
        </is>
      </c>
      <c r="H274" t="inlineStr">
        <is>
          <t>M3-57</t>
        </is>
      </c>
      <c r="I274" t="inlineStr">
        <is>
          <t>02_Autonomia:M3-57</t>
        </is>
      </c>
      <c r="J274" t="inlineStr">
        <is>
          <t>Doc. SEI 37070578</t>
        </is>
      </c>
      <c r="K274" t="inlineStr">
        <is>
          <t>2026-09-23T11:46:31</t>
        </is>
      </c>
    </row>
    <row r="275">
      <c r="A275" t="n">
        <v>274</v>
      </c>
      <c r="B275" t="inlineStr">
        <is>
          <t>GO</t>
        </is>
      </c>
      <c r="C275" t="inlineStr">
        <is>
          <t>GO</t>
        </is>
      </c>
      <c r="D275" t="inlineStr">
        <is>
          <t>Goiás</t>
        </is>
      </c>
      <c r="E275" t="inlineStr">
        <is>
          <t>02_Autonomia</t>
        </is>
      </c>
      <c r="F275" t="inlineStr">
        <is>
          <t>Autonomia técnica e funcional</t>
        </is>
      </c>
      <c r="G275" t="inlineStr">
        <is>
          <t>Item 2 — Condições institucionais de atuação sem interferência indevida</t>
        </is>
      </c>
      <c r="H275" t="inlineStr">
        <is>
          <t>M1-12</t>
        </is>
      </c>
      <c r="I275" t="inlineStr">
        <is>
          <t>02_Autonomia:M1-12</t>
        </is>
      </c>
      <c r="J275" t="inlineStr">
        <is>
          <t>Doc. SEI 37070578</t>
        </is>
      </c>
      <c r="K275" t="inlineStr">
        <is>
          <t>2026-09-23T11:46:31</t>
        </is>
      </c>
    </row>
    <row r="276">
      <c r="A276" t="n">
        <v>275</v>
      </c>
      <c r="B276" t="inlineStr">
        <is>
          <t>GO</t>
        </is>
      </c>
      <c r="C276" t="inlineStr">
        <is>
          <t>GO</t>
        </is>
      </c>
      <c r="D276" t="inlineStr">
        <is>
          <t>Goiás</t>
        </is>
      </c>
      <c r="E276" t="inlineStr">
        <is>
          <t>02_Autonomia</t>
        </is>
      </c>
      <c r="F276" t="inlineStr">
        <is>
          <t>Autonomia técnica e funcional</t>
        </is>
      </c>
      <c r="G276" t="inlineStr">
        <is>
          <t>Item 2 — Condições institucionais de atuação sem interferência indevida</t>
        </is>
      </c>
      <c r="H276" t="inlineStr">
        <is>
          <t>M4-67</t>
        </is>
      </c>
      <c r="I276" t="inlineStr">
        <is>
          <t>02_Autonomia:M4-67</t>
        </is>
      </c>
      <c r="J276" t="inlineStr">
        <is>
          <t>Doc. SEI 37070578</t>
        </is>
      </c>
      <c r="K276" t="inlineStr">
        <is>
          <t>2026-09-23T11:46:31</t>
        </is>
      </c>
    </row>
    <row r="277">
      <c r="A277" t="n">
        <v>276</v>
      </c>
      <c r="B277" t="inlineStr">
        <is>
          <t>GO</t>
        </is>
      </c>
      <c r="C277" t="inlineStr">
        <is>
          <t>GO</t>
        </is>
      </c>
      <c r="D277" t="inlineStr">
        <is>
          <t>Goiás</t>
        </is>
      </c>
      <c r="E277" t="inlineStr">
        <is>
          <t>02_Autonomia</t>
        </is>
      </c>
      <c r="F277" t="inlineStr">
        <is>
          <t>Autonomia técnica e funcional</t>
        </is>
      </c>
      <c r="G277" t="inlineStr">
        <is>
          <t>Item 2 — Condições institucionais de atuação sem interferência indevida</t>
        </is>
      </c>
      <c r="H277" t="inlineStr">
        <is>
          <t>M4-68</t>
        </is>
      </c>
      <c r="I277" t="inlineStr">
        <is>
          <t>02_Autonomia:M4-68</t>
        </is>
      </c>
      <c r="J277" t="inlineStr">
        <is>
          <t>Doc. SEI 37070578</t>
        </is>
      </c>
      <c r="K277" t="inlineStr">
        <is>
          <t>2026-09-23T11:46:31</t>
        </is>
      </c>
    </row>
    <row r="278">
      <c r="A278" t="n">
        <v>277</v>
      </c>
      <c r="B278" t="inlineStr">
        <is>
          <t>GO</t>
        </is>
      </c>
      <c r="C278" t="inlineStr">
        <is>
          <t>GO</t>
        </is>
      </c>
      <c r="D278" t="inlineStr">
        <is>
          <t>Goiás</t>
        </is>
      </c>
      <c r="E278" t="inlineStr">
        <is>
          <t>03_Imparcialidade</t>
        </is>
      </c>
      <c r="F278" t="inlineStr">
        <is>
          <t>Imparcialidade, sigilo e proteção</t>
        </is>
      </c>
      <c r="G278" t="inlineStr">
        <is>
          <t>Item 1 — Proteção e tratamento de denúncias graves e sensíveis</t>
        </is>
      </c>
      <c r="H278" t="inlineStr">
        <is>
          <t>M4-69</t>
        </is>
      </c>
      <c r="I278" t="inlineStr">
        <is>
          <t>03_Imparcialidade:M4-69</t>
        </is>
      </c>
      <c r="J278" t="inlineStr">
        <is>
          <t>Doc. SEI 37070578</t>
        </is>
      </c>
      <c r="K278" t="inlineStr">
        <is>
          <t>2026-09-23T11:46:31</t>
        </is>
      </c>
    </row>
    <row r="279">
      <c r="A279" t="n">
        <v>278</v>
      </c>
      <c r="B279" t="inlineStr">
        <is>
          <t>GO</t>
        </is>
      </c>
      <c r="C279" t="inlineStr">
        <is>
          <t>GO</t>
        </is>
      </c>
      <c r="D279" t="inlineStr">
        <is>
          <t>Goiás</t>
        </is>
      </c>
      <c r="E279" t="inlineStr">
        <is>
          <t>03_Imparcialidade</t>
        </is>
      </c>
      <c r="F279" t="inlineStr">
        <is>
          <t>Imparcialidade, sigilo e proteção</t>
        </is>
      </c>
      <c r="G279" t="inlineStr">
        <is>
          <t>Item 2 — Confidencialidade e sigilo da equipe</t>
        </is>
      </c>
      <c r="H279" t="inlineStr">
        <is>
          <t>M3-63</t>
        </is>
      </c>
      <c r="I279" t="inlineStr">
        <is>
          <t>03_Imparcialidade:M3-63</t>
        </is>
      </c>
      <c r="J279" t="inlineStr">
        <is>
          <t>Doc. SEI 37070578</t>
        </is>
      </c>
      <c r="K279" t="inlineStr">
        <is>
          <t>2026-09-23T11:46:31</t>
        </is>
      </c>
    </row>
    <row r="280">
      <c r="A280" t="n">
        <v>279</v>
      </c>
      <c r="B280" t="inlineStr">
        <is>
          <t>GO</t>
        </is>
      </c>
      <c r="C280" t="inlineStr">
        <is>
          <t>GO</t>
        </is>
      </c>
      <c r="D280" t="inlineStr">
        <is>
          <t>Goiás</t>
        </is>
      </c>
      <c r="E280" t="inlineStr">
        <is>
          <t>04_Acessibilidade</t>
        </is>
      </c>
      <c r="F280" t="inlineStr">
        <is>
          <t>Acessibilidade e atendimento humanizado</t>
        </is>
      </c>
      <c r="G280" t="inlineStr">
        <is>
          <t>Item 1 — Canais institucionais acessíveis</t>
        </is>
      </c>
      <c r="H280" t="inlineStr">
        <is>
          <t>M2-41</t>
        </is>
      </c>
      <c r="I280" t="inlineStr">
        <is>
          <t>04_Acessibilidade:M2-41</t>
        </is>
      </c>
      <c r="J280" t="inlineStr">
        <is>
          <t>Doc. SEI 37070578</t>
        </is>
      </c>
      <c r="K280" t="inlineStr">
        <is>
          <t>2026-09-23T11:46:31</t>
        </is>
      </c>
    </row>
    <row r="281">
      <c r="A281" t="n">
        <v>280</v>
      </c>
      <c r="B281" t="inlineStr">
        <is>
          <t>GO</t>
        </is>
      </c>
      <c r="C281" t="inlineStr">
        <is>
          <t>GO</t>
        </is>
      </c>
      <c r="D281" t="inlineStr">
        <is>
          <t>Goiás</t>
        </is>
      </c>
      <c r="E281" t="inlineStr">
        <is>
          <t>04_Acessibilidade</t>
        </is>
      </c>
      <c r="F281" t="inlineStr">
        <is>
          <t>Acessibilidade e atendimento humanizado</t>
        </is>
      </c>
      <c r="G281" t="inlineStr">
        <is>
          <t>Item 1 — Canais institucionais acessíveis</t>
        </is>
      </c>
      <c r="H281" t="inlineStr">
        <is>
          <t>M2-43</t>
        </is>
      </c>
      <c r="I281" t="inlineStr">
        <is>
          <t>04_Acessibilidade:M2-43</t>
        </is>
      </c>
      <c r="J281" t="inlineStr">
        <is>
          <t>Doc. SEI 37070578</t>
        </is>
      </c>
      <c r="K281" t="inlineStr">
        <is>
          <t>2026-09-23T11:46:31</t>
        </is>
      </c>
    </row>
    <row r="282">
      <c r="A282" t="n">
        <v>281</v>
      </c>
      <c r="B282" t="inlineStr">
        <is>
          <t>GO</t>
        </is>
      </c>
      <c r="C282" t="inlineStr">
        <is>
          <t>GO</t>
        </is>
      </c>
      <c r="D282" t="inlineStr">
        <is>
          <t>Goiás</t>
        </is>
      </c>
      <c r="E282" t="inlineStr">
        <is>
          <t>04_Acessibilidade</t>
        </is>
      </c>
      <c r="F282" t="inlineStr">
        <is>
          <t>Acessibilidade e atendimento humanizado</t>
        </is>
      </c>
      <c r="G282" t="inlineStr">
        <is>
          <t>Item 1 — Canais institucionais acessíveis</t>
        </is>
      </c>
      <c r="H282" t="inlineStr">
        <is>
          <t>M2-47</t>
        </is>
      </c>
      <c r="I282" t="inlineStr">
        <is>
          <t>04_Acessibilidade:M2-47</t>
        </is>
      </c>
      <c r="J282" t="inlineStr">
        <is>
          <t>Doc. SEI 37070578</t>
        </is>
      </c>
      <c r="K282" t="inlineStr">
        <is>
          <t>2026-09-23T11:46:31</t>
        </is>
      </c>
    </row>
    <row r="283">
      <c r="A283" t="n">
        <v>282</v>
      </c>
      <c r="B283" t="inlineStr">
        <is>
          <t>GO</t>
        </is>
      </c>
      <c r="C283" t="inlineStr">
        <is>
          <t>GO</t>
        </is>
      </c>
      <c r="D283" t="inlineStr">
        <is>
          <t>Goiás</t>
        </is>
      </c>
      <c r="E283" t="inlineStr">
        <is>
          <t>04_Acessibilidade</t>
        </is>
      </c>
      <c r="F283" t="inlineStr">
        <is>
          <t>Acessibilidade e atendimento humanizado</t>
        </is>
      </c>
      <c r="G283" t="inlineStr">
        <is>
          <t>Item 2 — Condições de atendimento reservado e acessível</t>
        </is>
      </c>
      <c r="H283" t="inlineStr">
        <is>
          <t>M2-16</t>
        </is>
      </c>
      <c r="I283" t="inlineStr">
        <is>
          <t>04_Acessibilidade:M2-16</t>
        </is>
      </c>
      <c r="J283" t="inlineStr">
        <is>
          <t>Doc. SEI 37070578</t>
        </is>
      </c>
      <c r="K283" t="inlineStr">
        <is>
          <t>2026-09-23T11:46:31</t>
        </is>
      </c>
    </row>
    <row r="284">
      <c r="A284" t="n">
        <v>283</v>
      </c>
      <c r="B284" t="inlineStr">
        <is>
          <t>GO</t>
        </is>
      </c>
      <c r="C284" t="inlineStr">
        <is>
          <t>GO</t>
        </is>
      </c>
      <c r="D284" t="inlineStr">
        <is>
          <t>Goiás</t>
        </is>
      </c>
      <c r="E284" t="inlineStr">
        <is>
          <t>04_Acessibilidade</t>
        </is>
      </c>
      <c r="F284" t="inlineStr">
        <is>
          <t>Acessibilidade e atendimento humanizado</t>
        </is>
      </c>
      <c r="G284" t="inlineStr">
        <is>
          <t>Item 3 — Alcance dos públicos dos serviços penais</t>
        </is>
      </c>
      <c r="H284" t="inlineStr">
        <is>
          <t>M1-13</t>
        </is>
      </c>
      <c r="I284" t="inlineStr">
        <is>
          <t>04_Acessibilidade:M1-13</t>
        </is>
      </c>
      <c r="J284" t="inlineStr">
        <is>
          <t>Doc. SEI 37070578</t>
        </is>
      </c>
      <c r="K284" t="inlineStr">
        <is>
          <t>2026-09-23T11:46:31</t>
        </is>
      </c>
    </row>
    <row r="285">
      <c r="A285" t="n">
        <v>284</v>
      </c>
      <c r="B285" t="inlineStr">
        <is>
          <t>GO</t>
        </is>
      </c>
      <c r="C285" t="inlineStr">
        <is>
          <t>GO</t>
        </is>
      </c>
      <c r="D285" t="inlineStr">
        <is>
          <t>Goiás</t>
        </is>
      </c>
      <c r="E285" t="inlineStr">
        <is>
          <t>04_Acessibilidade</t>
        </is>
      </c>
      <c r="F285" t="inlineStr">
        <is>
          <t>Acessibilidade e atendimento humanizado</t>
        </is>
      </c>
      <c r="G285" t="inlineStr">
        <is>
          <t>Item 3 — Alcance dos públicos dos serviços penais</t>
        </is>
      </c>
      <c r="H285" t="inlineStr">
        <is>
          <t>M4-64</t>
        </is>
      </c>
      <c r="I285" t="inlineStr">
        <is>
          <t>04_Acessibilidade:M4-64</t>
        </is>
      </c>
      <c r="J285" t="inlineStr">
        <is>
          <t>Doc. SEI 37070578</t>
        </is>
      </c>
      <c r="K285" t="inlineStr">
        <is>
          <t>2026-09-23T11:46:31</t>
        </is>
      </c>
    </row>
    <row r="286">
      <c r="A286" t="n">
        <v>285</v>
      </c>
      <c r="B286" t="inlineStr">
        <is>
          <t>GO</t>
        </is>
      </c>
      <c r="C286" t="inlineStr">
        <is>
          <t>GO</t>
        </is>
      </c>
      <c r="D286" t="inlineStr">
        <is>
          <t>Goiás</t>
        </is>
      </c>
      <c r="E286" t="inlineStr">
        <is>
          <t>05_Transparência</t>
        </is>
      </c>
      <c r="F286" t="inlineStr">
        <is>
          <t>Transparência e publicidade</t>
        </is>
      </c>
      <c r="G286" t="inlineStr">
        <is>
          <t>Item 1 — Visibilidade institucional e divulgação dos canais</t>
        </is>
      </c>
      <c r="H286" t="inlineStr">
        <is>
          <t>M2-35</t>
        </is>
      </c>
      <c r="I286" t="inlineStr">
        <is>
          <t>05_Transparência:M2-35</t>
        </is>
      </c>
      <c r="J286" t="inlineStr">
        <is>
          <t>Doc. SEI 37070578</t>
        </is>
      </c>
      <c r="K286" t="inlineStr">
        <is>
          <t>2026-09-23T11:46:31</t>
        </is>
      </c>
    </row>
    <row r="287">
      <c r="A287" t="n">
        <v>286</v>
      </c>
      <c r="B287" t="inlineStr">
        <is>
          <t>GO</t>
        </is>
      </c>
      <c r="C287" t="inlineStr">
        <is>
          <t>GO</t>
        </is>
      </c>
      <c r="D287" t="inlineStr">
        <is>
          <t>Goiás</t>
        </is>
      </c>
      <c r="E287" t="inlineStr">
        <is>
          <t>05_Transparência</t>
        </is>
      </c>
      <c r="F287" t="inlineStr">
        <is>
          <t>Transparência e publicidade</t>
        </is>
      </c>
      <c r="G287" t="inlineStr">
        <is>
          <t>Item 2 — Publicidade das ações e atividades</t>
        </is>
      </c>
      <c r="H287" t="inlineStr">
        <is>
          <t>M4-71</t>
        </is>
      </c>
      <c r="I287" t="inlineStr">
        <is>
          <t>05_Transparência:M4-71</t>
        </is>
      </c>
      <c r="J287" t="inlineStr">
        <is>
          <t>Doc. SEI 37070578</t>
        </is>
      </c>
      <c r="K287" t="inlineStr">
        <is>
          <t>2026-09-23T11:46:31</t>
        </is>
      </c>
    </row>
    <row r="288">
      <c r="A288" t="n">
        <v>287</v>
      </c>
      <c r="B288" t="inlineStr">
        <is>
          <t>GO</t>
        </is>
      </c>
      <c r="C288" t="inlineStr">
        <is>
          <t>GO</t>
        </is>
      </c>
      <c r="D288" t="inlineStr">
        <is>
          <t>Goiás</t>
        </is>
      </c>
      <c r="E288" t="inlineStr">
        <is>
          <t>06_Integração Tec</t>
        </is>
      </c>
      <c r="F288" t="inlineStr">
        <is>
          <t>Integração tecnológica</t>
        </is>
      </c>
      <c r="G288" t="inlineStr">
        <is>
          <t>Item 1 — Canal eletrônico e solução para registro e gestão das manifestações</t>
        </is>
      </c>
      <c r="H288" t="inlineStr">
        <is>
          <t>M2-45</t>
        </is>
      </c>
      <c r="I288" t="inlineStr">
        <is>
          <t>06_Integração Tec:M2-45</t>
        </is>
      </c>
      <c r="J288" t="inlineStr">
        <is>
          <t>Doc. SEI 37070578</t>
        </is>
      </c>
      <c r="K288" t="inlineStr">
        <is>
          <t>2026-09-23T11:46:31</t>
        </is>
      </c>
    </row>
    <row r="289">
      <c r="A289" t="n">
        <v>288</v>
      </c>
      <c r="B289" t="inlineStr">
        <is>
          <t>GO</t>
        </is>
      </c>
      <c r="C289" t="inlineStr">
        <is>
          <t>GO</t>
        </is>
      </c>
      <c r="D289" t="inlineStr">
        <is>
          <t>Goiás</t>
        </is>
      </c>
      <c r="E289" t="inlineStr">
        <is>
          <t>06_Integração Tec</t>
        </is>
      </c>
      <c r="F289" t="inlineStr">
        <is>
          <t>Integração tecnológica</t>
        </is>
      </c>
      <c r="G289" t="inlineStr">
        <is>
          <t>Item 2 — Registro, protocolo, rastreabilidade e acompanhamento</t>
        </is>
      </c>
      <c r="H289" t="inlineStr">
        <is>
          <t>M4-66</t>
        </is>
      </c>
      <c r="I289" t="inlineStr">
        <is>
          <t>06_Integração Tec:M4-66</t>
        </is>
      </c>
      <c r="J289" t="inlineStr">
        <is>
          <t>Doc. SEI 37070578</t>
        </is>
      </c>
      <c r="K289" t="inlineStr">
        <is>
          <t>2026-09-23T11:46:31</t>
        </is>
      </c>
    </row>
    <row r="290">
      <c r="A290" t="n">
        <v>289</v>
      </c>
      <c r="B290" t="inlineStr">
        <is>
          <t>GO</t>
        </is>
      </c>
      <c r="C290" t="inlineStr">
        <is>
          <t>GO</t>
        </is>
      </c>
      <c r="D290" t="inlineStr">
        <is>
          <t>Goiás</t>
        </is>
      </c>
      <c r="E290" t="inlineStr">
        <is>
          <t>06_Integração Tec</t>
        </is>
      </c>
      <c r="F290" t="inlineStr">
        <is>
          <t>Integração tecnológica</t>
        </is>
      </c>
      <c r="G290" t="inlineStr">
        <is>
          <t>Item 3 — Sigilo, autenticação e controle de acesso</t>
        </is>
      </c>
      <c r="H290" t="inlineStr">
        <is>
          <t>M2-37</t>
        </is>
      </c>
      <c r="I290" t="inlineStr">
        <is>
          <t>06_Integração Tec:M2-37</t>
        </is>
      </c>
      <c r="J290" t="inlineStr">
        <is>
          <t>Doc. SEI 37070578</t>
        </is>
      </c>
      <c r="K290" t="inlineStr">
        <is>
          <t>2026-09-23T11:46:31</t>
        </is>
      </c>
    </row>
    <row r="291">
      <c r="A291" t="n">
        <v>290</v>
      </c>
      <c r="B291" t="inlineStr">
        <is>
          <t>GO</t>
        </is>
      </c>
      <c r="C291" t="inlineStr">
        <is>
          <t>GO</t>
        </is>
      </c>
      <c r="D291" t="inlineStr">
        <is>
          <t>Goiás</t>
        </is>
      </c>
      <c r="E291" t="inlineStr">
        <is>
          <t>06_Integração Tec</t>
        </is>
      </c>
      <c r="F291" t="inlineStr">
        <is>
          <t>Integração tecnológica</t>
        </is>
      </c>
      <c r="G291" t="inlineStr">
        <is>
          <t>Item 4 — Computadores e acesso à internet</t>
        </is>
      </c>
      <c r="H291" t="inlineStr">
        <is>
          <t>M2-17</t>
        </is>
      </c>
      <c r="I291" t="inlineStr">
        <is>
          <t>06_Integração Tec:M2-17</t>
        </is>
      </c>
      <c r="J291" t="inlineStr">
        <is>
          <t>Doc. SEI 37070578</t>
        </is>
      </c>
      <c r="K291" t="inlineStr">
        <is>
          <t>2026-09-23T11:46:31</t>
        </is>
      </c>
    </row>
    <row r="292">
      <c r="A292" t="n">
        <v>291</v>
      </c>
      <c r="B292" t="inlineStr">
        <is>
          <t>GO</t>
        </is>
      </c>
      <c r="C292" t="inlineStr">
        <is>
          <t>GO</t>
        </is>
      </c>
      <c r="D292" t="inlineStr">
        <is>
          <t>Goiás</t>
        </is>
      </c>
      <c r="E292" t="inlineStr">
        <is>
          <t>06_Integração Tec</t>
        </is>
      </c>
      <c r="F292" t="inlineStr">
        <is>
          <t>Integração tecnológica</t>
        </is>
      </c>
      <c r="G292" t="inlineStr">
        <is>
          <t>Item 5 — Impressoras e scanners</t>
        </is>
      </c>
      <c r="H292" t="inlineStr">
        <is>
          <t>M2-19</t>
        </is>
      </c>
      <c r="I292" t="inlineStr">
        <is>
          <t>06_Integração Tec:M2-19</t>
        </is>
      </c>
      <c r="J292" t="inlineStr">
        <is>
          <t>Doc. SEI 37070578</t>
        </is>
      </c>
      <c r="K292" t="inlineStr">
        <is>
          <t>2026-09-23T11:46:31</t>
        </is>
      </c>
    </row>
    <row r="293">
      <c r="A293" t="n">
        <v>292</v>
      </c>
      <c r="B293" t="inlineStr">
        <is>
          <t>GO</t>
        </is>
      </c>
      <c r="C293" t="inlineStr">
        <is>
          <t>GO</t>
        </is>
      </c>
      <c r="D293" t="inlineStr">
        <is>
          <t>Goiás</t>
        </is>
      </c>
      <c r="E293" t="inlineStr">
        <is>
          <t>06_Integração Tec</t>
        </is>
      </c>
      <c r="F293" t="inlineStr">
        <is>
          <t>Integração tecnológica</t>
        </is>
      </c>
      <c r="G293" t="inlineStr">
        <is>
          <t>Item 5 — Impressoras e scanners</t>
        </is>
      </c>
      <c r="H293" t="inlineStr">
        <is>
          <t>M2-21</t>
        </is>
      </c>
      <c r="I293" t="inlineStr">
        <is>
          <t>06_Integração Tec:M2-21</t>
        </is>
      </c>
      <c r="J293" t="inlineStr">
        <is>
          <t>Doc. SEI 37070578</t>
        </is>
      </c>
      <c r="K293" t="inlineStr">
        <is>
          <t>2026-09-23T11:46:31</t>
        </is>
      </c>
    </row>
    <row r="294">
      <c r="A294" t="n">
        <v>293</v>
      </c>
      <c r="B294" t="inlineStr">
        <is>
          <t>GO</t>
        </is>
      </c>
      <c r="C294" t="inlineStr">
        <is>
          <t>GO</t>
        </is>
      </c>
      <c r="D294" t="inlineStr">
        <is>
          <t>Goiás</t>
        </is>
      </c>
      <c r="E294" t="inlineStr">
        <is>
          <t>06_Integração Tec</t>
        </is>
      </c>
      <c r="F294" t="inlineStr">
        <is>
          <t>Integração tecnológica</t>
        </is>
      </c>
      <c r="G294" t="inlineStr">
        <is>
          <t>Item 6 — Aparelhos de telefone celular</t>
        </is>
      </c>
      <c r="H294" t="inlineStr">
        <is>
          <t>M2-27</t>
        </is>
      </c>
      <c r="I294" t="inlineStr">
        <is>
          <t>06_Integração Tec:M2-27</t>
        </is>
      </c>
      <c r="J294" t="inlineStr">
        <is>
          <t>Doc. SEI 37070578</t>
        </is>
      </c>
      <c r="K294" t="inlineStr">
        <is>
          <t>2026-09-23T11:46:31</t>
        </is>
      </c>
    </row>
    <row r="295">
      <c r="A295" t="n">
        <v>294</v>
      </c>
      <c r="B295" t="inlineStr">
        <is>
          <t>GO</t>
        </is>
      </c>
      <c r="C295" t="inlineStr">
        <is>
          <t>GO</t>
        </is>
      </c>
      <c r="D295" t="inlineStr">
        <is>
          <t>Goiás</t>
        </is>
      </c>
      <c r="E295" t="inlineStr">
        <is>
          <t>07_Maturidade</t>
        </is>
      </c>
      <c r="F295" t="inlineStr">
        <is>
          <t>Maturidade / bônus</t>
        </is>
      </c>
      <c r="G295" t="inlineStr">
        <is>
          <t>Bônus — Uso do canal Fala.BR</t>
        </is>
      </c>
      <c r="H295" t="inlineStr">
        <is>
          <t>M2-46</t>
        </is>
      </c>
      <c r="I295" t="inlineStr">
        <is>
          <t>07_Maturidade:M2-46</t>
        </is>
      </c>
      <c r="J295" t="inlineStr">
        <is>
          <t>Doc. SEI 37070578</t>
        </is>
      </c>
      <c r="K295" t="inlineStr">
        <is>
          <t>2026-09-23T11:46:31</t>
        </is>
      </c>
    </row>
    <row r="296">
      <c r="A296" t="n">
        <v>295</v>
      </c>
      <c r="B296" t="inlineStr">
        <is>
          <t>GO</t>
        </is>
      </c>
      <c r="C296" t="inlineStr">
        <is>
          <t>GO</t>
        </is>
      </c>
      <c r="D296" t="inlineStr">
        <is>
          <t>Goiás</t>
        </is>
      </c>
      <c r="E296" t="inlineStr">
        <is>
          <t>07_Maturidade</t>
        </is>
      </c>
      <c r="F296" t="inlineStr">
        <is>
          <t>Maturidade / bônus</t>
        </is>
      </c>
      <c r="G296" t="inlineStr">
        <is>
          <t>Bônus — Designação por mandato</t>
        </is>
      </c>
      <c r="H296" t="inlineStr">
        <is>
          <t>M0-08</t>
        </is>
      </c>
      <c r="I296" t="inlineStr">
        <is>
          <t>07_Maturidade:M0-08</t>
        </is>
      </c>
      <c r="J296" t="inlineStr">
        <is>
          <t>Doc. SEI 37070578</t>
        </is>
      </c>
      <c r="K296" t="inlineStr">
        <is>
          <t>2026-09-23T11:46:31</t>
        </is>
      </c>
    </row>
    <row r="297">
      <c r="A297" t="n">
        <v>296</v>
      </c>
      <c r="B297" t="inlineStr">
        <is>
          <t>GO</t>
        </is>
      </c>
      <c r="C297" t="inlineStr">
        <is>
          <t>GO</t>
        </is>
      </c>
      <c r="D297" t="inlineStr">
        <is>
          <t>Goiás</t>
        </is>
      </c>
      <c r="E297" t="inlineStr">
        <is>
          <t>07_Maturidade</t>
        </is>
      </c>
      <c r="F297" t="inlineStr">
        <is>
          <t>Maturidade / bônus</t>
        </is>
      </c>
      <c r="G297" t="inlineStr">
        <is>
          <t>Bônus — Dedicação da equipe</t>
        </is>
      </c>
      <c r="H297" t="inlineStr">
        <is>
          <t>M3-60</t>
        </is>
      </c>
      <c r="I297" t="inlineStr">
        <is>
          <t>07_Maturidade:M3-60</t>
        </is>
      </c>
      <c r="J297" t="inlineStr">
        <is>
          <t>Doc. SEI 37070578</t>
        </is>
      </c>
      <c r="K297" t="inlineStr">
        <is>
          <t>2026-09-23T11:46:31</t>
        </is>
      </c>
    </row>
    <row r="298">
      <c r="A298" t="n">
        <v>297</v>
      </c>
      <c r="B298" t="inlineStr">
        <is>
          <t>GO</t>
        </is>
      </c>
      <c r="C298" t="inlineStr">
        <is>
          <t>GO</t>
        </is>
      </c>
      <c r="D298" t="inlineStr">
        <is>
          <t>Goiás</t>
        </is>
      </c>
      <c r="E298" t="inlineStr">
        <is>
          <t>07_Maturidade</t>
        </is>
      </c>
      <c r="F298" t="inlineStr">
        <is>
          <t>Maturidade / bônus</t>
        </is>
      </c>
      <c r="G298" t="inlineStr">
        <is>
          <t>Bônus — Requisitos de perfil para o cargo de Ouvidor</t>
        </is>
      </c>
      <c r="H298" t="inlineStr">
        <is>
          <t>M3-58</t>
        </is>
      </c>
      <c r="I298" t="inlineStr">
        <is>
          <t>07_Maturidade:M3-58</t>
        </is>
      </c>
      <c r="J298" t="inlineStr">
        <is>
          <t>Doc. SEI 37070578</t>
        </is>
      </c>
      <c r="K298" t="inlineStr">
        <is>
          <t>2026-09-23T11:46:31</t>
        </is>
      </c>
    </row>
    <row r="299">
      <c r="A299" t="n">
        <v>298</v>
      </c>
      <c r="B299" t="inlineStr">
        <is>
          <t>GO</t>
        </is>
      </c>
      <c r="C299" t="inlineStr">
        <is>
          <t>GO</t>
        </is>
      </c>
      <c r="D299" t="inlineStr">
        <is>
          <t>Goiás</t>
        </is>
      </c>
      <c r="E299" t="inlineStr">
        <is>
          <t>07_Maturidade</t>
        </is>
      </c>
      <c r="F299" t="inlineStr">
        <is>
          <t>Maturidade / bônus</t>
        </is>
      </c>
      <c r="G299" t="inlineStr">
        <is>
          <t>Bônus — WhatsApp institucional</t>
        </is>
      </c>
      <c r="H299" t="inlineStr">
        <is>
          <t>M2-50</t>
        </is>
      </c>
      <c r="I299" t="inlineStr">
        <is>
          <t>07_Maturidade:M2-50</t>
        </is>
      </c>
      <c r="J299" t="inlineStr">
        <is>
          <t>Doc. SEI 37070578</t>
        </is>
      </c>
      <c r="K299" t="inlineStr">
        <is>
          <t>2026-09-23T11:46:31</t>
        </is>
      </c>
    </row>
    <row r="300">
      <c r="A300" t="n">
        <v>299</v>
      </c>
      <c r="B300" t="inlineStr">
        <is>
          <t>GO</t>
        </is>
      </c>
      <c r="C300" t="inlineStr">
        <is>
          <t>GO</t>
        </is>
      </c>
      <c r="D300" t="inlineStr">
        <is>
          <t>Goiás</t>
        </is>
      </c>
      <c r="E300" t="inlineStr">
        <is>
          <t>07_Maturidade</t>
        </is>
      </c>
      <c r="F300" t="inlineStr">
        <is>
          <t>Maturidade / bônus</t>
        </is>
      </c>
      <c r="G300" t="inlineStr">
        <is>
          <t>Bônus — Outros canais eletrônicos institucionais</t>
        </is>
      </c>
      <c r="H300" t="inlineStr">
        <is>
          <t>M2-49</t>
        </is>
      </c>
      <c r="I300" t="inlineStr">
        <is>
          <t>07_Maturidade:M2-49</t>
        </is>
      </c>
      <c r="J300" t="inlineStr">
        <is>
          <t>Doc. SEI 37070578</t>
        </is>
      </c>
      <c r="K300" t="inlineStr">
        <is>
          <t>2026-09-23T11:46:31</t>
        </is>
      </c>
    </row>
    <row r="301">
      <c r="A301" t="n">
        <v>300</v>
      </c>
      <c r="B301" t="inlineStr">
        <is>
          <t>GO</t>
        </is>
      </c>
      <c r="C301" t="inlineStr">
        <is>
          <t>GO</t>
        </is>
      </c>
      <c r="D301" t="inlineStr">
        <is>
          <t>Goiás</t>
        </is>
      </c>
      <c r="E301" t="inlineStr">
        <is>
          <t>07_Maturidade</t>
        </is>
      </c>
      <c r="F301" t="inlineStr">
        <is>
          <t>Maturidade / bônus</t>
        </is>
      </c>
      <c r="G301" t="inlineStr">
        <is>
          <t>Bônus — Materiais adicionais de divulgação e educação em direitos</t>
        </is>
      </c>
      <c r="H301" t="inlineStr">
        <is>
          <t>M2-36</t>
        </is>
      </c>
      <c r="I301" t="inlineStr">
        <is>
          <t>07_Maturidade:M2-36</t>
        </is>
      </c>
      <c r="J301" t="inlineStr">
        <is>
          <t>Doc. SEI 37070578</t>
        </is>
      </c>
      <c r="K301" t="inlineStr">
        <is>
          <t>2026-09-23T11:46:31</t>
        </is>
      </c>
    </row>
    <row r="302">
      <c r="A302" t="n">
        <v>301</v>
      </c>
      <c r="B302" t="inlineStr">
        <is>
          <t>MA</t>
        </is>
      </c>
      <c r="C302" t="inlineStr">
        <is>
          <t>MA</t>
        </is>
      </c>
      <c r="D302" t="inlineStr">
        <is>
          <t>Maranhão</t>
        </is>
      </c>
      <c r="E302" t="inlineStr">
        <is>
          <t>01_Institucionalização</t>
        </is>
      </c>
      <c r="F302" t="inlineStr">
        <is>
          <t>Institucionalização</t>
        </is>
      </c>
      <c r="G302" t="inlineStr">
        <is>
          <t>Item 1 — Instituição formal da Ouvidoria de Serviços Penais</t>
        </is>
      </c>
      <c r="H302" t="inlineStr">
        <is>
          <t>M1-11</t>
        </is>
      </c>
      <c r="I302" t="inlineStr">
        <is>
          <t>01_Institucionalização:M1-11</t>
        </is>
      </c>
      <c r="J302" t="inlineStr">
        <is>
          <t>Doc. SEI 37070578</t>
        </is>
      </c>
      <c r="K302" t="inlineStr">
        <is>
          <t>2026-09-23T11:46:31</t>
        </is>
      </c>
    </row>
    <row r="303">
      <c r="A303" t="n">
        <v>302</v>
      </c>
      <c r="B303" t="inlineStr">
        <is>
          <t>MA</t>
        </is>
      </c>
      <c r="C303" t="inlineStr">
        <is>
          <t>MA</t>
        </is>
      </c>
      <c r="D303" t="inlineStr">
        <is>
          <t>Maranhão</t>
        </is>
      </c>
      <c r="E303" t="inlineStr">
        <is>
          <t>02_Autonomia</t>
        </is>
      </c>
      <c r="F303" t="inlineStr">
        <is>
          <t>Autonomia técnica e funcional</t>
        </is>
      </c>
      <c r="G303" t="inlineStr">
        <is>
          <t>Item 1 — Garantia normativa de autonomia técnica/funcional</t>
        </is>
      </c>
      <c r="H303" t="inlineStr">
        <is>
          <t>M3-56</t>
        </is>
      </c>
      <c r="I303" t="inlineStr">
        <is>
          <t>02_Autonomia:M3-56</t>
        </is>
      </c>
      <c r="J303" t="inlineStr">
        <is>
          <t>Doc. SEI 37070578</t>
        </is>
      </c>
      <c r="K303" t="inlineStr">
        <is>
          <t>2026-09-23T11:46:31</t>
        </is>
      </c>
    </row>
    <row r="304">
      <c r="A304" t="n">
        <v>303</v>
      </c>
      <c r="B304" t="inlineStr">
        <is>
          <t>MA</t>
        </is>
      </c>
      <c r="C304" t="inlineStr">
        <is>
          <t>MA</t>
        </is>
      </c>
      <c r="D304" t="inlineStr">
        <is>
          <t>Maranhão</t>
        </is>
      </c>
      <c r="E304" t="inlineStr">
        <is>
          <t>02_Autonomia</t>
        </is>
      </c>
      <c r="F304" t="inlineStr">
        <is>
          <t>Autonomia técnica e funcional</t>
        </is>
      </c>
      <c r="G304" t="inlineStr">
        <is>
          <t>Item 1 — Garantia normativa de autonomia técnica/funcional</t>
        </is>
      </c>
      <c r="H304" t="inlineStr">
        <is>
          <t>M3-57</t>
        </is>
      </c>
      <c r="I304" t="inlineStr">
        <is>
          <t>02_Autonomia:M3-57</t>
        </is>
      </c>
      <c r="J304" t="inlineStr">
        <is>
          <t>Doc. SEI 37070578</t>
        </is>
      </c>
      <c r="K304" t="inlineStr">
        <is>
          <t>2026-09-23T11:46:31</t>
        </is>
      </c>
    </row>
    <row r="305">
      <c r="A305" t="n">
        <v>304</v>
      </c>
      <c r="B305" t="inlineStr">
        <is>
          <t>MA</t>
        </is>
      </c>
      <c r="C305" t="inlineStr">
        <is>
          <t>MA</t>
        </is>
      </c>
      <c r="D305" t="inlineStr">
        <is>
          <t>Maranhão</t>
        </is>
      </c>
      <c r="E305" t="inlineStr">
        <is>
          <t>02_Autonomia</t>
        </is>
      </c>
      <c r="F305" t="inlineStr">
        <is>
          <t>Autonomia técnica e funcional</t>
        </is>
      </c>
      <c r="G305" t="inlineStr">
        <is>
          <t>Item 2 — Condições institucionais de atuação sem interferência indevida</t>
        </is>
      </c>
      <c r="H305" t="inlineStr">
        <is>
          <t>M1-12</t>
        </is>
      </c>
      <c r="I305" t="inlineStr">
        <is>
          <t>02_Autonomia:M1-12</t>
        </is>
      </c>
      <c r="J305" t="inlineStr">
        <is>
          <t>Doc. SEI 37070578</t>
        </is>
      </c>
      <c r="K305" t="inlineStr">
        <is>
          <t>2026-09-23T11:46:31</t>
        </is>
      </c>
    </row>
    <row r="306">
      <c r="A306" t="n">
        <v>305</v>
      </c>
      <c r="B306" t="inlineStr">
        <is>
          <t>MA</t>
        </is>
      </c>
      <c r="C306" t="inlineStr">
        <is>
          <t>MA</t>
        </is>
      </c>
      <c r="D306" t="inlineStr">
        <is>
          <t>Maranhão</t>
        </is>
      </c>
      <c r="E306" t="inlineStr">
        <is>
          <t>02_Autonomia</t>
        </is>
      </c>
      <c r="F306" t="inlineStr">
        <is>
          <t>Autonomia técnica e funcional</t>
        </is>
      </c>
      <c r="G306" t="inlineStr">
        <is>
          <t>Item 2 — Condições institucionais de atuação sem interferência indevida</t>
        </is>
      </c>
      <c r="H306" t="inlineStr">
        <is>
          <t>M4-67</t>
        </is>
      </c>
      <c r="I306" t="inlineStr">
        <is>
          <t>02_Autonomia:M4-67</t>
        </is>
      </c>
      <c r="J306" t="inlineStr">
        <is>
          <t>Doc. SEI 37070578</t>
        </is>
      </c>
      <c r="K306" t="inlineStr">
        <is>
          <t>2026-09-23T11:46:31</t>
        </is>
      </c>
    </row>
    <row r="307">
      <c r="A307" t="n">
        <v>306</v>
      </c>
      <c r="B307" t="inlineStr">
        <is>
          <t>MA</t>
        </is>
      </c>
      <c r="C307" t="inlineStr">
        <is>
          <t>MA</t>
        </is>
      </c>
      <c r="D307" t="inlineStr">
        <is>
          <t>Maranhão</t>
        </is>
      </c>
      <c r="E307" t="inlineStr">
        <is>
          <t>02_Autonomia</t>
        </is>
      </c>
      <c r="F307" t="inlineStr">
        <is>
          <t>Autonomia técnica e funcional</t>
        </is>
      </c>
      <c r="G307" t="inlineStr">
        <is>
          <t>Item 2 — Condições institucionais de atuação sem interferência indevida</t>
        </is>
      </c>
      <c r="H307" t="inlineStr">
        <is>
          <t>M4-68</t>
        </is>
      </c>
      <c r="I307" t="inlineStr">
        <is>
          <t>02_Autonomia:M4-68</t>
        </is>
      </c>
      <c r="J307" t="inlineStr">
        <is>
          <t>Doc. SEI 37070578</t>
        </is>
      </c>
      <c r="K307" t="inlineStr">
        <is>
          <t>2026-09-23T11:46:31</t>
        </is>
      </c>
    </row>
    <row r="308">
      <c r="A308" t="n">
        <v>307</v>
      </c>
      <c r="B308" t="inlineStr">
        <is>
          <t>MA</t>
        </is>
      </c>
      <c r="C308" t="inlineStr">
        <is>
          <t>MA</t>
        </is>
      </c>
      <c r="D308" t="inlineStr">
        <is>
          <t>Maranhão</t>
        </is>
      </c>
      <c r="E308" t="inlineStr">
        <is>
          <t>03_Imparcialidade</t>
        </is>
      </c>
      <c r="F308" t="inlineStr">
        <is>
          <t>Imparcialidade, sigilo e proteção</t>
        </is>
      </c>
      <c r="G308" t="inlineStr">
        <is>
          <t>Item 1 — Proteção e tratamento de denúncias graves e sensíveis</t>
        </is>
      </c>
      <c r="H308" t="inlineStr">
        <is>
          <t>M4-69</t>
        </is>
      </c>
      <c r="I308" t="inlineStr">
        <is>
          <t>03_Imparcialidade:M4-69</t>
        </is>
      </c>
      <c r="J308" t="inlineStr">
        <is>
          <t>Doc. SEI 37070578</t>
        </is>
      </c>
      <c r="K308" t="inlineStr">
        <is>
          <t>2026-09-23T11:46:31</t>
        </is>
      </c>
    </row>
    <row r="309">
      <c r="A309" t="n">
        <v>308</v>
      </c>
      <c r="B309" t="inlineStr">
        <is>
          <t>MA</t>
        </is>
      </c>
      <c r="C309" t="inlineStr">
        <is>
          <t>MA</t>
        </is>
      </c>
      <c r="D309" t="inlineStr">
        <is>
          <t>Maranhão</t>
        </is>
      </c>
      <c r="E309" t="inlineStr">
        <is>
          <t>03_Imparcialidade</t>
        </is>
      </c>
      <c r="F309" t="inlineStr">
        <is>
          <t>Imparcialidade, sigilo e proteção</t>
        </is>
      </c>
      <c r="G309" t="inlineStr">
        <is>
          <t>Item 2 — Confidencialidade e sigilo da equipe</t>
        </is>
      </c>
      <c r="H309" t="inlineStr">
        <is>
          <t>M3-63</t>
        </is>
      </c>
      <c r="I309" t="inlineStr">
        <is>
          <t>03_Imparcialidade:M3-63</t>
        </is>
      </c>
      <c r="J309" t="inlineStr">
        <is>
          <t>Doc. SEI 37070578</t>
        </is>
      </c>
      <c r="K309" t="inlineStr">
        <is>
          <t>2026-09-23T11:46:31</t>
        </is>
      </c>
    </row>
    <row r="310">
      <c r="A310" t="n">
        <v>309</v>
      </c>
      <c r="B310" t="inlineStr">
        <is>
          <t>MA</t>
        </is>
      </c>
      <c r="C310" t="inlineStr">
        <is>
          <t>MA</t>
        </is>
      </c>
      <c r="D310" t="inlineStr">
        <is>
          <t>Maranhão</t>
        </is>
      </c>
      <c r="E310" t="inlineStr">
        <is>
          <t>04_Acessibilidade</t>
        </is>
      </c>
      <c r="F310" t="inlineStr">
        <is>
          <t>Acessibilidade e atendimento humanizado</t>
        </is>
      </c>
      <c r="G310" t="inlineStr">
        <is>
          <t>Item 1 — Canais institucionais acessíveis</t>
        </is>
      </c>
      <c r="H310" t="inlineStr">
        <is>
          <t>M2-41</t>
        </is>
      </c>
      <c r="I310" t="inlineStr">
        <is>
          <t>04_Acessibilidade:M2-41</t>
        </is>
      </c>
      <c r="J310" t="inlineStr">
        <is>
          <t>Doc. SEI 37070578</t>
        </is>
      </c>
      <c r="K310" t="inlineStr">
        <is>
          <t>2026-09-23T11:46:31</t>
        </is>
      </c>
    </row>
    <row r="311">
      <c r="A311" t="n">
        <v>310</v>
      </c>
      <c r="B311" t="inlineStr">
        <is>
          <t>MA</t>
        </is>
      </c>
      <c r="C311" t="inlineStr">
        <is>
          <t>MA</t>
        </is>
      </c>
      <c r="D311" t="inlineStr">
        <is>
          <t>Maranhão</t>
        </is>
      </c>
      <c r="E311" t="inlineStr">
        <is>
          <t>04_Acessibilidade</t>
        </is>
      </c>
      <c r="F311" t="inlineStr">
        <is>
          <t>Acessibilidade e atendimento humanizado</t>
        </is>
      </c>
      <c r="G311" t="inlineStr">
        <is>
          <t>Item 1 — Canais institucionais acessíveis</t>
        </is>
      </c>
      <c r="H311" t="inlineStr">
        <is>
          <t>M2-43</t>
        </is>
      </c>
      <c r="I311" t="inlineStr">
        <is>
          <t>04_Acessibilidade:M2-43</t>
        </is>
      </c>
      <c r="J311" t="inlineStr">
        <is>
          <t>Doc. SEI 37070578</t>
        </is>
      </c>
      <c r="K311" t="inlineStr">
        <is>
          <t>2026-09-23T11:46:31</t>
        </is>
      </c>
    </row>
    <row r="312">
      <c r="A312" t="n">
        <v>311</v>
      </c>
      <c r="B312" t="inlineStr">
        <is>
          <t>MA</t>
        </is>
      </c>
      <c r="C312" t="inlineStr">
        <is>
          <t>MA</t>
        </is>
      </c>
      <c r="D312" t="inlineStr">
        <is>
          <t>Maranhão</t>
        </is>
      </c>
      <c r="E312" t="inlineStr">
        <is>
          <t>04_Acessibilidade</t>
        </is>
      </c>
      <c r="F312" t="inlineStr">
        <is>
          <t>Acessibilidade e atendimento humanizado</t>
        </is>
      </c>
      <c r="G312" t="inlineStr">
        <is>
          <t>Item 1 — Canais institucionais acessíveis</t>
        </is>
      </c>
      <c r="H312" t="inlineStr">
        <is>
          <t>M2-47</t>
        </is>
      </c>
      <c r="I312" t="inlineStr">
        <is>
          <t>04_Acessibilidade:M2-47</t>
        </is>
      </c>
      <c r="J312" t="inlineStr">
        <is>
          <t>Doc. SEI 37070578</t>
        </is>
      </c>
      <c r="K312" t="inlineStr">
        <is>
          <t>2026-09-23T11:46:31</t>
        </is>
      </c>
    </row>
    <row r="313">
      <c r="A313" t="n">
        <v>312</v>
      </c>
      <c r="B313" t="inlineStr">
        <is>
          <t>MA</t>
        </is>
      </c>
      <c r="C313" t="inlineStr">
        <is>
          <t>MA</t>
        </is>
      </c>
      <c r="D313" t="inlineStr">
        <is>
          <t>Maranhão</t>
        </is>
      </c>
      <c r="E313" t="inlineStr">
        <is>
          <t>04_Acessibilidade</t>
        </is>
      </c>
      <c r="F313" t="inlineStr">
        <is>
          <t>Acessibilidade e atendimento humanizado</t>
        </is>
      </c>
      <c r="G313" t="inlineStr">
        <is>
          <t>Item 2 — Condições de atendimento reservado e acessível</t>
        </is>
      </c>
      <c r="H313" t="inlineStr">
        <is>
          <t>M2-16</t>
        </is>
      </c>
      <c r="I313" t="inlineStr">
        <is>
          <t>04_Acessibilidade:M2-16</t>
        </is>
      </c>
      <c r="J313" t="inlineStr">
        <is>
          <t>Doc. SEI 37070578</t>
        </is>
      </c>
      <c r="K313" t="inlineStr">
        <is>
          <t>2026-09-23T11:46:31</t>
        </is>
      </c>
    </row>
    <row r="314">
      <c r="A314" t="n">
        <v>313</v>
      </c>
      <c r="B314" t="inlineStr">
        <is>
          <t>MA</t>
        </is>
      </c>
      <c r="C314" t="inlineStr">
        <is>
          <t>MA</t>
        </is>
      </c>
      <c r="D314" t="inlineStr">
        <is>
          <t>Maranhão</t>
        </is>
      </c>
      <c r="E314" t="inlineStr">
        <is>
          <t>04_Acessibilidade</t>
        </is>
      </c>
      <c r="F314" t="inlineStr">
        <is>
          <t>Acessibilidade e atendimento humanizado</t>
        </is>
      </c>
      <c r="G314" t="inlineStr">
        <is>
          <t>Item 3 — Alcance dos públicos dos serviços penais</t>
        </is>
      </c>
      <c r="H314" t="inlineStr">
        <is>
          <t>M1-13</t>
        </is>
      </c>
      <c r="I314" t="inlineStr">
        <is>
          <t>04_Acessibilidade:M1-13</t>
        </is>
      </c>
      <c r="J314" t="inlineStr">
        <is>
          <t>Doc. SEI 37070578</t>
        </is>
      </c>
      <c r="K314" t="inlineStr">
        <is>
          <t>2026-09-23T11:46:31</t>
        </is>
      </c>
    </row>
    <row r="315">
      <c r="A315" t="n">
        <v>314</v>
      </c>
      <c r="B315" t="inlineStr">
        <is>
          <t>MA</t>
        </is>
      </c>
      <c r="C315" t="inlineStr">
        <is>
          <t>MA</t>
        </is>
      </c>
      <c r="D315" t="inlineStr">
        <is>
          <t>Maranhão</t>
        </is>
      </c>
      <c r="E315" t="inlineStr">
        <is>
          <t>04_Acessibilidade</t>
        </is>
      </c>
      <c r="F315" t="inlineStr">
        <is>
          <t>Acessibilidade e atendimento humanizado</t>
        </is>
      </c>
      <c r="G315" t="inlineStr">
        <is>
          <t>Item 3 — Alcance dos públicos dos serviços penais</t>
        </is>
      </c>
      <c r="H315" t="inlineStr">
        <is>
          <t>M4-64</t>
        </is>
      </c>
      <c r="I315" t="inlineStr">
        <is>
          <t>04_Acessibilidade:M4-64</t>
        </is>
      </c>
      <c r="J315" t="inlineStr">
        <is>
          <t>Doc. SEI 37070578</t>
        </is>
      </c>
      <c r="K315" t="inlineStr">
        <is>
          <t>2026-09-23T11:46:31</t>
        </is>
      </c>
    </row>
    <row r="316">
      <c r="A316" t="n">
        <v>315</v>
      </c>
      <c r="B316" t="inlineStr">
        <is>
          <t>MA</t>
        </is>
      </c>
      <c r="C316" t="inlineStr">
        <is>
          <t>MA</t>
        </is>
      </c>
      <c r="D316" t="inlineStr">
        <is>
          <t>Maranhão</t>
        </is>
      </c>
      <c r="E316" t="inlineStr">
        <is>
          <t>05_Transparência</t>
        </is>
      </c>
      <c r="F316" t="inlineStr">
        <is>
          <t>Transparência e publicidade</t>
        </is>
      </c>
      <c r="G316" t="inlineStr">
        <is>
          <t>Item 1 — Visibilidade institucional e divulgação dos canais</t>
        </is>
      </c>
      <c r="H316" t="inlineStr">
        <is>
          <t>M2-35</t>
        </is>
      </c>
      <c r="I316" t="inlineStr">
        <is>
          <t>05_Transparência:M2-35</t>
        </is>
      </c>
      <c r="J316" t="inlineStr">
        <is>
          <t>Doc. SEI 37070578</t>
        </is>
      </c>
      <c r="K316" t="inlineStr">
        <is>
          <t>2026-09-23T11:46:31</t>
        </is>
      </c>
    </row>
    <row r="317">
      <c r="A317" t="n">
        <v>316</v>
      </c>
      <c r="B317" t="inlineStr">
        <is>
          <t>MA</t>
        </is>
      </c>
      <c r="C317" t="inlineStr">
        <is>
          <t>MA</t>
        </is>
      </c>
      <c r="D317" t="inlineStr">
        <is>
          <t>Maranhão</t>
        </is>
      </c>
      <c r="E317" t="inlineStr">
        <is>
          <t>05_Transparência</t>
        </is>
      </c>
      <c r="F317" t="inlineStr">
        <is>
          <t>Transparência e publicidade</t>
        </is>
      </c>
      <c r="G317" t="inlineStr">
        <is>
          <t>Item 2 — Publicidade das ações e atividades</t>
        </is>
      </c>
      <c r="H317" t="inlineStr">
        <is>
          <t>M4-71</t>
        </is>
      </c>
      <c r="I317" t="inlineStr">
        <is>
          <t>05_Transparência:M4-71</t>
        </is>
      </c>
      <c r="J317" t="inlineStr">
        <is>
          <t>Doc. SEI 37070578</t>
        </is>
      </c>
      <c r="K317" t="inlineStr">
        <is>
          <t>2026-09-23T11:46:31</t>
        </is>
      </c>
    </row>
    <row r="318">
      <c r="A318" t="n">
        <v>317</v>
      </c>
      <c r="B318" t="inlineStr">
        <is>
          <t>MA</t>
        </is>
      </c>
      <c r="C318" t="inlineStr">
        <is>
          <t>MA</t>
        </is>
      </c>
      <c r="D318" t="inlineStr">
        <is>
          <t>Maranhão</t>
        </is>
      </c>
      <c r="E318" t="inlineStr">
        <is>
          <t>06_Integração Tec</t>
        </is>
      </c>
      <c r="F318" t="inlineStr">
        <is>
          <t>Integração tecnológica</t>
        </is>
      </c>
      <c r="G318" t="inlineStr">
        <is>
          <t>Item 1 — Canal eletrônico e solução para registro e gestão das manifestações</t>
        </is>
      </c>
      <c r="H318" t="inlineStr">
        <is>
          <t>M2-45</t>
        </is>
      </c>
      <c r="I318" t="inlineStr">
        <is>
          <t>06_Integração Tec:M2-45</t>
        </is>
      </c>
      <c r="J318" t="inlineStr">
        <is>
          <t>Doc. SEI 37070578</t>
        </is>
      </c>
      <c r="K318" t="inlineStr">
        <is>
          <t>2026-09-23T11:46:31</t>
        </is>
      </c>
    </row>
    <row r="319">
      <c r="A319" t="n">
        <v>318</v>
      </c>
      <c r="B319" t="inlineStr">
        <is>
          <t>MA</t>
        </is>
      </c>
      <c r="C319" t="inlineStr">
        <is>
          <t>MA</t>
        </is>
      </c>
      <c r="D319" t="inlineStr">
        <is>
          <t>Maranhão</t>
        </is>
      </c>
      <c r="E319" t="inlineStr">
        <is>
          <t>06_Integração Tec</t>
        </is>
      </c>
      <c r="F319" t="inlineStr">
        <is>
          <t>Integração tecnológica</t>
        </is>
      </c>
      <c r="G319" t="inlineStr">
        <is>
          <t>Item 2 — Registro, protocolo, rastreabilidade e acompanhamento</t>
        </is>
      </c>
      <c r="H319" t="inlineStr">
        <is>
          <t>M4-66</t>
        </is>
      </c>
      <c r="I319" t="inlineStr">
        <is>
          <t>06_Integração Tec:M4-66</t>
        </is>
      </c>
      <c r="J319" t="inlineStr">
        <is>
          <t>Doc. SEI 37070578</t>
        </is>
      </c>
      <c r="K319" t="inlineStr">
        <is>
          <t>2026-09-23T11:46:31</t>
        </is>
      </c>
    </row>
    <row r="320">
      <c r="A320" t="n">
        <v>319</v>
      </c>
      <c r="B320" t="inlineStr">
        <is>
          <t>MA</t>
        </is>
      </c>
      <c r="C320" t="inlineStr">
        <is>
          <t>MA</t>
        </is>
      </c>
      <c r="D320" t="inlineStr">
        <is>
          <t>Maranhão</t>
        </is>
      </c>
      <c r="E320" t="inlineStr">
        <is>
          <t>06_Integração Tec</t>
        </is>
      </c>
      <c r="F320" t="inlineStr">
        <is>
          <t>Integração tecnológica</t>
        </is>
      </c>
      <c r="G320" t="inlineStr">
        <is>
          <t>Item 3 — Sigilo, autenticação e controle de acesso</t>
        </is>
      </c>
      <c r="H320" t="inlineStr">
        <is>
          <t>M2-37</t>
        </is>
      </c>
      <c r="I320" t="inlineStr">
        <is>
          <t>06_Integração Tec:M2-37</t>
        </is>
      </c>
      <c r="J320" t="inlineStr">
        <is>
          <t>Doc. SEI 37070578</t>
        </is>
      </c>
      <c r="K320" t="inlineStr">
        <is>
          <t>2026-09-23T11:46:31</t>
        </is>
      </c>
    </row>
    <row r="321">
      <c r="A321" t="n">
        <v>320</v>
      </c>
      <c r="B321" t="inlineStr">
        <is>
          <t>MA</t>
        </is>
      </c>
      <c r="C321" t="inlineStr">
        <is>
          <t>MA</t>
        </is>
      </c>
      <c r="D321" t="inlineStr">
        <is>
          <t>Maranhão</t>
        </is>
      </c>
      <c r="E321" t="inlineStr">
        <is>
          <t>06_Integração Tec</t>
        </is>
      </c>
      <c r="F321" t="inlineStr">
        <is>
          <t>Integração tecnológica</t>
        </is>
      </c>
      <c r="G321" t="inlineStr">
        <is>
          <t>Item 4 — Computadores e acesso à internet</t>
        </is>
      </c>
      <c r="H321" t="inlineStr">
        <is>
          <t>M2-17</t>
        </is>
      </c>
      <c r="I321" t="inlineStr">
        <is>
          <t>06_Integração Tec:M2-17</t>
        </is>
      </c>
      <c r="J321" t="inlineStr">
        <is>
          <t>Doc. SEI 37070578</t>
        </is>
      </c>
      <c r="K321" t="inlineStr">
        <is>
          <t>2026-09-23T11:46:31</t>
        </is>
      </c>
    </row>
    <row r="322">
      <c r="A322" t="n">
        <v>321</v>
      </c>
      <c r="B322" t="inlineStr">
        <is>
          <t>MA</t>
        </is>
      </c>
      <c r="C322" t="inlineStr">
        <is>
          <t>MA</t>
        </is>
      </c>
      <c r="D322" t="inlineStr">
        <is>
          <t>Maranhão</t>
        </is>
      </c>
      <c r="E322" t="inlineStr">
        <is>
          <t>06_Integração Tec</t>
        </is>
      </c>
      <c r="F322" t="inlineStr">
        <is>
          <t>Integração tecnológica</t>
        </is>
      </c>
      <c r="G322" t="inlineStr">
        <is>
          <t>Item 5 — Impressoras e scanners</t>
        </is>
      </c>
      <c r="H322" t="inlineStr">
        <is>
          <t>M2-19</t>
        </is>
      </c>
      <c r="I322" t="inlineStr">
        <is>
          <t>06_Integração Tec:M2-19</t>
        </is>
      </c>
      <c r="J322" t="inlineStr">
        <is>
          <t>Doc. SEI 37070578</t>
        </is>
      </c>
      <c r="K322" t="inlineStr">
        <is>
          <t>2026-09-23T11:46:31</t>
        </is>
      </c>
    </row>
    <row r="323">
      <c r="A323" t="n">
        <v>322</v>
      </c>
      <c r="B323" t="inlineStr">
        <is>
          <t>MA</t>
        </is>
      </c>
      <c r="C323" t="inlineStr">
        <is>
          <t>MA</t>
        </is>
      </c>
      <c r="D323" t="inlineStr">
        <is>
          <t>Maranhão</t>
        </is>
      </c>
      <c r="E323" t="inlineStr">
        <is>
          <t>06_Integração Tec</t>
        </is>
      </c>
      <c r="F323" t="inlineStr">
        <is>
          <t>Integração tecnológica</t>
        </is>
      </c>
      <c r="G323" t="inlineStr">
        <is>
          <t>Item 5 — Impressoras e scanners</t>
        </is>
      </c>
      <c r="H323" t="inlineStr">
        <is>
          <t>M2-21</t>
        </is>
      </c>
      <c r="I323" t="inlineStr">
        <is>
          <t>06_Integração Tec:M2-21</t>
        </is>
      </c>
      <c r="J323" t="inlineStr">
        <is>
          <t>Doc. SEI 37070578</t>
        </is>
      </c>
      <c r="K323" t="inlineStr">
        <is>
          <t>2026-09-23T11:46:31</t>
        </is>
      </c>
    </row>
    <row r="324">
      <c r="A324" t="n">
        <v>323</v>
      </c>
      <c r="B324" t="inlineStr">
        <is>
          <t>MA</t>
        </is>
      </c>
      <c r="C324" t="inlineStr">
        <is>
          <t>MA</t>
        </is>
      </c>
      <c r="D324" t="inlineStr">
        <is>
          <t>Maranhão</t>
        </is>
      </c>
      <c r="E324" t="inlineStr">
        <is>
          <t>06_Integração Tec</t>
        </is>
      </c>
      <c r="F324" t="inlineStr">
        <is>
          <t>Integração tecnológica</t>
        </is>
      </c>
      <c r="G324" t="inlineStr">
        <is>
          <t>Item 6 — Aparelhos de telefone celular</t>
        </is>
      </c>
      <c r="H324" t="inlineStr">
        <is>
          <t>M2-27</t>
        </is>
      </c>
      <c r="I324" t="inlineStr">
        <is>
          <t>06_Integração Tec:M2-27</t>
        </is>
      </c>
      <c r="J324" t="inlineStr">
        <is>
          <t>Doc. SEI 37070578</t>
        </is>
      </c>
      <c r="K324" t="inlineStr">
        <is>
          <t>2026-09-23T11:46:31</t>
        </is>
      </c>
    </row>
    <row r="325">
      <c r="A325" t="n">
        <v>324</v>
      </c>
      <c r="B325" t="inlineStr">
        <is>
          <t>MA</t>
        </is>
      </c>
      <c r="C325" t="inlineStr">
        <is>
          <t>MA</t>
        </is>
      </c>
      <c r="D325" t="inlineStr">
        <is>
          <t>Maranhão</t>
        </is>
      </c>
      <c r="E325" t="inlineStr">
        <is>
          <t>07_Maturidade</t>
        </is>
      </c>
      <c r="F325" t="inlineStr">
        <is>
          <t>Maturidade / bônus</t>
        </is>
      </c>
      <c r="G325" t="inlineStr">
        <is>
          <t>Bônus — Uso do canal Fala.BR</t>
        </is>
      </c>
      <c r="H325" t="inlineStr">
        <is>
          <t>M2-46</t>
        </is>
      </c>
      <c r="I325" t="inlineStr">
        <is>
          <t>07_Maturidade:M2-46</t>
        </is>
      </c>
      <c r="J325" t="inlineStr">
        <is>
          <t>Doc. SEI 37070578</t>
        </is>
      </c>
      <c r="K325" t="inlineStr">
        <is>
          <t>2026-09-23T11:46:31</t>
        </is>
      </c>
    </row>
    <row r="326">
      <c r="A326" t="n">
        <v>325</v>
      </c>
      <c r="B326" t="inlineStr">
        <is>
          <t>MA</t>
        </is>
      </c>
      <c r="C326" t="inlineStr">
        <is>
          <t>MA</t>
        </is>
      </c>
      <c r="D326" t="inlineStr">
        <is>
          <t>Maranhão</t>
        </is>
      </c>
      <c r="E326" t="inlineStr">
        <is>
          <t>07_Maturidade</t>
        </is>
      </c>
      <c r="F326" t="inlineStr">
        <is>
          <t>Maturidade / bônus</t>
        </is>
      </c>
      <c r="G326" t="inlineStr">
        <is>
          <t>Bônus — Designação por mandato</t>
        </is>
      </c>
      <c r="H326" t="inlineStr">
        <is>
          <t>M0-08</t>
        </is>
      </c>
      <c r="I326" t="inlineStr">
        <is>
          <t>07_Maturidade:M0-08</t>
        </is>
      </c>
      <c r="J326" t="inlineStr">
        <is>
          <t>Doc. SEI 37070578</t>
        </is>
      </c>
      <c r="K326" t="inlineStr">
        <is>
          <t>2026-09-23T11:46:31</t>
        </is>
      </c>
    </row>
    <row r="327">
      <c r="A327" t="n">
        <v>326</v>
      </c>
      <c r="B327" t="inlineStr">
        <is>
          <t>MA</t>
        </is>
      </c>
      <c r="C327" t="inlineStr">
        <is>
          <t>MA</t>
        </is>
      </c>
      <c r="D327" t="inlineStr">
        <is>
          <t>Maranhão</t>
        </is>
      </c>
      <c r="E327" t="inlineStr">
        <is>
          <t>07_Maturidade</t>
        </is>
      </c>
      <c r="F327" t="inlineStr">
        <is>
          <t>Maturidade / bônus</t>
        </is>
      </c>
      <c r="G327" t="inlineStr">
        <is>
          <t>Bônus — Dedicação da equipe</t>
        </is>
      </c>
      <c r="H327" t="inlineStr">
        <is>
          <t>M3-60</t>
        </is>
      </c>
      <c r="I327" t="inlineStr">
        <is>
          <t>07_Maturidade:M3-60</t>
        </is>
      </c>
      <c r="J327" t="inlineStr">
        <is>
          <t>Doc. SEI 37070578</t>
        </is>
      </c>
      <c r="K327" t="inlineStr">
        <is>
          <t>2026-09-23T11:46:31</t>
        </is>
      </c>
    </row>
    <row r="328">
      <c r="A328" t="n">
        <v>327</v>
      </c>
      <c r="B328" t="inlineStr">
        <is>
          <t>MA</t>
        </is>
      </c>
      <c r="C328" t="inlineStr">
        <is>
          <t>MA</t>
        </is>
      </c>
      <c r="D328" t="inlineStr">
        <is>
          <t>Maranhão</t>
        </is>
      </c>
      <c r="E328" t="inlineStr">
        <is>
          <t>07_Maturidade</t>
        </is>
      </c>
      <c r="F328" t="inlineStr">
        <is>
          <t>Maturidade / bônus</t>
        </is>
      </c>
      <c r="G328" t="inlineStr">
        <is>
          <t>Bônus — Requisitos de perfil para o cargo de Ouvidor</t>
        </is>
      </c>
      <c r="H328" t="inlineStr">
        <is>
          <t>M3-58</t>
        </is>
      </c>
      <c r="I328" t="inlineStr">
        <is>
          <t>07_Maturidade:M3-58</t>
        </is>
      </c>
      <c r="J328" t="inlineStr">
        <is>
          <t>Doc. SEI 37070578</t>
        </is>
      </c>
      <c r="K328" t="inlineStr">
        <is>
          <t>2026-09-23T11:46:31</t>
        </is>
      </c>
    </row>
    <row r="329">
      <c r="A329" t="n">
        <v>328</v>
      </c>
      <c r="B329" t="inlineStr">
        <is>
          <t>MA</t>
        </is>
      </c>
      <c r="C329" t="inlineStr">
        <is>
          <t>MA</t>
        </is>
      </c>
      <c r="D329" t="inlineStr">
        <is>
          <t>Maranhão</t>
        </is>
      </c>
      <c r="E329" t="inlineStr">
        <is>
          <t>07_Maturidade</t>
        </is>
      </c>
      <c r="F329" t="inlineStr">
        <is>
          <t>Maturidade / bônus</t>
        </is>
      </c>
      <c r="G329" t="inlineStr">
        <is>
          <t>Bônus — WhatsApp institucional</t>
        </is>
      </c>
      <c r="H329" t="inlineStr">
        <is>
          <t>M2-50</t>
        </is>
      </c>
      <c r="I329" t="inlineStr">
        <is>
          <t>07_Maturidade:M2-50</t>
        </is>
      </c>
      <c r="J329" t="inlineStr">
        <is>
          <t>Doc. SEI 37070578</t>
        </is>
      </c>
      <c r="K329" t="inlineStr">
        <is>
          <t>2026-09-23T11:46:31</t>
        </is>
      </c>
    </row>
    <row r="330">
      <c r="A330" t="n">
        <v>329</v>
      </c>
      <c r="B330" t="inlineStr">
        <is>
          <t>MA</t>
        </is>
      </c>
      <c r="C330" t="inlineStr">
        <is>
          <t>MA</t>
        </is>
      </c>
      <c r="D330" t="inlineStr">
        <is>
          <t>Maranhão</t>
        </is>
      </c>
      <c r="E330" t="inlineStr">
        <is>
          <t>07_Maturidade</t>
        </is>
      </c>
      <c r="F330" t="inlineStr">
        <is>
          <t>Maturidade / bônus</t>
        </is>
      </c>
      <c r="G330" t="inlineStr">
        <is>
          <t>Bônus — Outros canais eletrônicos institucionais</t>
        </is>
      </c>
      <c r="H330" t="inlineStr">
        <is>
          <t>M2-49</t>
        </is>
      </c>
      <c r="I330" t="inlineStr">
        <is>
          <t>07_Maturidade:M2-49</t>
        </is>
      </c>
      <c r="J330" t="inlineStr">
        <is>
          <t>Doc. SEI 37070578</t>
        </is>
      </c>
      <c r="K330" t="inlineStr">
        <is>
          <t>2026-09-23T11:46:31</t>
        </is>
      </c>
    </row>
    <row r="331">
      <c r="A331" t="n">
        <v>330</v>
      </c>
      <c r="B331" t="inlineStr">
        <is>
          <t>MA</t>
        </is>
      </c>
      <c r="C331" t="inlineStr">
        <is>
          <t>MA</t>
        </is>
      </c>
      <c r="D331" t="inlineStr">
        <is>
          <t>Maranhão</t>
        </is>
      </c>
      <c r="E331" t="inlineStr">
        <is>
          <t>07_Maturidade</t>
        </is>
      </c>
      <c r="F331" t="inlineStr">
        <is>
          <t>Maturidade / bônus</t>
        </is>
      </c>
      <c r="G331" t="inlineStr">
        <is>
          <t>Bônus — Materiais adicionais de divulgação e educação em direitos</t>
        </is>
      </c>
      <c r="H331" t="inlineStr">
        <is>
          <t>M2-36</t>
        </is>
      </c>
      <c r="I331" t="inlineStr">
        <is>
          <t>07_Maturidade:M2-36</t>
        </is>
      </c>
      <c r="J331" t="inlineStr">
        <is>
          <t>Doc. SEI 37070578</t>
        </is>
      </c>
      <c r="K331" t="inlineStr">
        <is>
          <t>2026-09-23T11:46:31</t>
        </is>
      </c>
    </row>
    <row r="332">
      <c r="A332" t="n">
        <v>331</v>
      </c>
      <c r="B332" t="inlineStr">
        <is>
          <t>MT</t>
        </is>
      </c>
      <c r="C332" t="inlineStr">
        <is>
          <t>MT</t>
        </is>
      </c>
      <c r="D332" t="inlineStr">
        <is>
          <t>Mato Grosso</t>
        </is>
      </c>
      <c r="E332" t="inlineStr">
        <is>
          <t>01_Institucionalização</t>
        </is>
      </c>
      <c r="F332" t="inlineStr">
        <is>
          <t>Institucionalização</t>
        </is>
      </c>
      <c r="G332" t="inlineStr">
        <is>
          <t>Item 1 — Instituição formal da Ouvidoria de Serviços Penais</t>
        </is>
      </c>
      <c r="H332" t="inlineStr">
        <is>
          <t>M1-11</t>
        </is>
      </c>
      <c r="I332" t="inlineStr">
        <is>
          <t>01_Institucionalização:M1-11</t>
        </is>
      </c>
      <c r="J332" t="inlineStr">
        <is>
          <t>Doc. SEI 37070578</t>
        </is>
      </c>
      <c r="K332" t="inlineStr">
        <is>
          <t>2026-09-23T11:46:31</t>
        </is>
      </c>
    </row>
    <row r="333">
      <c r="A333" t="n">
        <v>332</v>
      </c>
      <c r="B333" t="inlineStr">
        <is>
          <t>MT</t>
        </is>
      </c>
      <c r="C333" t="inlineStr">
        <is>
          <t>MT</t>
        </is>
      </c>
      <c r="D333" t="inlineStr">
        <is>
          <t>Mato Grosso</t>
        </is>
      </c>
      <c r="E333" t="inlineStr">
        <is>
          <t>02_Autonomia</t>
        </is>
      </c>
      <c r="F333" t="inlineStr">
        <is>
          <t>Autonomia técnica e funcional</t>
        </is>
      </c>
      <c r="G333" t="inlineStr">
        <is>
          <t>Item 1 — Garantia normativa de autonomia técnica/funcional</t>
        </is>
      </c>
      <c r="H333" t="inlineStr">
        <is>
          <t>M3-56</t>
        </is>
      </c>
      <c r="I333" t="inlineStr">
        <is>
          <t>02_Autonomia:M3-56</t>
        </is>
      </c>
      <c r="J333" t="inlineStr">
        <is>
          <t>Doc. SEI 37070578</t>
        </is>
      </c>
      <c r="K333" t="inlineStr">
        <is>
          <t>2026-09-23T11:46:31</t>
        </is>
      </c>
    </row>
    <row r="334">
      <c r="A334" t="n">
        <v>333</v>
      </c>
      <c r="B334" t="inlineStr">
        <is>
          <t>MT</t>
        </is>
      </c>
      <c r="C334" t="inlineStr">
        <is>
          <t>MT</t>
        </is>
      </c>
      <c r="D334" t="inlineStr">
        <is>
          <t>Mato Grosso</t>
        </is>
      </c>
      <c r="E334" t="inlineStr">
        <is>
          <t>02_Autonomia</t>
        </is>
      </c>
      <c r="F334" t="inlineStr">
        <is>
          <t>Autonomia técnica e funcional</t>
        </is>
      </c>
      <c r="G334" t="inlineStr">
        <is>
          <t>Item 1 — Garantia normativa de autonomia técnica/funcional</t>
        </is>
      </c>
      <c r="H334" t="inlineStr">
        <is>
          <t>M3-57</t>
        </is>
      </c>
      <c r="I334" t="inlineStr">
        <is>
          <t>02_Autonomia:M3-57</t>
        </is>
      </c>
      <c r="J334" t="inlineStr">
        <is>
          <t>Doc. SEI 37070578</t>
        </is>
      </c>
      <c r="K334" t="inlineStr">
        <is>
          <t>2026-09-23T11:46:31</t>
        </is>
      </c>
    </row>
    <row r="335">
      <c r="A335" t="n">
        <v>334</v>
      </c>
      <c r="B335" t="inlineStr">
        <is>
          <t>MT</t>
        </is>
      </c>
      <c r="C335" t="inlineStr">
        <is>
          <t>MT</t>
        </is>
      </c>
      <c r="D335" t="inlineStr">
        <is>
          <t>Mato Grosso</t>
        </is>
      </c>
      <c r="E335" t="inlineStr">
        <is>
          <t>02_Autonomia</t>
        </is>
      </c>
      <c r="F335" t="inlineStr">
        <is>
          <t>Autonomia técnica e funcional</t>
        </is>
      </c>
      <c r="G335" t="inlineStr">
        <is>
          <t>Item 2 — Condições institucionais de atuação sem interferência indevida</t>
        </is>
      </c>
      <c r="H335" t="inlineStr">
        <is>
          <t>M1-12</t>
        </is>
      </c>
      <c r="I335" t="inlineStr">
        <is>
          <t>02_Autonomia:M1-12</t>
        </is>
      </c>
      <c r="J335" t="inlineStr">
        <is>
          <t>Doc. SEI 37070578</t>
        </is>
      </c>
      <c r="K335" t="inlineStr">
        <is>
          <t>2026-09-23T11:46:31</t>
        </is>
      </c>
    </row>
    <row r="336">
      <c r="A336" t="n">
        <v>335</v>
      </c>
      <c r="B336" t="inlineStr">
        <is>
          <t>MT</t>
        </is>
      </c>
      <c r="C336" t="inlineStr">
        <is>
          <t>MT</t>
        </is>
      </c>
      <c r="D336" t="inlineStr">
        <is>
          <t>Mato Grosso</t>
        </is>
      </c>
      <c r="E336" t="inlineStr">
        <is>
          <t>02_Autonomia</t>
        </is>
      </c>
      <c r="F336" t="inlineStr">
        <is>
          <t>Autonomia técnica e funcional</t>
        </is>
      </c>
      <c r="G336" t="inlineStr">
        <is>
          <t>Item 2 — Condições institucionais de atuação sem interferência indevida</t>
        </is>
      </c>
      <c r="H336" t="inlineStr">
        <is>
          <t>M4-67</t>
        </is>
      </c>
      <c r="I336" t="inlineStr">
        <is>
          <t>02_Autonomia:M4-67</t>
        </is>
      </c>
      <c r="J336" t="inlineStr">
        <is>
          <t>Doc. SEI 37070578</t>
        </is>
      </c>
      <c r="K336" t="inlineStr">
        <is>
          <t>2026-09-23T11:46:31</t>
        </is>
      </c>
    </row>
    <row r="337">
      <c r="A337" t="n">
        <v>336</v>
      </c>
      <c r="B337" t="inlineStr">
        <is>
          <t>MT</t>
        </is>
      </c>
      <c r="C337" t="inlineStr">
        <is>
          <t>MT</t>
        </is>
      </c>
      <c r="D337" t="inlineStr">
        <is>
          <t>Mato Grosso</t>
        </is>
      </c>
      <c r="E337" t="inlineStr">
        <is>
          <t>02_Autonomia</t>
        </is>
      </c>
      <c r="F337" t="inlineStr">
        <is>
          <t>Autonomia técnica e funcional</t>
        </is>
      </c>
      <c r="G337" t="inlineStr">
        <is>
          <t>Item 2 — Condições institucionais de atuação sem interferência indevida</t>
        </is>
      </c>
      <c r="H337" t="inlineStr">
        <is>
          <t>M4-68</t>
        </is>
      </c>
      <c r="I337" t="inlineStr">
        <is>
          <t>02_Autonomia:M4-68</t>
        </is>
      </c>
      <c r="J337" t="inlineStr">
        <is>
          <t>Doc. SEI 37070578</t>
        </is>
      </c>
      <c r="K337" t="inlineStr">
        <is>
          <t>2026-09-23T11:46:31</t>
        </is>
      </c>
    </row>
    <row r="338">
      <c r="A338" t="n">
        <v>337</v>
      </c>
      <c r="B338" t="inlineStr">
        <is>
          <t>MT</t>
        </is>
      </c>
      <c r="C338" t="inlineStr">
        <is>
          <t>MT</t>
        </is>
      </c>
      <c r="D338" t="inlineStr">
        <is>
          <t>Mato Grosso</t>
        </is>
      </c>
      <c r="E338" t="inlineStr">
        <is>
          <t>03_Imparcialidade</t>
        </is>
      </c>
      <c r="F338" t="inlineStr">
        <is>
          <t>Imparcialidade, sigilo e proteção</t>
        </is>
      </c>
      <c r="G338" t="inlineStr">
        <is>
          <t>Item 1 — Proteção e tratamento de denúncias graves e sensíveis</t>
        </is>
      </c>
      <c r="H338" t="inlineStr">
        <is>
          <t>M4-69</t>
        </is>
      </c>
      <c r="I338" t="inlineStr">
        <is>
          <t>03_Imparcialidade:M4-69</t>
        </is>
      </c>
      <c r="J338" t="inlineStr">
        <is>
          <t>Doc. SEI 37070578</t>
        </is>
      </c>
      <c r="K338" t="inlineStr">
        <is>
          <t>2026-09-23T11:46:31</t>
        </is>
      </c>
    </row>
    <row r="339">
      <c r="A339" t="n">
        <v>338</v>
      </c>
      <c r="B339" t="inlineStr">
        <is>
          <t>MT</t>
        </is>
      </c>
      <c r="C339" t="inlineStr">
        <is>
          <t>MT</t>
        </is>
      </c>
      <c r="D339" t="inlineStr">
        <is>
          <t>Mato Grosso</t>
        </is>
      </c>
      <c r="E339" t="inlineStr">
        <is>
          <t>03_Imparcialidade</t>
        </is>
      </c>
      <c r="F339" t="inlineStr">
        <is>
          <t>Imparcialidade, sigilo e proteção</t>
        </is>
      </c>
      <c r="G339" t="inlineStr">
        <is>
          <t>Item 2 — Confidencialidade e sigilo da equipe</t>
        </is>
      </c>
      <c r="H339" t="inlineStr">
        <is>
          <t>M3-63</t>
        </is>
      </c>
      <c r="I339" t="inlineStr">
        <is>
          <t>03_Imparcialidade:M3-63</t>
        </is>
      </c>
      <c r="J339" t="inlineStr">
        <is>
          <t>Doc. SEI 37070578</t>
        </is>
      </c>
      <c r="K339" t="inlineStr">
        <is>
          <t>2026-09-23T11:46:31</t>
        </is>
      </c>
    </row>
    <row r="340">
      <c r="A340" t="n">
        <v>339</v>
      </c>
      <c r="B340" t="inlineStr">
        <is>
          <t>MT</t>
        </is>
      </c>
      <c r="C340" t="inlineStr">
        <is>
          <t>MT</t>
        </is>
      </c>
      <c r="D340" t="inlineStr">
        <is>
          <t>Mato Grosso</t>
        </is>
      </c>
      <c r="E340" t="inlineStr">
        <is>
          <t>04_Acessibilidade</t>
        </is>
      </c>
      <c r="F340" t="inlineStr">
        <is>
          <t>Acessibilidade e atendimento humanizado</t>
        </is>
      </c>
      <c r="G340" t="inlineStr">
        <is>
          <t>Item 1 — Canais institucionais acessíveis</t>
        </is>
      </c>
      <c r="H340" t="inlineStr">
        <is>
          <t>M2-41</t>
        </is>
      </c>
      <c r="I340" t="inlineStr">
        <is>
          <t>04_Acessibilidade:M2-41</t>
        </is>
      </c>
      <c r="J340" t="inlineStr">
        <is>
          <t>Doc. SEI 37070578</t>
        </is>
      </c>
      <c r="K340" t="inlineStr">
        <is>
          <t>2026-09-23T11:46:31</t>
        </is>
      </c>
    </row>
    <row r="341">
      <c r="A341" t="n">
        <v>340</v>
      </c>
      <c r="B341" t="inlineStr">
        <is>
          <t>MT</t>
        </is>
      </c>
      <c r="C341" t="inlineStr">
        <is>
          <t>MT</t>
        </is>
      </c>
      <c r="D341" t="inlineStr">
        <is>
          <t>Mato Grosso</t>
        </is>
      </c>
      <c r="E341" t="inlineStr">
        <is>
          <t>04_Acessibilidade</t>
        </is>
      </c>
      <c r="F341" t="inlineStr">
        <is>
          <t>Acessibilidade e atendimento humanizado</t>
        </is>
      </c>
      <c r="G341" t="inlineStr">
        <is>
          <t>Item 1 — Canais institucionais acessíveis</t>
        </is>
      </c>
      <c r="H341" t="inlineStr">
        <is>
          <t>M2-43</t>
        </is>
      </c>
      <c r="I341" t="inlineStr">
        <is>
          <t>04_Acessibilidade:M2-43</t>
        </is>
      </c>
      <c r="J341" t="inlineStr">
        <is>
          <t>Doc. SEI 37070578</t>
        </is>
      </c>
      <c r="K341" t="inlineStr">
        <is>
          <t>2026-09-23T11:46:31</t>
        </is>
      </c>
    </row>
    <row r="342">
      <c r="A342" t="n">
        <v>341</v>
      </c>
      <c r="B342" t="inlineStr">
        <is>
          <t>MT</t>
        </is>
      </c>
      <c r="C342" t="inlineStr">
        <is>
          <t>MT</t>
        </is>
      </c>
      <c r="D342" t="inlineStr">
        <is>
          <t>Mato Grosso</t>
        </is>
      </c>
      <c r="E342" t="inlineStr">
        <is>
          <t>04_Acessibilidade</t>
        </is>
      </c>
      <c r="F342" t="inlineStr">
        <is>
          <t>Acessibilidade e atendimento humanizado</t>
        </is>
      </c>
      <c r="G342" t="inlineStr">
        <is>
          <t>Item 1 — Canais institucionais acessíveis</t>
        </is>
      </c>
      <c r="H342" t="inlineStr">
        <is>
          <t>M2-47</t>
        </is>
      </c>
      <c r="I342" t="inlineStr">
        <is>
          <t>04_Acessibilidade:M2-47</t>
        </is>
      </c>
      <c r="J342" t="inlineStr">
        <is>
          <t>Doc. SEI 37070578</t>
        </is>
      </c>
      <c r="K342" t="inlineStr">
        <is>
          <t>2026-09-23T11:46:31</t>
        </is>
      </c>
    </row>
    <row r="343">
      <c r="A343" t="n">
        <v>342</v>
      </c>
      <c r="B343" t="inlineStr">
        <is>
          <t>MT</t>
        </is>
      </c>
      <c r="C343" t="inlineStr">
        <is>
          <t>MT</t>
        </is>
      </c>
      <c r="D343" t="inlineStr">
        <is>
          <t>Mato Grosso</t>
        </is>
      </c>
      <c r="E343" t="inlineStr">
        <is>
          <t>04_Acessibilidade</t>
        </is>
      </c>
      <c r="F343" t="inlineStr">
        <is>
          <t>Acessibilidade e atendimento humanizado</t>
        </is>
      </c>
      <c r="G343" t="inlineStr">
        <is>
          <t>Item 2 — Condições de atendimento reservado e acessível</t>
        </is>
      </c>
      <c r="H343" t="inlineStr">
        <is>
          <t>M2-16</t>
        </is>
      </c>
      <c r="I343" t="inlineStr">
        <is>
          <t>04_Acessibilidade:M2-16</t>
        </is>
      </c>
      <c r="J343" t="inlineStr">
        <is>
          <t>Doc. SEI 37070578</t>
        </is>
      </c>
      <c r="K343" t="inlineStr">
        <is>
          <t>2026-09-23T11:46:31</t>
        </is>
      </c>
    </row>
    <row r="344">
      <c r="A344" t="n">
        <v>343</v>
      </c>
      <c r="B344" t="inlineStr">
        <is>
          <t>MT</t>
        </is>
      </c>
      <c r="C344" t="inlineStr">
        <is>
          <t>MT</t>
        </is>
      </c>
      <c r="D344" t="inlineStr">
        <is>
          <t>Mato Grosso</t>
        </is>
      </c>
      <c r="E344" t="inlineStr">
        <is>
          <t>04_Acessibilidade</t>
        </is>
      </c>
      <c r="F344" t="inlineStr">
        <is>
          <t>Acessibilidade e atendimento humanizado</t>
        </is>
      </c>
      <c r="G344" t="inlineStr">
        <is>
          <t>Item 3 — Alcance dos públicos dos serviços penais</t>
        </is>
      </c>
      <c r="H344" t="inlineStr">
        <is>
          <t>M1-13</t>
        </is>
      </c>
      <c r="I344" t="inlineStr">
        <is>
          <t>04_Acessibilidade:M1-13</t>
        </is>
      </c>
      <c r="J344" t="inlineStr">
        <is>
          <t>Doc. SEI 37070578</t>
        </is>
      </c>
      <c r="K344" t="inlineStr">
        <is>
          <t>2026-09-23T11:46:31</t>
        </is>
      </c>
    </row>
    <row r="345">
      <c r="A345" t="n">
        <v>344</v>
      </c>
      <c r="B345" t="inlineStr">
        <is>
          <t>MT</t>
        </is>
      </c>
      <c r="C345" t="inlineStr">
        <is>
          <t>MT</t>
        </is>
      </c>
      <c r="D345" t="inlineStr">
        <is>
          <t>Mato Grosso</t>
        </is>
      </c>
      <c r="E345" t="inlineStr">
        <is>
          <t>04_Acessibilidade</t>
        </is>
      </c>
      <c r="F345" t="inlineStr">
        <is>
          <t>Acessibilidade e atendimento humanizado</t>
        </is>
      </c>
      <c r="G345" t="inlineStr">
        <is>
          <t>Item 3 — Alcance dos públicos dos serviços penais</t>
        </is>
      </c>
      <c r="H345" t="inlineStr">
        <is>
          <t>M4-64</t>
        </is>
      </c>
      <c r="I345" t="inlineStr">
        <is>
          <t>04_Acessibilidade:M4-64</t>
        </is>
      </c>
      <c r="J345" t="inlineStr">
        <is>
          <t>Doc. SEI 37070578</t>
        </is>
      </c>
      <c r="K345" t="inlineStr">
        <is>
          <t>2026-09-23T11:46:31</t>
        </is>
      </c>
    </row>
    <row r="346">
      <c r="A346" t="n">
        <v>345</v>
      </c>
      <c r="B346" t="inlineStr">
        <is>
          <t>MT</t>
        </is>
      </c>
      <c r="C346" t="inlineStr">
        <is>
          <t>MT</t>
        </is>
      </c>
      <c r="D346" t="inlineStr">
        <is>
          <t>Mato Grosso</t>
        </is>
      </c>
      <c r="E346" t="inlineStr">
        <is>
          <t>05_Transparência</t>
        </is>
      </c>
      <c r="F346" t="inlineStr">
        <is>
          <t>Transparência e publicidade</t>
        </is>
      </c>
      <c r="G346" t="inlineStr">
        <is>
          <t>Item 1 — Visibilidade institucional e divulgação dos canais</t>
        </is>
      </c>
      <c r="H346" t="inlineStr">
        <is>
          <t>M2-35</t>
        </is>
      </c>
      <c r="I346" t="inlineStr">
        <is>
          <t>05_Transparência:M2-35</t>
        </is>
      </c>
      <c r="J346" t="inlineStr">
        <is>
          <t>Doc. SEI 37070578</t>
        </is>
      </c>
      <c r="K346" t="inlineStr">
        <is>
          <t>2026-09-23T11:46:31</t>
        </is>
      </c>
    </row>
    <row r="347">
      <c r="A347" t="n">
        <v>346</v>
      </c>
      <c r="B347" t="inlineStr">
        <is>
          <t>MT</t>
        </is>
      </c>
      <c r="C347" t="inlineStr">
        <is>
          <t>MT</t>
        </is>
      </c>
      <c r="D347" t="inlineStr">
        <is>
          <t>Mato Grosso</t>
        </is>
      </c>
      <c r="E347" t="inlineStr">
        <is>
          <t>05_Transparência</t>
        </is>
      </c>
      <c r="F347" t="inlineStr">
        <is>
          <t>Transparência e publicidade</t>
        </is>
      </c>
      <c r="G347" t="inlineStr">
        <is>
          <t>Item 2 — Publicidade das ações e atividades</t>
        </is>
      </c>
      <c r="H347" t="inlineStr">
        <is>
          <t>M4-71</t>
        </is>
      </c>
      <c r="I347" t="inlineStr">
        <is>
          <t>05_Transparência:M4-71</t>
        </is>
      </c>
      <c r="J347" t="inlineStr">
        <is>
          <t>Doc. SEI 37070578</t>
        </is>
      </c>
      <c r="K347" t="inlineStr">
        <is>
          <t>2026-09-23T11:46:31</t>
        </is>
      </c>
    </row>
    <row r="348">
      <c r="A348" t="n">
        <v>347</v>
      </c>
      <c r="B348" t="inlineStr">
        <is>
          <t>MT</t>
        </is>
      </c>
      <c r="C348" t="inlineStr">
        <is>
          <t>MT</t>
        </is>
      </c>
      <c r="D348" t="inlineStr">
        <is>
          <t>Mato Grosso</t>
        </is>
      </c>
      <c r="E348" t="inlineStr">
        <is>
          <t>06_Integração Tec</t>
        </is>
      </c>
      <c r="F348" t="inlineStr">
        <is>
          <t>Integração tecnológica</t>
        </is>
      </c>
      <c r="G348" t="inlineStr">
        <is>
          <t>Item 1 — Canal eletrônico e solução para registro e gestão das manifestações</t>
        </is>
      </c>
      <c r="H348" t="inlineStr">
        <is>
          <t>M2-45</t>
        </is>
      </c>
      <c r="I348" t="inlineStr">
        <is>
          <t>06_Integração Tec:M2-45</t>
        </is>
      </c>
      <c r="J348" t="inlineStr">
        <is>
          <t>Doc. SEI 37070578</t>
        </is>
      </c>
      <c r="K348" t="inlineStr">
        <is>
          <t>2026-09-23T11:46:31</t>
        </is>
      </c>
    </row>
    <row r="349">
      <c r="A349" t="n">
        <v>348</v>
      </c>
      <c r="B349" t="inlineStr">
        <is>
          <t>MT</t>
        </is>
      </c>
      <c r="C349" t="inlineStr">
        <is>
          <t>MT</t>
        </is>
      </c>
      <c r="D349" t="inlineStr">
        <is>
          <t>Mato Grosso</t>
        </is>
      </c>
      <c r="E349" t="inlineStr">
        <is>
          <t>06_Integração Tec</t>
        </is>
      </c>
      <c r="F349" t="inlineStr">
        <is>
          <t>Integração tecnológica</t>
        </is>
      </c>
      <c r="G349" t="inlineStr">
        <is>
          <t>Item 2 — Registro, protocolo, rastreabilidade e acompanhamento</t>
        </is>
      </c>
      <c r="H349" t="inlineStr">
        <is>
          <t>M4-66</t>
        </is>
      </c>
      <c r="I349" t="inlineStr">
        <is>
          <t>06_Integração Tec:M4-66</t>
        </is>
      </c>
      <c r="J349" t="inlineStr">
        <is>
          <t>Doc. SEI 37070578</t>
        </is>
      </c>
      <c r="K349" t="inlineStr">
        <is>
          <t>2026-09-23T11:46:31</t>
        </is>
      </c>
    </row>
    <row r="350">
      <c r="A350" t="n">
        <v>349</v>
      </c>
      <c r="B350" t="inlineStr">
        <is>
          <t>MT</t>
        </is>
      </c>
      <c r="C350" t="inlineStr">
        <is>
          <t>MT</t>
        </is>
      </c>
      <c r="D350" t="inlineStr">
        <is>
          <t>Mato Grosso</t>
        </is>
      </c>
      <c r="E350" t="inlineStr">
        <is>
          <t>06_Integração Tec</t>
        </is>
      </c>
      <c r="F350" t="inlineStr">
        <is>
          <t>Integração tecnológica</t>
        </is>
      </c>
      <c r="G350" t="inlineStr">
        <is>
          <t>Item 3 — Sigilo, autenticação e controle de acesso</t>
        </is>
      </c>
      <c r="H350" t="inlineStr">
        <is>
          <t>M2-37</t>
        </is>
      </c>
      <c r="I350" t="inlineStr">
        <is>
          <t>06_Integração Tec:M2-37</t>
        </is>
      </c>
      <c r="J350" t="inlineStr">
        <is>
          <t>Doc. SEI 37070578</t>
        </is>
      </c>
      <c r="K350" t="inlineStr">
        <is>
          <t>2026-09-23T11:46:31</t>
        </is>
      </c>
    </row>
    <row r="351">
      <c r="A351" t="n">
        <v>350</v>
      </c>
      <c r="B351" t="inlineStr">
        <is>
          <t>MT</t>
        </is>
      </c>
      <c r="C351" t="inlineStr">
        <is>
          <t>MT</t>
        </is>
      </c>
      <c r="D351" t="inlineStr">
        <is>
          <t>Mato Grosso</t>
        </is>
      </c>
      <c r="E351" t="inlineStr">
        <is>
          <t>06_Integração Tec</t>
        </is>
      </c>
      <c r="F351" t="inlineStr">
        <is>
          <t>Integração tecnológica</t>
        </is>
      </c>
      <c r="G351" t="inlineStr">
        <is>
          <t>Item 4 — Computadores e acesso à internet</t>
        </is>
      </c>
      <c r="H351" t="inlineStr">
        <is>
          <t>M2-17</t>
        </is>
      </c>
      <c r="I351" t="inlineStr">
        <is>
          <t>06_Integração Tec:M2-17</t>
        </is>
      </c>
      <c r="J351" t="inlineStr">
        <is>
          <t>Doc. SEI 37070578</t>
        </is>
      </c>
      <c r="K351" t="inlineStr">
        <is>
          <t>2026-09-23T11:46:31</t>
        </is>
      </c>
    </row>
    <row r="352">
      <c r="A352" t="n">
        <v>351</v>
      </c>
      <c r="B352" t="inlineStr">
        <is>
          <t>MT</t>
        </is>
      </c>
      <c r="C352" t="inlineStr">
        <is>
          <t>MT</t>
        </is>
      </c>
      <c r="D352" t="inlineStr">
        <is>
          <t>Mato Grosso</t>
        </is>
      </c>
      <c r="E352" t="inlineStr">
        <is>
          <t>06_Integração Tec</t>
        </is>
      </c>
      <c r="F352" t="inlineStr">
        <is>
          <t>Integração tecnológica</t>
        </is>
      </c>
      <c r="G352" t="inlineStr">
        <is>
          <t>Item 5 — Impressoras e scanners</t>
        </is>
      </c>
      <c r="H352" t="inlineStr">
        <is>
          <t>M2-19</t>
        </is>
      </c>
      <c r="I352" t="inlineStr">
        <is>
          <t>06_Integração Tec:M2-19</t>
        </is>
      </c>
      <c r="J352" t="inlineStr">
        <is>
          <t>Doc. SEI 37070578</t>
        </is>
      </c>
      <c r="K352" t="inlineStr">
        <is>
          <t>2026-09-23T11:46:31</t>
        </is>
      </c>
    </row>
    <row r="353">
      <c r="A353" t="n">
        <v>352</v>
      </c>
      <c r="B353" t="inlineStr">
        <is>
          <t>MT</t>
        </is>
      </c>
      <c r="C353" t="inlineStr">
        <is>
          <t>MT</t>
        </is>
      </c>
      <c r="D353" t="inlineStr">
        <is>
          <t>Mato Grosso</t>
        </is>
      </c>
      <c r="E353" t="inlineStr">
        <is>
          <t>06_Integração Tec</t>
        </is>
      </c>
      <c r="F353" t="inlineStr">
        <is>
          <t>Integração tecnológica</t>
        </is>
      </c>
      <c r="G353" t="inlineStr">
        <is>
          <t>Item 5 — Impressoras e scanners</t>
        </is>
      </c>
      <c r="H353" t="inlineStr">
        <is>
          <t>M2-21</t>
        </is>
      </c>
      <c r="I353" t="inlineStr">
        <is>
          <t>06_Integração Tec:M2-21</t>
        </is>
      </c>
      <c r="J353" t="inlineStr">
        <is>
          <t>Doc. SEI 37070578</t>
        </is>
      </c>
      <c r="K353" t="inlineStr">
        <is>
          <t>2026-09-23T11:46:31</t>
        </is>
      </c>
    </row>
    <row r="354">
      <c r="A354" t="n">
        <v>353</v>
      </c>
      <c r="B354" t="inlineStr">
        <is>
          <t>MT</t>
        </is>
      </c>
      <c r="C354" t="inlineStr">
        <is>
          <t>MT</t>
        </is>
      </c>
      <c r="D354" t="inlineStr">
        <is>
          <t>Mato Grosso</t>
        </is>
      </c>
      <c r="E354" t="inlineStr">
        <is>
          <t>06_Integração Tec</t>
        </is>
      </c>
      <c r="F354" t="inlineStr">
        <is>
          <t>Integração tecnológica</t>
        </is>
      </c>
      <c r="G354" t="inlineStr">
        <is>
          <t>Item 6 — Aparelhos de telefone celular</t>
        </is>
      </c>
      <c r="H354" t="inlineStr">
        <is>
          <t>M2-27</t>
        </is>
      </c>
      <c r="I354" t="inlineStr">
        <is>
          <t>06_Integração Tec:M2-27</t>
        </is>
      </c>
      <c r="J354" t="inlineStr">
        <is>
          <t>Doc. SEI 37070578</t>
        </is>
      </c>
      <c r="K354" t="inlineStr">
        <is>
          <t>2026-09-23T11:46:31</t>
        </is>
      </c>
    </row>
    <row r="355">
      <c r="A355" t="n">
        <v>354</v>
      </c>
      <c r="B355" t="inlineStr">
        <is>
          <t>MT</t>
        </is>
      </c>
      <c r="C355" t="inlineStr">
        <is>
          <t>MT</t>
        </is>
      </c>
      <c r="D355" t="inlineStr">
        <is>
          <t>Mato Grosso</t>
        </is>
      </c>
      <c r="E355" t="inlineStr">
        <is>
          <t>07_Maturidade</t>
        </is>
      </c>
      <c r="F355" t="inlineStr">
        <is>
          <t>Maturidade / bônus</t>
        </is>
      </c>
      <c r="G355" t="inlineStr">
        <is>
          <t>Bônus — Uso do canal Fala.BR</t>
        </is>
      </c>
      <c r="H355" t="inlineStr">
        <is>
          <t>M2-46</t>
        </is>
      </c>
      <c r="I355" t="inlineStr">
        <is>
          <t>07_Maturidade:M2-46</t>
        </is>
      </c>
      <c r="J355" t="inlineStr">
        <is>
          <t>Doc. SEI 37070578</t>
        </is>
      </c>
      <c r="K355" t="inlineStr">
        <is>
          <t>2026-09-23T11:46:31</t>
        </is>
      </c>
    </row>
    <row r="356">
      <c r="A356" t="n">
        <v>355</v>
      </c>
      <c r="B356" t="inlineStr">
        <is>
          <t>MT</t>
        </is>
      </c>
      <c r="C356" t="inlineStr">
        <is>
          <t>MT</t>
        </is>
      </c>
      <c r="D356" t="inlineStr">
        <is>
          <t>Mato Grosso</t>
        </is>
      </c>
      <c r="E356" t="inlineStr">
        <is>
          <t>07_Maturidade</t>
        </is>
      </c>
      <c r="F356" t="inlineStr">
        <is>
          <t>Maturidade / bônus</t>
        </is>
      </c>
      <c r="G356" t="inlineStr">
        <is>
          <t>Bônus — Designação por mandato</t>
        </is>
      </c>
      <c r="H356" t="inlineStr">
        <is>
          <t>M0-08</t>
        </is>
      </c>
      <c r="I356" t="inlineStr">
        <is>
          <t>07_Maturidade:M0-08</t>
        </is>
      </c>
      <c r="J356" t="inlineStr">
        <is>
          <t>Doc. SEI 37070578</t>
        </is>
      </c>
      <c r="K356" t="inlineStr">
        <is>
          <t>2026-09-23T11:46:31</t>
        </is>
      </c>
    </row>
    <row r="357">
      <c r="A357" t="n">
        <v>356</v>
      </c>
      <c r="B357" t="inlineStr">
        <is>
          <t>MT</t>
        </is>
      </c>
      <c r="C357" t="inlineStr">
        <is>
          <t>MT</t>
        </is>
      </c>
      <c r="D357" t="inlineStr">
        <is>
          <t>Mato Grosso</t>
        </is>
      </c>
      <c r="E357" t="inlineStr">
        <is>
          <t>07_Maturidade</t>
        </is>
      </c>
      <c r="F357" t="inlineStr">
        <is>
          <t>Maturidade / bônus</t>
        </is>
      </c>
      <c r="G357" t="inlineStr">
        <is>
          <t>Bônus — Dedicação da equipe</t>
        </is>
      </c>
      <c r="H357" t="inlineStr">
        <is>
          <t>M3-60</t>
        </is>
      </c>
      <c r="I357" t="inlineStr">
        <is>
          <t>07_Maturidade:M3-60</t>
        </is>
      </c>
      <c r="J357" t="inlineStr">
        <is>
          <t>Doc. SEI 37070578</t>
        </is>
      </c>
      <c r="K357" t="inlineStr">
        <is>
          <t>2026-09-23T11:46:31</t>
        </is>
      </c>
    </row>
    <row r="358">
      <c r="A358" t="n">
        <v>357</v>
      </c>
      <c r="B358" t="inlineStr">
        <is>
          <t>MT</t>
        </is>
      </c>
      <c r="C358" t="inlineStr">
        <is>
          <t>MT</t>
        </is>
      </c>
      <c r="D358" t="inlineStr">
        <is>
          <t>Mato Grosso</t>
        </is>
      </c>
      <c r="E358" t="inlineStr">
        <is>
          <t>07_Maturidade</t>
        </is>
      </c>
      <c r="F358" t="inlineStr">
        <is>
          <t>Maturidade / bônus</t>
        </is>
      </c>
      <c r="G358" t="inlineStr">
        <is>
          <t>Bônus — Requisitos de perfil para o cargo de Ouvidor</t>
        </is>
      </c>
      <c r="H358" t="inlineStr">
        <is>
          <t>M3-58</t>
        </is>
      </c>
      <c r="I358" t="inlineStr">
        <is>
          <t>07_Maturidade:M3-58</t>
        </is>
      </c>
      <c r="J358" t="inlineStr">
        <is>
          <t>Doc. SEI 37070578</t>
        </is>
      </c>
      <c r="K358" t="inlineStr">
        <is>
          <t>2026-09-23T11:46:31</t>
        </is>
      </c>
    </row>
    <row r="359">
      <c r="A359" t="n">
        <v>358</v>
      </c>
      <c r="B359" t="inlineStr">
        <is>
          <t>MT</t>
        </is>
      </c>
      <c r="C359" t="inlineStr">
        <is>
          <t>MT</t>
        </is>
      </c>
      <c r="D359" t="inlineStr">
        <is>
          <t>Mato Grosso</t>
        </is>
      </c>
      <c r="E359" t="inlineStr">
        <is>
          <t>07_Maturidade</t>
        </is>
      </c>
      <c r="F359" t="inlineStr">
        <is>
          <t>Maturidade / bônus</t>
        </is>
      </c>
      <c r="G359" t="inlineStr">
        <is>
          <t>Bônus — WhatsApp institucional</t>
        </is>
      </c>
      <c r="H359" t="inlineStr">
        <is>
          <t>M2-50</t>
        </is>
      </c>
      <c r="I359" t="inlineStr">
        <is>
          <t>07_Maturidade:M2-50</t>
        </is>
      </c>
      <c r="J359" t="inlineStr">
        <is>
          <t>Doc. SEI 37070578</t>
        </is>
      </c>
      <c r="K359" t="inlineStr">
        <is>
          <t>2026-09-23T11:46:31</t>
        </is>
      </c>
    </row>
    <row r="360">
      <c r="A360" t="n">
        <v>359</v>
      </c>
      <c r="B360" t="inlineStr">
        <is>
          <t>MT</t>
        </is>
      </c>
      <c r="C360" t="inlineStr">
        <is>
          <t>MT</t>
        </is>
      </c>
      <c r="D360" t="inlineStr">
        <is>
          <t>Mato Grosso</t>
        </is>
      </c>
      <c r="E360" t="inlineStr">
        <is>
          <t>07_Maturidade</t>
        </is>
      </c>
      <c r="F360" t="inlineStr">
        <is>
          <t>Maturidade / bônus</t>
        </is>
      </c>
      <c r="G360" t="inlineStr">
        <is>
          <t>Bônus — Outros canais eletrônicos institucionais</t>
        </is>
      </c>
      <c r="H360" t="inlineStr">
        <is>
          <t>M2-49</t>
        </is>
      </c>
      <c r="I360" t="inlineStr">
        <is>
          <t>07_Maturidade:M2-49</t>
        </is>
      </c>
      <c r="J360" t="inlineStr">
        <is>
          <t>Doc. SEI 37070578</t>
        </is>
      </c>
      <c r="K360" t="inlineStr">
        <is>
          <t>2026-09-23T11:46:31</t>
        </is>
      </c>
    </row>
    <row r="361">
      <c r="A361" t="n">
        <v>360</v>
      </c>
      <c r="B361" t="inlineStr">
        <is>
          <t>MT</t>
        </is>
      </c>
      <c r="C361" t="inlineStr">
        <is>
          <t>MT</t>
        </is>
      </c>
      <c r="D361" t="inlineStr">
        <is>
          <t>Mato Grosso</t>
        </is>
      </c>
      <c r="E361" t="inlineStr">
        <is>
          <t>07_Maturidade</t>
        </is>
      </c>
      <c r="F361" t="inlineStr">
        <is>
          <t>Maturidade / bônus</t>
        </is>
      </c>
      <c r="G361" t="inlineStr">
        <is>
          <t>Bônus — Materiais adicionais de divulgação e educação em direitos</t>
        </is>
      </c>
      <c r="H361" t="inlineStr">
        <is>
          <t>M2-36</t>
        </is>
      </c>
      <c r="I361" t="inlineStr">
        <is>
          <t>07_Maturidade:M2-36</t>
        </is>
      </c>
      <c r="J361" t="inlineStr">
        <is>
          <t>Doc. SEI 37070578</t>
        </is>
      </c>
      <c r="K361" t="inlineStr">
        <is>
          <t>2026-09-23T11:46:31</t>
        </is>
      </c>
    </row>
    <row r="362">
      <c r="A362" t="n">
        <v>361</v>
      </c>
      <c r="B362" t="inlineStr">
        <is>
          <t>MS</t>
        </is>
      </c>
      <c r="C362" t="inlineStr">
        <is>
          <t>MS</t>
        </is>
      </c>
      <c r="D362" t="inlineStr">
        <is>
          <t>Mato Grosso do Sul</t>
        </is>
      </c>
      <c r="E362" t="inlineStr">
        <is>
          <t>01_Institucionalização</t>
        </is>
      </c>
      <c r="F362" t="inlineStr">
        <is>
          <t>Institucionalização</t>
        </is>
      </c>
      <c r="G362" t="inlineStr">
        <is>
          <t>Item 1 — Instituição formal da Ouvidoria de Serviços Penais</t>
        </is>
      </c>
      <c r="H362" t="inlineStr">
        <is>
          <t>M1-11</t>
        </is>
      </c>
      <c r="I362" t="inlineStr">
        <is>
          <t>01_Institucionalização:M1-11</t>
        </is>
      </c>
      <c r="J362" t="inlineStr">
        <is>
          <t>Doc. SEI 37070578</t>
        </is>
      </c>
      <c r="K362" t="inlineStr">
        <is>
          <t>2026-09-23T11:46:31</t>
        </is>
      </c>
    </row>
    <row r="363">
      <c r="A363" t="n">
        <v>362</v>
      </c>
      <c r="B363" t="inlineStr">
        <is>
          <t>MS</t>
        </is>
      </c>
      <c r="C363" t="inlineStr">
        <is>
          <t>MS</t>
        </is>
      </c>
      <c r="D363" t="inlineStr">
        <is>
          <t>Mato Grosso do Sul</t>
        </is>
      </c>
      <c r="E363" t="inlineStr">
        <is>
          <t>02_Autonomia</t>
        </is>
      </c>
      <c r="F363" t="inlineStr">
        <is>
          <t>Autonomia técnica e funcional</t>
        </is>
      </c>
      <c r="G363" t="inlineStr">
        <is>
          <t>Item 1 — Garantia normativa de autonomia técnica/funcional</t>
        </is>
      </c>
      <c r="H363" t="inlineStr">
        <is>
          <t>M3-56</t>
        </is>
      </c>
      <c r="I363" t="inlineStr">
        <is>
          <t>02_Autonomia:M3-56</t>
        </is>
      </c>
      <c r="J363" t="inlineStr">
        <is>
          <t>Doc. SEI 37070578</t>
        </is>
      </c>
      <c r="K363" t="inlineStr">
        <is>
          <t>2026-09-23T11:46:31</t>
        </is>
      </c>
    </row>
    <row r="364">
      <c r="A364" t="n">
        <v>363</v>
      </c>
      <c r="B364" t="inlineStr">
        <is>
          <t>MS</t>
        </is>
      </c>
      <c r="C364" t="inlineStr">
        <is>
          <t>MS</t>
        </is>
      </c>
      <c r="D364" t="inlineStr">
        <is>
          <t>Mato Grosso do Sul</t>
        </is>
      </c>
      <c r="E364" t="inlineStr">
        <is>
          <t>02_Autonomia</t>
        </is>
      </c>
      <c r="F364" t="inlineStr">
        <is>
          <t>Autonomia técnica e funcional</t>
        </is>
      </c>
      <c r="G364" t="inlineStr">
        <is>
          <t>Item 1 — Garantia normativa de autonomia técnica/funcional</t>
        </is>
      </c>
      <c r="H364" t="inlineStr">
        <is>
          <t>M3-57</t>
        </is>
      </c>
      <c r="I364" t="inlineStr">
        <is>
          <t>02_Autonomia:M3-57</t>
        </is>
      </c>
      <c r="J364" t="inlineStr">
        <is>
          <t>Doc. SEI 37070578</t>
        </is>
      </c>
      <c r="K364" t="inlineStr">
        <is>
          <t>2026-09-23T11:46:31</t>
        </is>
      </c>
    </row>
    <row r="365">
      <c r="A365" t="n">
        <v>364</v>
      </c>
      <c r="B365" t="inlineStr">
        <is>
          <t>MS</t>
        </is>
      </c>
      <c r="C365" t="inlineStr">
        <is>
          <t>MS</t>
        </is>
      </c>
      <c r="D365" t="inlineStr">
        <is>
          <t>Mato Grosso do Sul</t>
        </is>
      </c>
      <c r="E365" t="inlineStr">
        <is>
          <t>02_Autonomia</t>
        </is>
      </c>
      <c r="F365" t="inlineStr">
        <is>
          <t>Autonomia técnica e funcional</t>
        </is>
      </c>
      <c r="G365" t="inlineStr">
        <is>
          <t>Item 2 — Condições institucionais de atuação sem interferência indevida</t>
        </is>
      </c>
      <c r="H365" t="inlineStr">
        <is>
          <t>M1-12</t>
        </is>
      </c>
      <c r="I365" t="inlineStr">
        <is>
          <t>02_Autonomia:M1-12</t>
        </is>
      </c>
      <c r="J365" t="inlineStr">
        <is>
          <t>Doc. SEI 37070578</t>
        </is>
      </c>
      <c r="K365" t="inlineStr">
        <is>
          <t>2026-09-23T11:46:31</t>
        </is>
      </c>
    </row>
    <row r="366">
      <c r="A366" t="n">
        <v>365</v>
      </c>
      <c r="B366" t="inlineStr">
        <is>
          <t>MS</t>
        </is>
      </c>
      <c r="C366" t="inlineStr">
        <is>
          <t>MS</t>
        </is>
      </c>
      <c r="D366" t="inlineStr">
        <is>
          <t>Mato Grosso do Sul</t>
        </is>
      </c>
      <c r="E366" t="inlineStr">
        <is>
          <t>02_Autonomia</t>
        </is>
      </c>
      <c r="F366" t="inlineStr">
        <is>
          <t>Autonomia técnica e funcional</t>
        </is>
      </c>
      <c r="G366" t="inlineStr">
        <is>
          <t>Item 2 — Condições institucionais de atuação sem interferência indevida</t>
        </is>
      </c>
      <c r="H366" t="inlineStr">
        <is>
          <t>M4-67</t>
        </is>
      </c>
      <c r="I366" t="inlineStr">
        <is>
          <t>02_Autonomia:M4-67</t>
        </is>
      </c>
      <c r="J366" t="inlineStr">
        <is>
          <t>Doc. SEI 37070578</t>
        </is>
      </c>
      <c r="K366" t="inlineStr">
        <is>
          <t>2026-09-23T11:46:31</t>
        </is>
      </c>
    </row>
    <row r="367">
      <c r="A367" t="n">
        <v>366</v>
      </c>
      <c r="B367" t="inlineStr">
        <is>
          <t>MS</t>
        </is>
      </c>
      <c r="C367" t="inlineStr">
        <is>
          <t>MS</t>
        </is>
      </c>
      <c r="D367" t="inlineStr">
        <is>
          <t>Mato Grosso do Sul</t>
        </is>
      </c>
      <c r="E367" t="inlineStr">
        <is>
          <t>02_Autonomia</t>
        </is>
      </c>
      <c r="F367" t="inlineStr">
        <is>
          <t>Autonomia técnica e funcional</t>
        </is>
      </c>
      <c r="G367" t="inlineStr">
        <is>
          <t>Item 2 — Condições institucionais de atuação sem interferência indevida</t>
        </is>
      </c>
      <c r="H367" t="inlineStr">
        <is>
          <t>M4-68</t>
        </is>
      </c>
      <c r="I367" t="inlineStr">
        <is>
          <t>02_Autonomia:M4-68</t>
        </is>
      </c>
      <c r="J367" t="inlineStr">
        <is>
          <t>Doc. SEI 37070578</t>
        </is>
      </c>
      <c r="K367" t="inlineStr">
        <is>
          <t>2026-09-23T11:46:31</t>
        </is>
      </c>
    </row>
    <row r="368">
      <c r="A368" t="n">
        <v>367</v>
      </c>
      <c r="B368" t="inlineStr">
        <is>
          <t>MS</t>
        </is>
      </c>
      <c r="C368" t="inlineStr">
        <is>
          <t>MS</t>
        </is>
      </c>
      <c r="D368" t="inlineStr">
        <is>
          <t>Mato Grosso do Sul</t>
        </is>
      </c>
      <c r="E368" t="inlineStr">
        <is>
          <t>03_Imparcialidade</t>
        </is>
      </c>
      <c r="F368" t="inlineStr">
        <is>
          <t>Imparcialidade, sigilo e proteção</t>
        </is>
      </c>
      <c r="G368" t="inlineStr">
        <is>
          <t>Item 1 — Proteção e tratamento de denúncias graves e sensíveis</t>
        </is>
      </c>
      <c r="H368" t="inlineStr">
        <is>
          <t>M4-69</t>
        </is>
      </c>
      <c r="I368" t="inlineStr">
        <is>
          <t>03_Imparcialidade:M4-69</t>
        </is>
      </c>
      <c r="J368" t="inlineStr">
        <is>
          <t>Doc. SEI 37070578</t>
        </is>
      </c>
      <c r="K368" t="inlineStr">
        <is>
          <t>2026-09-23T11:46:31</t>
        </is>
      </c>
    </row>
    <row r="369">
      <c r="A369" t="n">
        <v>368</v>
      </c>
      <c r="B369" t="inlineStr">
        <is>
          <t>MS</t>
        </is>
      </c>
      <c r="C369" t="inlineStr">
        <is>
          <t>MS</t>
        </is>
      </c>
      <c r="D369" t="inlineStr">
        <is>
          <t>Mato Grosso do Sul</t>
        </is>
      </c>
      <c r="E369" t="inlineStr">
        <is>
          <t>03_Imparcialidade</t>
        </is>
      </c>
      <c r="F369" t="inlineStr">
        <is>
          <t>Imparcialidade, sigilo e proteção</t>
        </is>
      </c>
      <c r="G369" t="inlineStr">
        <is>
          <t>Item 2 — Confidencialidade e sigilo da equipe</t>
        </is>
      </c>
      <c r="H369" t="inlineStr">
        <is>
          <t>M3-63</t>
        </is>
      </c>
      <c r="I369" t="inlineStr">
        <is>
          <t>03_Imparcialidade:M3-63</t>
        </is>
      </c>
      <c r="J369" t="inlineStr">
        <is>
          <t>Doc. SEI 37070578</t>
        </is>
      </c>
      <c r="K369" t="inlineStr">
        <is>
          <t>2026-09-23T11:46:31</t>
        </is>
      </c>
    </row>
    <row r="370">
      <c r="A370" t="n">
        <v>369</v>
      </c>
      <c r="B370" t="inlineStr">
        <is>
          <t>MS</t>
        </is>
      </c>
      <c r="C370" t="inlineStr">
        <is>
          <t>MS</t>
        </is>
      </c>
      <c r="D370" t="inlineStr">
        <is>
          <t>Mato Grosso do Sul</t>
        </is>
      </c>
      <c r="E370" t="inlineStr">
        <is>
          <t>04_Acessibilidade</t>
        </is>
      </c>
      <c r="F370" t="inlineStr">
        <is>
          <t>Acessibilidade e atendimento humanizado</t>
        </is>
      </c>
      <c r="G370" t="inlineStr">
        <is>
          <t>Item 1 — Canais institucionais acessíveis</t>
        </is>
      </c>
      <c r="H370" t="inlineStr">
        <is>
          <t>M2-41</t>
        </is>
      </c>
      <c r="I370" t="inlineStr">
        <is>
          <t>04_Acessibilidade:M2-41</t>
        </is>
      </c>
      <c r="J370" t="inlineStr">
        <is>
          <t>Doc. SEI 37070578</t>
        </is>
      </c>
      <c r="K370" t="inlineStr">
        <is>
          <t>2026-09-23T11:46:31</t>
        </is>
      </c>
    </row>
    <row r="371">
      <c r="A371" t="n">
        <v>370</v>
      </c>
      <c r="B371" t="inlineStr">
        <is>
          <t>MS</t>
        </is>
      </c>
      <c r="C371" t="inlineStr">
        <is>
          <t>MS</t>
        </is>
      </c>
      <c r="D371" t="inlineStr">
        <is>
          <t>Mato Grosso do Sul</t>
        </is>
      </c>
      <c r="E371" t="inlineStr">
        <is>
          <t>04_Acessibilidade</t>
        </is>
      </c>
      <c r="F371" t="inlineStr">
        <is>
          <t>Acessibilidade e atendimento humanizado</t>
        </is>
      </c>
      <c r="G371" t="inlineStr">
        <is>
          <t>Item 1 — Canais institucionais acessíveis</t>
        </is>
      </c>
      <c r="H371" t="inlineStr">
        <is>
          <t>M2-43</t>
        </is>
      </c>
      <c r="I371" t="inlineStr">
        <is>
          <t>04_Acessibilidade:M2-43</t>
        </is>
      </c>
      <c r="J371" t="inlineStr">
        <is>
          <t>Doc. SEI 37070578</t>
        </is>
      </c>
      <c r="K371" t="inlineStr">
        <is>
          <t>2026-09-23T11:46:31</t>
        </is>
      </c>
    </row>
    <row r="372">
      <c r="A372" t="n">
        <v>371</v>
      </c>
      <c r="B372" t="inlineStr">
        <is>
          <t>MS</t>
        </is>
      </c>
      <c r="C372" t="inlineStr">
        <is>
          <t>MS</t>
        </is>
      </c>
      <c r="D372" t="inlineStr">
        <is>
          <t>Mato Grosso do Sul</t>
        </is>
      </c>
      <c r="E372" t="inlineStr">
        <is>
          <t>04_Acessibilidade</t>
        </is>
      </c>
      <c r="F372" t="inlineStr">
        <is>
          <t>Acessibilidade e atendimento humanizado</t>
        </is>
      </c>
      <c r="G372" t="inlineStr">
        <is>
          <t>Item 1 — Canais institucionais acessíveis</t>
        </is>
      </c>
      <c r="H372" t="inlineStr">
        <is>
          <t>M2-47</t>
        </is>
      </c>
      <c r="I372" t="inlineStr">
        <is>
          <t>04_Acessibilidade:M2-47</t>
        </is>
      </c>
      <c r="J372" t="inlineStr">
        <is>
          <t>Doc. SEI 37070578</t>
        </is>
      </c>
      <c r="K372" t="inlineStr">
        <is>
          <t>2026-09-23T11:46:31</t>
        </is>
      </c>
    </row>
    <row r="373">
      <c r="A373" t="n">
        <v>372</v>
      </c>
      <c r="B373" t="inlineStr">
        <is>
          <t>MS</t>
        </is>
      </c>
      <c r="C373" t="inlineStr">
        <is>
          <t>MS</t>
        </is>
      </c>
      <c r="D373" t="inlineStr">
        <is>
          <t>Mato Grosso do Sul</t>
        </is>
      </c>
      <c r="E373" t="inlineStr">
        <is>
          <t>04_Acessibilidade</t>
        </is>
      </c>
      <c r="F373" t="inlineStr">
        <is>
          <t>Acessibilidade e atendimento humanizado</t>
        </is>
      </c>
      <c r="G373" t="inlineStr">
        <is>
          <t>Item 2 — Condições de atendimento reservado e acessível</t>
        </is>
      </c>
      <c r="H373" t="inlineStr">
        <is>
          <t>M2-16</t>
        </is>
      </c>
      <c r="I373" t="inlineStr">
        <is>
          <t>04_Acessibilidade:M2-16</t>
        </is>
      </c>
      <c r="J373" t="inlineStr">
        <is>
          <t>Doc. SEI 37070578</t>
        </is>
      </c>
      <c r="K373" t="inlineStr">
        <is>
          <t>2026-09-23T11:46:31</t>
        </is>
      </c>
    </row>
    <row r="374">
      <c r="A374" t="n">
        <v>373</v>
      </c>
      <c r="B374" t="inlineStr">
        <is>
          <t>MS</t>
        </is>
      </c>
      <c r="C374" t="inlineStr">
        <is>
          <t>MS</t>
        </is>
      </c>
      <c r="D374" t="inlineStr">
        <is>
          <t>Mato Grosso do Sul</t>
        </is>
      </c>
      <c r="E374" t="inlineStr">
        <is>
          <t>04_Acessibilidade</t>
        </is>
      </c>
      <c r="F374" t="inlineStr">
        <is>
          <t>Acessibilidade e atendimento humanizado</t>
        </is>
      </c>
      <c r="G374" t="inlineStr">
        <is>
          <t>Item 3 — Alcance dos públicos dos serviços penais</t>
        </is>
      </c>
      <c r="H374" t="inlineStr">
        <is>
          <t>M1-13</t>
        </is>
      </c>
      <c r="I374" t="inlineStr">
        <is>
          <t>04_Acessibilidade:M1-13</t>
        </is>
      </c>
      <c r="J374" t="inlineStr">
        <is>
          <t>Doc. SEI 37070578</t>
        </is>
      </c>
      <c r="K374" t="inlineStr">
        <is>
          <t>2026-09-23T11:46:31</t>
        </is>
      </c>
    </row>
    <row r="375">
      <c r="A375" t="n">
        <v>374</v>
      </c>
      <c r="B375" t="inlineStr">
        <is>
          <t>MS</t>
        </is>
      </c>
      <c r="C375" t="inlineStr">
        <is>
          <t>MS</t>
        </is>
      </c>
      <c r="D375" t="inlineStr">
        <is>
          <t>Mato Grosso do Sul</t>
        </is>
      </c>
      <c r="E375" t="inlineStr">
        <is>
          <t>04_Acessibilidade</t>
        </is>
      </c>
      <c r="F375" t="inlineStr">
        <is>
          <t>Acessibilidade e atendimento humanizado</t>
        </is>
      </c>
      <c r="G375" t="inlineStr">
        <is>
          <t>Item 3 — Alcance dos públicos dos serviços penais</t>
        </is>
      </c>
      <c r="H375" t="inlineStr">
        <is>
          <t>M4-64</t>
        </is>
      </c>
      <c r="I375" t="inlineStr">
        <is>
          <t>04_Acessibilidade:M4-64</t>
        </is>
      </c>
      <c r="J375" t="inlineStr">
        <is>
          <t>Doc. SEI 37070578</t>
        </is>
      </c>
      <c r="K375" t="inlineStr">
        <is>
          <t>2026-09-23T11:46:31</t>
        </is>
      </c>
    </row>
    <row r="376">
      <c r="A376" t="n">
        <v>375</v>
      </c>
      <c r="B376" t="inlineStr">
        <is>
          <t>MS</t>
        </is>
      </c>
      <c r="C376" t="inlineStr">
        <is>
          <t>MS</t>
        </is>
      </c>
      <c r="D376" t="inlineStr">
        <is>
          <t>Mato Grosso do Sul</t>
        </is>
      </c>
      <c r="E376" t="inlineStr">
        <is>
          <t>05_Transparência</t>
        </is>
      </c>
      <c r="F376" t="inlineStr">
        <is>
          <t>Transparência e publicidade</t>
        </is>
      </c>
      <c r="G376" t="inlineStr">
        <is>
          <t>Item 1 — Visibilidade institucional e divulgação dos canais</t>
        </is>
      </c>
      <c r="H376" t="inlineStr">
        <is>
          <t>M2-35</t>
        </is>
      </c>
      <c r="I376" t="inlineStr">
        <is>
          <t>05_Transparência:M2-35</t>
        </is>
      </c>
      <c r="J376" t="inlineStr">
        <is>
          <t>Doc. SEI 37070578</t>
        </is>
      </c>
      <c r="K376" t="inlineStr">
        <is>
          <t>2026-09-23T11:46:31</t>
        </is>
      </c>
    </row>
    <row r="377">
      <c r="A377" t="n">
        <v>376</v>
      </c>
      <c r="B377" t="inlineStr">
        <is>
          <t>MS</t>
        </is>
      </c>
      <c r="C377" t="inlineStr">
        <is>
          <t>MS</t>
        </is>
      </c>
      <c r="D377" t="inlineStr">
        <is>
          <t>Mato Grosso do Sul</t>
        </is>
      </c>
      <c r="E377" t="inlineStr">
        <is>
          <t>05_Transparência</t>
        </is>
      </c>
      <c r="F377" t="inlineStr">
        <is>
          <t>Transparência e publicidade</t>
        </is>
      </c>
      <c r="G377" t="inlineStr">
        <is>
          <t>Item 2 — Publicidade das ações e atividades</t>
        </is>
      </c>
      <c r="H377" t="inlineStr">
        <is>
          <t>M4-71</t>
        </is>
      </c>
      <c r="I377" t="inlineStr">
        <is>
          <t>05_Transparência:M4-71</t>
        </is>
      </c>
      <c r="J377" t="inlineStr">
        <is>
          <t>Doc. SEI 37070578</t>
        </is>
      </c>
      <c r="K377" t="inlineStr">
        <is>
          <t>2026-09-23T11:46:31</t>
        </is>
      </c>
    </row>
    <row r="378">
      <c r="A378" t="n">
        <v>377</v>
      </c>
      <c r="B378" t="inlineStr">
        <is>
          <t>MS</t>
        </is>
      </c>
      <c r="C378" t="inlineStr">
        <is>
          <t>MS</t>
        </is>
      </c>
      <c r="D378" t="inlineStr">
        <is>
          <t>Mato Grosso do Sul</t>
        </is>
      </c>
      <c r="E378" t="inlineStr">
        <is>
          <t>06_Integração Tec</t>
        </is>
      </c>
      <c r="F378" t="inlineStr">
        <is>
          <t>Integração tecnológica</t>
        </is>
      </c>
      <c r="G378" t="inlineStr">
        <is>
          <t>Item 1 — Canal eletrônico e solução para registro e gestão das manifestações</t>
        </is>
      </c>
      <c r="H378" t="inlineStr">
        <is>
          <t>M2-45</t>
        </is>
      </c>
      <c r="I378" t="inlineStr">
        <is>
          <t>06_Integração Tec:M2-45</t>
        </is>
      </c>
      <c r="J378" t="inlineStr">
        <is>
          <t>Doc. SEI 37070578</t>
        </is>
      </c>
      <c r="K378" t="inlineStr">
        <is>
          <t>2026-09-23T11:46:31</t>
        </is>
      </c>
    </row>
    <row r="379">
      <c r="A379" t="n">
        <v>378</v>
      </c>
      <c r="B379" t="inlineStr">
        <is>
          <t>MS</t>
        </is>
      </c>
      <c r="C379" t="inlineStr">
        <is>
          <t>MS</t>
        </is>
      </c>
      <c r="D379" t="inlineStr">
        <is>
          <t>Mato Grosso do Sul</t>
        </is>
      </c>
      <c r="E379" t="inlineStr">
        <is>
          <t>06_Integração Tec</t>
        </is>
      </c>
      <c r="F379" t="inlineStr">
        <is>
          <t>Integração tecnológica</t>
        </is>
      </c>
      <c r="G379" t="inlineStr">
        <is>
          <t>Item 2 — Registro, protocolo, rastreabilidade e acompanhamento</t>
        </is>
      </c>
      <c r="H379" t="inlineStr">
        <is>
          <t>M4-66</t>
        </is>
      </c>
      <c r="I379" t="inlineStr">
        <is>
          <t>06_Integração Tec:M4-66</t>
        </is>
      </c>
      <c r="J379" t="inlineStr">
        <is>
          <t>Doc. SEI 37070578</t>
        </is>
      </c>
      <c r="K379" t="inlineStr">
        <is>
          <t>2026-09-23T11:46:31</t>
        </is>
      </c>
    </row>
    <row r="380">
      <c r="A380" t="n">
        <v>379</v>
      </c>
      <c r="B380" t="inlineStr">
        <is>
          <t>MS</t>
        </is>
      </c>
      <c r="C380" t="inlineStr">
        <is>
          <t>MS</t>
        </is>
      </c>
      <c r="D380" t="inlineStr">
        <is>
          <t>Mato Grosso do Sul</t>
        </is>
      </c>
      <c r="E380" t="inlineStr">
        <is>
          <t>06_Integração Tec</t>
        </is>
      </c>
      <c r="F380" t="inlineStr">
        <is>
          <t>Integração tecnológica</t>
        </is>
      </c>
      <c r="G380" t="inlineStr">
        <is>
          <t>Item 3 — Sigilo, autenticação e controle de acesso</t>
        </is>
      </c>
      <c r="H380" t="inlineStr">
        <is>
          <t>M2-37</t>
        </is>
      </c>
      <c r="I380" t="inlineStr">
        <is>
          <t>06_Integração Tec:M2-37</t>
        </is>
      </c>
      <c r="J380" t="inlineStr">
        <is>
          <t>Doc. SEI 37070578</t>
        </is>
      </c>
      <c r="K380" t="inlineStr">
        <is>
          <t>2026-09-23T11:46:31</t>
        </is>
      </c>
    </row>
    <row r="381">
      <c r="A381" t="n">
        <v>380</v>
      </c>
      <c r="B381" t="inlineStr">
        <is>
          <t>MS</t>
        </is>
      </c>
      <c r="C381" t="inlineStr">
        <is>
          <t>MS</t>
        </is>
      </c>
      <c r="D381" t="inlineStr">
        <is>
          <t>Mato Grosso do Sul</t>
        </is>
      </c>
      <c r="E381" t="inlineStr">
        <is>
          <t>06_Integração Tec</t>
        </is>
      </c>
      <c r="F381" t="inlineStr">
        <is>
          <t>Integração tecnológica</t>
        </is>
      </c>
      <c r="G381" t="inlineStr">
        <is>
          <t>Item 4 — Computadores e acesso à internet</t>
        </is>
      </c>
      <c r="H381" t="inlineStr">
        <is>
          <t>M2-17</t>
        </is>
      </c>
      <c r="I381" t="inlineStr">
        <is>
          <t>06_Integração Tec:M2-17</t>
        </is>
      </c>
      <c r="J381" t="inlineStr">
        <is>
          <t>Doc. SEI 37070578</t>
        </is>
      </c>
      <c r="K381" t="inlineStr">
        <is>
          <t>2026-09-23T11:46:31</t>
        </is>
      </c>
    </row>
    <row r="382">
      <c r="A382" t="n">
        <v>381</v>
      </c>
      <c r="B382" t="inlineStr">
        <is>
          <t>MS</t>
        </is>
      </c>
      <c r="C382" t="inlineStr">
        <is>
          <t>MS</t>
        </is>
      </c>
      <c r="D382" t="inlineStr">
        <is>
          <t>Mato Grosso do Sul</t>
        </is>
      </c>
      <c r="E382" t="inlineStr">
        <is>
          <t>06_Integração Tec</t>
        </is>
      </c>
      <c r="F382" t="inlineStr">
        <is>
          <t>Integração tecnológica</t>
        </is>
      </c>
      <c r="G382" t="inlineStr">
        <is>
          <t>Item 5 — Impressoras e scanners</t>
        </is>
      </c>
      <c r="H382" t="inlineStr">
        <is>
          <t>M2-19</t>
        </is>
      </c>
      <c r="I382" t="inlineStr">
        <is>
          <t>06_Integração Tec:M2-19</t>
        </is>
      </c>
      <c r="J382" t="inlineStr">
        <is>
          <t>Doc. SEI 37070578</t>
        </is>
      </c>
      <c r="K382" t="inlineStr">
        <is>
          <t>2026-09-23T11:46:31</t>
        </is>
      </c>
    </row>
    <row r="383">
      <c r="A383" t="n">
        <v>382</v>
      </c>
      <c r="B383" t="inlineStr">
        <is>
          <t>MS</t>
        </is>
      </c>
      <c r="C383" t="inlineStr">
        <is>
          <t>MS</t>
        </is>
      </c>
      <c r="D383" t="inlineStr">
        <is>
          <t>Mato Grosso do Sul</t>
        </is>
      </c>
      <c r="E383" t="inlineStr">
        <is>
          <t>06_Integração Tec</t>
        </is>
      </c>
      <c r="F383" t="inlineStr">
        <is>
          <t>Integração tecnológica</t>
        </is>
      </c>
      <c r="G383" t="inlineStr">
        <is>
          <t>Item 5 — Impressoras e scanners</t>
        </is>
      </c>
      <c r="H383" t="inlineStr">
        <is>
          <t>M2-21</t>
        </is>
      </c>
      <c r="I383" t="inlineStr">
        <is>
          <t>06_Integração Tec:M2-21</t>
        </is>
      </c>
      <c r="J383" t="inlineStr">
        <is>
          <t>Doc. SEI 37070578</t>
        </is>
      </c>
      <c r="K383" t="inlineStr">
        <is>
          <t>2026-09-23T11:46:31</t>
        </is>
      </c>
    </row>
    <row r="384">
      <c r="A384" t="n">
        <v>383</v>
      </c>
      <c r="B384" t="inlineStr">
        <is>
          <t>MS</t>
        </is>
      </c>
      <c r="C384" t="inlineStr">
        <is>
          <t>MS</t>
        </is>
      </c>
      <c r="D384" t="inlineStr">
        <is>
          <t>Mato Grosso do Sul</t>
        </is>
      </c>
      <c r="E384" t="inlineStr">
        <is>
          <t>06_Integração Tec</t>
        </is>
      </c>
      <c r="F384" t="inlineStr">
        <is>
          <t>Integração tecnológica</t>
        </is>
      </c>
      <c r="G384" t="inlineStr">
        <is>
          <t>Item 6 — Aparelhos de telefone celular</t>
        </is>
      </c>
      <c r="H384" t="inlineStr">
        <is>
          <t>M2-27</t>
        </is>
      </c>
      <c r="I384" t="inlineStr">
        <is>
          <t>06_Integração Tec:M2-27</t>
        </is>
      </c>
      <c r="J384" t="inlineStr">
        <is>
          <t>Doc. SEI 37070578</t>
        </is>
      </c>
      <c r="K384" t="inlineStr">
        <is>
          <t>2026-09-23T11:46:31</t>
        </is>
      </c>
    </row>
    <row r="385">
      <c r="A385" t="n">
        <v>384</v>
      </c>
      <c r="B385" t="inlineStr">
        <is>
          <t>MS</t>
        </is>
      </c>
      <c r="C385" t="inlineStr">
        <is>
          <t>MS</t>
        </is>
      </c>
      <c r="D385" t="inlineStr">
        <is>
          <t>Mato Grosso do Sul</t>
        </is>
      </c>
      <c r="E385" t="inlineStr">
        <is>
          <t>07_Maturidade</t>
        </is>
      </c>
      <c r="F385" t="inlineStr">
        <is>
          <t>Maturidade / bônus</t>
        </is>
      </c>
      <c r="G385" t="inlineStr">
        <is>
          <t>Bônus — Uso do canal Fala.BR</t>
        </is>
      </c>
      <c r="H385" t="inlineStr">
        <is>
          <t>M2-46</t>
        </is>
      </c>
      <c r="I385" t="inlineStr">
        <is>
          <t>07_Maturidade:M2-46</t>
        </is>
      </c>
      <c r="J385" t="inlineStr">
        <is>
          <t>Doc. SEI 37070578</t>
        </is>
      </c>
      <c r="K385" t="inlineStr">
        <is>
          <t>2026-09-23T11:46:31</t>
        </is>
      </c>
    </row>
    <row r="386">
      <c r="A386" t="n">
        <v>385</v>
      </c>
      <c r="B386" t="inlineStr">
        <is>
          <t>MS</t>
        </is>
      </c>
      <c r="C386" t="inlineStr">
        <is>
          <t>MS</t>
        </is>
      </c>
      <c r="D386" t="inlineStr">
        <is>
          <t>Mato Grosso do Sul</t>
        </is>
      </c>
      <c r="E386" t="inlineStr">
        <is>
          <t>07_Maturidade</t>
        </is>
      </c>
      <c r="F386" t="inlineStr">
        <is>
          <t>Maturidade / bônus</t>
        </is>
      </c>
      <c r="G386" t="inlineStr">
        <is>
          <t>Bônus — Designação por mandato</t>
        </is>
      </c>
      <c r="H386" t="inlineStr">
        <is>
          <t>M0-08</t>
        </is>
      </c>
      <c r="I386" t="inlineStr">
        <is>
          <t>07_Maturidade:M0-08</t>
        </is>
      </c>
      <c r="J386" t="inlineStr">
        <is>
          <t>Doc. SEI 37070578</t>
        </is>
      </c>
      <c r="K386" t="inlineStr">
        <is>
          <t>2026-09-23T11:46:31</t>
        </is>
      </c>
    </row>
    <row r="387">
      <c r="A387" t="n">
        <v>386</v>
      </c>
      <c r="B387" t="inlineStr">
        <is>
          <t>MS</t>
        </is>
      </c>
      <c r="C387" t="inlineStr">
        <is>
          <t>MS</t>
        </is>
      </c>
      <c r="D387" t="inlineStr">
        <is>
          <t>Mato Grosso do Sul</t>
        </is>
      </c>
      <c r="E387" t="inlineStr">
        <is>
          <t>07_Maturidade</t>
        </is>
      </c>
      <c r="F387" t="inlineStr">
        <is>
          <t>Maturidade / bônus</t>
        </is>
      </c>
      <c r="G387" t="inlineStr">
        <is>
          <t>Bônus — Dedicação da equipe</t>
        </is>
      </c>
      <c r="H387" t="inlineStr">
        <is>
          <t>M3-60</t>
        </is>
      </c>
      <c r="I387" t="inlineStr">
        <is>
          <t>07_Maturidade:M3-60</t>
        </is>
      </c>
      <c r="J387" t="inlineStr">
        <is>
          <t>Doc. SEI 37070578</t>
        </is>
      </c>
      <c r="K387" t="inlineStr">
        <is>
          <t>2026-09-23T11:46:31</t>
        </is>
      </c>
    </row>
    <row r="388">
      <c r="A388" t="n">
        <v>387</v>
      </c>
      <c r="B388" t="inlineStr">
        <is>
          <t>MS</t>
        </is>
      </c>
      <c r="C388" t="inlineStr">
        <is>
          <t>MS</t>
        </is>
      </c>
      <c r="D388" t="inlineStr">
        <is>
          <t>Mato Grosso do Sul</t>
        </is>
      </c>
      <c r="E388" t="inlineStr">
        <is>
          <t>07_Maturidade</t>
        </is>
      </c>
      <c r="F388" t="inlineStr">
        <is>
          <t>Maturidade / bônus</t>
        </is>
      </c>
      <c r="G388" t="inlineStr">
        <is>
          <t>Bônus — Requisitos de perfil para o cargo de Ouvidor</t>
        </is>
      </c>
      <c r="H388" t="inlineStr">
        <is>
          <t>M3-58</t>
        </is>
      </c>
      <c r="I388" t="inlineStr">
        <is>
          <t>07_Maturidade:M3-58</t>
        </is>
      </c>
      <c r="J388" t="inlineStr">
        <is>
          <t>Doc. SEI 37070578</t>
        </is>
      </c>
      <c r="K388" t="inlineStr">
        <is>
          <t>2026-09-23T11:46:31</t>
        </is>
      </c>
    </row>
    <row r="389">
      <c r="A389" t="n">
        <v>388</v>
      </c>
      <c r="B389" t="inlineStr">
        <is>
          <t>MS</t>
        </is>
      </c>
      <c r="C389" t="inlineStr">
        <is>
          <t>MS</t>
        </is>
      </c>
      <c r="D389" t="inlineStr">
        <is>
          <t>Mato Grosso do Sul</t>
        </is>
      </c>
      <c r="E389" t="inlineStr">
        <is>
          <t>07_Maturidade</t>
        </is>
      </c>
      <c r="F389" t="inlineStr">
        <is>
          <t>Maturidade / bônus</t>
        </is>
      </c>
      <c r="G389" t="inlineStr">
        <is>
          <t>Bônus — WhatsApp institucional</t>
        </is>
      </c>
      <c r="H389" t="inlineStr">
        <is>
          <t>M2-50</t>
        </is>
      </c>
      <c r="I389" t="inlineStr">
        <is>
          <t>07_Maturidade:M2-50</t>
        </is>
      </c>
      <c r="J389" t="inlineStr">
        <is>
          <t>Doc. SEI 37070578</t>
        </is>
      </c>
      <c r="K389" t="inlineStr">
        <is>
          <t>2026-09-23T11:46:31</t>
        </is>
      </c>
    </row>
    <row r="390">
      <c r="A390" t="n">
        <v>389</v>
      </c>
      <c r="B390" t="inlineStr">
        <is>
          <t>MS</t>
        </is>
      </c>
      <c r="C390" t="inlineStr">
        <is>
          <t>MS</t>
        </is>
      </c>
      <c r="D390" t="inlineStr">
        <is>
          <t>Mato Grosso do Sul</t>
        </is>
      </c>
      <c r="E390" t="inlineStr">
        <is>
          <t>07_Maturidade</t>
        </is>
      </c>
      <c r="F390" t="inlineStr">
        <is>
          <t>Maturidade / bônus</t>
        </is>
      </c>
      <c r="G390" t="inlineStr">
        <is>
          <t>Bônus — Outros canais eletrônicos institucionais</t>
        </is>
      </c>
      <c r="H390" t="inlineStr">
        <is>
          <t>M2-49</t>
        </is>
      </c>
      <c r="I390" t="inlineStr">
        <is>
          <t>07_Maturidade:M2-49</t>
        </is>
      </c>
      <c r="J390" t="inlineStr">
        <is>
          <t>Doc. SEI 37070578</t>
        </is>
      </c>
      <c r="K390" t="inlineStr">
        <is>
          <t>2026-09-23T11:46:31</t>
        </is>
      </c>
    </row>
    <row r="391">
      <c r="A391" t="n">
        <v>390</v>
      </c>
      <c r="B391" t="inlineStr">
        <is>
          <t>MS</t>
        </is>
      </c>
      <c r="C391" t="inlineStr">
        <is>
          <t>MS</t>
        </is>
      </c>
      <c r="D391" t="inlineStr">
        <is>
          <t>Mato Grosso do Sul</t>
        </is>
      </c>
      <c r="E391" t="inlineStr">
        <is>
          <t>07_Maturidade</t>
        </is>
      </c>
      <c r="F391" t="inlineStr">
        <is>
          <t>Maturidade / bônus</t>
        </is>
      </c>
      <c r="G391" t="inlineStr">
        <is>
          <t>Bônus — Materiais adicionais de divulgação e educação em direitos</t>
        </is>
      </c>
      <c r="H391" t="inlineStr">
        <is>
          <t>M2-36</t>
        </is>
      </c>
      <c r="I391" t="inlineStr">
        <is>
          <t>07_Maturidade:M2-36</t>
        </is>
      </c>
      <c r="J391" t="inlineStr">
        <is>
          <t>Doc. SEI 37070578</t>
        </is>
      </c>
      <c r="K391" t="inlineStr">
        <is>
          <t>2026-09-23T11:46:31</t>
        </is>
      </c>
    </row>
    <row r="392">
      <c r="A392" t="n">
        <v>391</v>
      </c>
      <c r="B392" t="inlineStr">
        <is>
          <t>MG</t>
        </is>
      </c>
      <c r="C392" t="inlineStr">
        <is>
          <t>MG</t>
        </is>
      </c>
      <c r="D392" t="inlineStr">
        <is>
          <t>Minas Gerais</t>
        </is>
      </c>
      <c r="E392" t="inlineStr">
        <is>
          <t>01_Institucionalização</t>
        </is>
      </c>
      <c r="F392" t="inlineStr">
        <is>
          <t>Institucionalização</t>
        </is>
      </c>
      <c r="G392" t="inlineStr">
        <is>
          <t>Item 1 — Instituição formal da Ouvidoria de Serviços Penais</t>
        </is>
      </c>
      <c r="H392" t="inlineStr">
        <is>
          <t>M1-11</t>
        </is>
      </c>
      <c r="I392" t="inlineStr">
        <is>
          <t>01_Institucionalização:M1-11</t>
        </is>
      </c>
      <c r="J392" t="inlineStr">
        <is>
          <t>Doc. SEI 37070578</t>
        </is>
      </c>
      <c r="K392" t="inlineStr">
        <is>
          <t>2026-09-23T11:46:31</t>
        </is>
      </c>
    </row>
    <row r="393">
      <c r="A393" t="n">
        <v>392</v>
      </c>
      <c r="B393" t="inlineStr">
        <is>
          <t>MG</t>
        </is>
      </c>
      <c r="C393" t="inlineStr">
        <is>
          <t>MG</t>
        </is>
      </c>
      <c r="D393" t="inlineStr">
        <is>
          <t>Minas Gerais</t>
        </is>
      </c>
      <c r="E393" t="inlineStr">
        <is>
          <t>02_Autonomia</t>
        </is>
      </c>
      <c r="F393" t="inlineStr">
        <is>
          <t>Autonomia técnica e funcional</t>
        </is>
      </c>
      <c r="G393" t="inlineStr">
        <is>
          <t>Item 1 — Garantia normativa de autonomia técnica/funcional</t>
        </is>
      </c>
      <c r="H393" t="inlineStr">
        <is>
          <t>M3-56</t>
        </is>
      </c>
      <c r="I393" t="inlineStr">
        <is>
          <t>02_Autonomia:M3-56</t>
        </is>
      </c>
      <c r="J393" t="inlineStr">
        <is>
          <t>Doc. SEI 37070578</t>
        </is>
      </c>
      <c r="K393" t="inlineStr">
        <is>
          <t>2026-09-23T11:46:31</t>
        </is>
      </c>
    </row>
    <row r="394">
      <c r="A394" t="n">
        <v>393</v>
      </c>
      <c r="B394" t="inlineStr">
        <is>
          <t>MG</t>
        </is>
      </c>
      <c r="C394" t="inlineStr">
        <is>
          <t>MG</t>
        </is>
      </c>
      <c r="D394" t="inlineStr">
        <is>
          <t>Minas Gerais</t>
        </is>
      </c>
      <c r="E394" t="inlineStr">
        <is>
          <t>02_Autonomia</t>
        </is>
      </c>
      <c r="F394" t="inlineStr">
        <is>
          <t>Autonomia técnica e funcional</t>
        </is>
      </c>
      <c r="G394" t="inlineStr">
        <is>
          <t>Item 1 — Garantia normativa de autonomia técnica/funcional</t>
        </is>
      </c>
      <c r="H394" t="inlineStr">
        <is>
          <t>M3-57</t>
        </is>
      </c>
      <c r="I394" t="inlineStr">
        <is>
          <t>02_Autonomia:M3-57</t>
        </is>
      </c>
      <c r="J394" t="inlineStr">
        <is>
          <t>Doc. SEI 37070578</t>
        </is>
      </c>
      <c r="K394" t="inlineStr">
        <is>
          <t>2026-09-23T11:46:31</t>
        </is>
      </c>
    </row>
    <row r="395">
      <c r="A395" t="n">
        <v>394</v>
      </c>
      <c r="B395" t="inlineStr">
        <is>
          <t>MG</t>
        </is>
      </c>
      <c r="C395" t="inlineStr">
        <is>
          <t>MG</t>
        </is>
      </c>
      <c r="D395" t="inlineStr">
        <is>
          <t>Minas Gerais</t>
        </is>
      </c>
      <c r="E395" t="inlineStr">
        <is>
          <t>02_Autonomia</t>
        </is>
      </c>
      <c r="F395" t="inlineStr">
        <is>
          <t>Autonomia técnica e funcional</t>
        </is>
      </c>
      <c r="G395" t="inlineStr">
        <is>
          <t>Item 2 — Condições institucionais de atuação sem interferência indevida</t>
        </is>
      </c>
      <c r="H395" t="inlineStr">
        <is>
          <t>M1-12</t>
        </is>
      </c>
      <c r="I395" t="inlineStr">
        <is>
          <t>02_Autonomia:M1-12</t>
        </is>
      </c>
      <c r="J395" t="inlineStr">
        <is>
          <t>Doc. SEI 37070578</t>
        </is>
      </c>
      <c r="K395" t="inlineStr">
        <is>
          <t>2026-09-23T11:46:31</t>
        </is>
      </c>
    </row>
    <row r="396">
      <c r="A396" t="n">
        <v>395</v>
      </c>
      <c r="B396" t="inlineStr">
        <is>
          <t>MG</t>
        </is>
      </c>
      <c r="C396" t="inlineStr">
        <is>
          <t>MG</t>
        </is>
      </c>
      <c r="D396" t="inlineStr">
        <is>
          <t>Minas Gerais</t>
        </is>
      </c>
      <c r="E396" t="inlineStr">
        <is>
          <t>02_Autonomia</t>
        </is>
      </c>
      <c r="F396" t="inlineStr">
        <is>
          <t>Autonomia técnica e funcional</t>
        </is>
      </c>
      <c r="G396" t="inlineStr">
        <is>
          <t>Item 2 — Condições institucionais de atuação sem interferência indevida</t>
        </is>
      </c>
      <c r="H396" t="inlineStr">
        <is>
          <t>M4-67</t>
        </is>
      </c>
      <c r="I396" t="inlineStr">
        <is>
          <t>02_Autonomia:M4-67</t>
        </is>
      </c>
      <c r="J396" t="inlineStr">
        <is>
          <t>Doc. SEI 37070578</t>
        </is>
      </c>
      <c r="K396" t="inlineStr">
        <is>
          <t>2026-09-23T11:46:31</t>
        </is>
      </c>
    </row>
    <row r="397">
      <c r="A397" t="n">
        <v>396</v>
      </c>
      <c r="B397" t="inlineStr">
        <is>
          <t>MG</t>
        </is>
      </c>
      <c r="C397" t="inlineStr">
        <is>
          <t>MG</t>
        </is>
      </c>
      <c r="D397" t="inlineStr">
        <is>
          <t>Minas Gerais</t>
        </is>
      </c>
      <c r="E397" t="inlineStr">
        <is>
          <t>02_Autonomia</t>
        </is>
      </c>
      <c r="F397" t="inlineStr">
        <is>
          <t>Autonomia técnica e funcional</t>
        </is>
      </c>
      <c r="G397" t="inlineStr">
        <is>
          <t>Item 2 — Condições institucionais de atuação sem interferência indevida</t>
        </is>
      </c>
      <c r="H397" t="inlineStr">
        <is>
          <t>M4-68</t>
        </is>
      </c>
      <c r="I397" t="inlineStr">
        <is>
          <t>02_Autonomia:M4-68</t>
        </is>
      </c>
      <c r="J397" t="inlineStr">
        <is>
          <t>Doc. SEI 37070578</t>
        </is>
      </c>
      <c r="K397" t="inlineStr">
        <is>
          <t>2026-09-23T11:46:31</t>
        </is>
      </c>
    </row>
    <row r="398">
      <c r="A398" t="n">
        <v>397</v>
      </c>
      <c r="B398" t="inlineStr">
        <is>
          <t>MG</t>
        </is>
      </c>
      <c r="C398" t="inlineStr">
        <is>
          <t>MG</t>
        </is>
      </c>
      <c r="D398" t="inlineStr">
        <is>
          <t>Minas Gerais</t>
        </is>
      </c>
      <c r="E398" t="inlineStr">
        <is>
          <t>03_Imparcialidade</t>
        </is>
      </c>
      <c r="F398" t="inlineStr">
        <is>
          <t>Imparcialidade, sigilo e proteção</t>
        </is>
      </c>
      <c r="G398" t="inlineStr">
        <is>
          <t>Item 1 — Proteção e tratamento de denúncias graves e sensíveis</t>
        </is>
      </c>
      <c r="H398" t="inlineStr">
        <is>
          <t>M4-69</t>
        </is>
      </c>
      <c r="I398" t="inlineStr">
        <is>
          <t>03_Imparcialidade:M4-69</t>
        </is>
      </c>
      <c r="J398" t="inlineStr">
        <is>
          <t>Doc. SEI 37070578</t>
        </is>
      </c>
      <c r="K398" t="inlineStr">
        <is>
          <t>2026-09-23T11:46:31</t>
        </is>
      </c>
    </row>
    <row r="399">
      <c r="A399" t="n">
        <v>398</v>
      </c>
      <c r="B399" t="inlineStr">
        <is>
          <t>MG</t>
        </is>
      </c>
      <c r="C399" t="inlineStr">
        <is>
          <t>MG</t>
        </is>
      </c>
      <c r="D399" t="inlineStr">
        <is>
          <t>Minas Gerais</t>
        </is>
      </c>
      <c r="E399" t="inlineStr">
        <is>
          <t>03_Imparcialidade</t>
        </is>
      </c>
      <c r="F399" t="inlineStr">
        <is>
          <t>Imparcialidade, sigilo e proteção</t>
        </is>
      </c>
      <c r="G399" t="inlineStr">
        <is>
          <t>Item 2 — Confidencialidade e sigilo da equipe</t>
        </is>
      </c>
      <c r="H399" t="inlineStr">
        <is>
          <t>M3-63</t>
        </is>
      </c>
      <c r="I399" t="inlineStr">
        <is>
          <t>03_Imparcialidade:M3-63</t>
        </is>
      </c>
      <c r="J399" t="inlineStr">
        <is>
          <t>Doc. SEI 37070578</t>
        </is>
      </c>
      <c r="K399" t="inlineStr">
        <is>
          <t>2026-09-23T11:46:31</t>
        </is>
      </c>
    </row>
    <row r="400">
      <c r="A400" t="n">
        <v>399</v>
      </c>
      <c r="B400" t="inlineStr">
        <is>
          <t>MG</t>
        </is>
      </c>
      <c r="C400" t="inlineStr">
        <is>
          <t>MG</t>
        </is>
      </c>
      <c r="D400" t="inlineStr">
        <is>
          <t>Minas Gerais</t>
        </is>
      </c>
      <c r="E400" t="inlineStr">
        <is>
          <t>04_Acessibilidade</t>
        </is>
      </c>
      <c r="F400" t="inlineStr">
        <is>
          <t>Acessibilidade e atendimento humanizado</t>
        </is>
      </c>
      <c r="G400" t="inlineStr">
        <is>
          <t>Item 1 — Canais institucionais acessíveis</t>
        </is>
      </c>
      <c r="H400" t="inlineStr">
        <is>
          <t>M2-41</t>
        </is>
      </c>
      <c r="I400" t="inlineStr">
        <is>
          <t>04_Acessibilidade:M2-41</t>
        </is>
      </c>
      <c r="J400" t="inlineStr">
        <is>
          <t>Doc. SEI 37070578</t>
        </is>
      </c>
      <c r="K400" t="inlineStr">
        <is>
          <t>2026-09-23T11:46:31</t>
        </is>
      </c>
    </row>
    <row r="401">
      <c r="A401" t="n">
        <v>400</v>
      </c>
      <c r="B401" t="inlineStr">
        <is>
          <t>MG</t>
        </is>
      </c>
      <c r="C401" t="inlineStr">
        <is>
          <t>MG</t>
        </is>
      </c>
      <c r="D401" t="inlineStr">
        <is>
          <t>Minas Gerais</t>
        </is>
      </c>
      <c r="E401" t="inlineStr">
        <is>
          <t>04_Acessibilidade</t>
        </is>
      </c>
      <c r="F401" t="inlineStr">
        <is>
          <t>Acessibilidade e atendimento humanizado</t>
        </is>
      </c>
      <c r="G401" t="inlineStr">
        <is>
          <t>Item 1 — Canais institucionais acessíveis</t>
        </is>
      </c>
      <c r="H401" t="inlineStr">
        <is>
          <t>M2-43</t>
        </is>
      </c>
      <c r="I401" t="inlineStr">
        <is>
          <t>04_Acessibilidade:M2-43</t>
        </is>
      </c>
      <c r="J401" t="inlineStr">
        <is>
          <t>Doc. SEI 37070578</t>
        </is>
      </c>
      <c r="K401" t="inlineStr">
        <is>
          <t>2026-09-23T11:46:31</t>
        </is>
      </c>
    </row>
    <row r="402">
      <c r="A402" t="n">
        <v>401</v>
      </c>
      <c r="B402" t="inlineStr">
        <is>
          <t>MG</t>
        </is>
      </c>
      <c r="C402" t="inlineStr">
        <is>
          <t>MG</t>
        </is>
      </c>
      <c r="D402" t="inlineStr">
        <is>
          <t>Minas Gerais</t>
        </is>
      </c>
      <c r="E402" t="inlineStr">
        <is>
          <t>04_Acessibilidade</t>
        </is>
      </c>
      <c r="F402" t="inlineStr">
        <is>
          <t>Acessibilidade e atendimento humanizado</t>
        </is>
      </c>
      <c r="G402" t="inlineStr">
        <is>
          <t>Item 1 — Canais institucionais acessíveis</t>
        </is>
      </c>
      <c r="H402" t="inlineStr">
        <is>
          <t>M2-47</t>
        </is>
      </c>
      <c r="I402" t="inlineStr">
        <is>
          <t>04_Acessibilidade:M2-47</t>
        </is>
      </c>
      <c r="J402" t="inlineStr">
        <is>
          <t>Doc. SEI 37070578</t>
        </is>
      </c>
      <c r="K402" t="inlineStr">
        <is>
          <t>2026-09-23T11:46:31</t>
        </is>
      </c>
    </row>
    <row r="403">
      <c r="A403" t="n">
        <v>402</v>
      </c>
      <c r="B403" t="inlineStr">
        <is>
          <t>MG</t>
        </is>
      </c>
      <c r="C403" t="inlineStr">
        <is>
          <t>MG</t>
        </is>
      </c>
      <c r="D403" t="inlineStr">
        <is>
          <t>Minas Gerais</t>
        </is>
      </c>
      <c r="E403" t="inlineStr">
        <is>
          <t>04_Acessibilidade</t>
        </is>
      </c>
      <c r="F403" t="inlineStr">
        <is>
          <t>Acessibilidade e atendimento humanizado</t>
        </is>
      </c>
      <c r="G403" t="inlineStr">
        <is>
          <t>Item 2 — Condições de atendimento reservado e acessível</t>
        </is>
      </c>
      <c r="H403" t="inlineStr">
        <is>
          <t>M2-16</t>
        </is>
      </c>
      <c r="I403" t="inlineStr">
        <is>
          <t>04_Acessibilidade:M2-16</t>
        </is>
      </c>
      <c r="J403" t="inlineStr">
        <is>
          <t>Doc. SEI 37070578</t>
        </is>
      </c>
      <c r="K403" t="inlineStr">
        <is>
          <t>2026-09-23T11:46:31</t>
        </is>
      </c>
    </row>
    <row r="404">
      <c r="A404" t="n">
        <v>403</v>
      </c>
      <c r="B404" t="inlineStr">
        <is>
          <t>MG</t>
        </is>
      </c>
      <c r="C404" t="inlineStr">
        <is>
          <t>MG</t>
        </is>
      </c>
      <c r="D404" t="inlineStr">
        <is>
          <t>Minas Gerais</t>
        </is>
      </c>
      <c r="E404" t="inlineStr">
        <is>
          <t>04_Acessibilidade</t>
        </is>
      </c>
      <c r="F404" t="inlineStr">
        <is>
          <t>Acessibilidade e atendimento humanizado</t>
        </is>
      </c>
      <c r="G404" t="inlineStr">
        <is>
          <t>Item 3 — Alcance dos públicos dos serviços penais</t>
        </is>
      </c>
      <c r="H404" t="inlineStr">
        <is>
          <t>M1-13</t>
        </is>
      </c>
      <c r="I404" t="inlineStr">
        <is>
          <t>04_Acessibilidade:M1-13</t>
        </is>
      </c>
      <c r="J404" t="inlineStr">
        <is>
          <t>Doc. SEI 37070578</t>
        </is>
      </c>
      <c r="K404" t="inlineStr">
        <is>
          <t>2026-09-23T11:46:31</t>
        </is>
      </c>
    </row>
    <row r="405">
      <c r="A405" t="n">
        <v>404</v>
      </c>
      <c r="B405" t="inlineStr">
        <is>
          <t>MG</t>
        </is>
      </c>
      <c r="C405" t="inlineStr">
        <is>
          <t>MG</t>
        </is>
      </c>
      <c r="D405" t="inlineStr">
        <is>
          <t>Minas Gerais</t>
        </is>
      </c>
      <c r="E405" t="inlineStr">
        <is>
          <t>04_Acessibilidade</t>
        </is>
      </c>
      <c r="F405" t="inlineStr">
        <is>
          <t>Acessibilidade e atendimento humanizado</t>
        </is>
      </c>
      <c r="G405" t="inlineStr">
        <is>
          <t>Item 3 — Alcance dos públicos dos serviços penais</t>
        </is>
      </c>
      <c r="H405" t="inlineStr">
        <is>
          <t>M4-64</t>
        </is>
      </c>
      <c r="I405" t="inlineStr">
        <is>
          <t>04_Acessibilidade:M4-64</t>
        </is>
      </c>
      <c r="J405" t="inlineStr">
        <is>
          <t>Doc. SEI 37070578</t>
        </is>
      </c>
      <c r="K405" t="inlineStr">
        <is>
          <t>2026-09-23T11:46:31</t>
        </is>
      </c>
    </row>
    <row r="406">
      <c r="A406" t="n">
        <v>405</v>
      </c>
      <c r="B406" t="inlineStr">
        <is>
          <t>MG</t>
        </is>
      </c>
      <c r="C406" t="inlineStr">
        <is>
          <t>MG</t>
        </is>
      </c>
      <c r="D406" t="inlineStr">
        <is>
          <t>Minas Gerais</t>
        </is>
      </c>
      <c r="E406" t="inlineStr">
        <is>
          <t>05_Transparência</t>
        </is>
      </c>
      <c r="F406" t="inlineStr">
        <is>
          <t>Transparência e publicidade</t>
        </is>
      </c>
      <c r="G406" t="inlineStr">
        <is>
          <t>Item 1 — Visibilidade institucional e divulgação dos canais</t>
        </is>
      </c>
      <c r="H406" t="inlineStr">
        <is>
          <t>M2-35</t>
        </is>
      </c>
      <c r="I406" t="inlineStr">
        <is>
          <t>05_Transparência:M2-35</t>
        </is>
      </c>
      <c r="J406" t="inlineStr">
        <is>
          <t>Doc. SEI 37070578</t>
        </is>
      </c>
      <c r="K406" t="inlineStr">
        <is>
          <t>2026-09-23T11:46:31</t>
        </is>
      </c>
    </row>
    <row r="407">
      <c r="A407" t="n">
        <v>406</v>
      </c>
      <c r="B407" t="inlineStr">
        <is>
          <t>MG</t>
        </is>
      </c>
      <c r="C407" t="inlineStr">
        <is>
          <t>MG</t>
        </is>
      </c>
      <c r="D407" t="inlineStr">
        <is>
          <t>Minas Gerais</t>
        </is>
      </c>
      <c r="E407" t="inlineStr">
        <is>
          <t>05_Transparência</t>
        </is>
      </c>
      <c r="F407" t="inlineStr">
        <is>
          <t>Transparência e publicidade</t>
        </is>
      </c>
      <c r="G407" t="inlineStr">
        <is>
          <t>Item 2 — Publicidade das ações e atividades</t>
        </is>
      </c>
      <c r="H407" t="inlineStr">
        <is>
          <t>M4-71</t>
        </is>
      </c>
      <c r="I407" t="inlineStr">
        <is>
          <t>05_Transparência:M4-71</t>
        </is>
      </c>
      <c r="J407" t="inlineStr">
        <is>
          <t>Doc. SEI 37070578</t>
        </is>
      </c>
      <c r="K407" t="inlineStr">
        <is>
          <t>2026-09-23T11:46:31</t>
        </is>
      </c>
    </row>
    <row r="408">
      <c r="A408" t="n">
        <v>407</v>
      </c>
      <c r="B408" t="inlineStr">
        <is>
          <t>MG</t>
        </is>
      </c>
      <c r="C408" t="inlineStr">
        <is>
          <t>MG</t>
        </is>
      </c>
      <c r="D408" t="inlineStr">
        <is>
          <t>Minas Gerais</t>
        </is>
      </c>
      <c r="E408" t="inlineStr">
        <is>
          <t>06_Integração Tec</t>
        </is>
      </c>
      <c r="F408" t="inlineStr">
        <is>
          <t>Integração tecnológica</t>
        </is>
      </c>
      <c r="G408" t="inlineStr">
        <is>
          <t>Item 1 — Canal eletrônico e solução para registro e gestão das manifestações</t>
        </is>
      </c>
      <c r="H408" t="inlineStr">
        <is>
          <t>M2-45</t>
        </is>
      </c>
      <c r="I408" t="inlineStr">
        <is>
          <t>06_Integração Tec:M2-45</t>
        </is>
      </c>
      <c r="J408" t="inlineStr">
        <is>
          <t>Doc. SEI 37070578</t>
        </is>
      </c>
      <c r="K408" t="inlineStr">
        <is>
          <t>2026-09-23T11:46:31</t>
        </is>
      </c>
    </row>
    <row r="409">
      <c r="A409" t="n">
        <v>408</v>
      </c>
      <c r="B409" t="inlineStr">
        <is>
          <t>MG</t>
        </is>
      </c>
      <c r="C409" t="inlineStr">
        <is>
          <t>MG</t>
        </is>
      </c>
      <c r="D409" t="inlineStr">
        <is>
          <t>Minas Gerais</t>
        </is>
      </c>
      <c r="E409" t="inlineStr">
        <is>
          <t>06_Integração Tec</t>
        </is>
      </c>
      <c r="F409" t="inlineStr">
        <is>
          <t>Integração tecnológica</t>
        </is>
      </c>
      <c r="G409" t="inlineStr">
        <is>
          <t>Item 2 — Registro, protocolo, rastreabilidade e acompanhamento</t>
        </is>
      </c>
      <c r="H409" t="inlineStr">
        <is>
          <t>M4-66</t>
        </is>
      </c>
      <c r="I409" t="inlineStr">
        <is>
          <t>06_Integração Tec:M4-66</t>
        </is>
      </c>
      <c r="J409" t="inlineStr">
        <is>
          <t>Doc. SEI 37070578</t>
        </is>
      </c>
      <c r="K409" t="inlineStr">
        <is>
          <t>2026-09-23T11:46:31</t>
        </is>
      </c>
    </row>
    <row r="410">
      <c r="A410" t="n">
        <v>409</v>
      </c>
      <c r="B410" t="inlineStr">
        <is>
          <t>MG</t>
        </is>
      </c>
      <c r="C410" t="inlineStr">
        <is>
          <t>MG</t>
        </is>
      </c>
      <c r="D410" t="inlineStr">
        <is>
          <t>Minas Gerais</t>
        </is>
      </c>
      <c r="E410" t="inlineStr">
        <is>
          <t>06_Integração Tec</t>
        </is>
      </c>
      <c r="F410" t="inlineStr">
        <is>
          <t>Integração tecnológica</t>
        </is>
      </c>
      <c r="G410" t="inlineStr">
        <is>
          <t>Item 3 — Sigilo, autenticação e controle de acesso</t>
        </is>
      </c>
      <c r="H410" t="inlineStr">
        <is>
          <t>M2-37</t>
        </is>
      </c>
      <c r="I410" t="inlineStr">
        <is>
          <t>06_Integração Tec:M2-37</t>
        </is>
      </c>
      <c r="J410" t="inlineStr">
        <is>
          <t>Doc. SEI 37070578</t>
        </is>
      </c>
      <c r="K410" t="inlineStr">
        <is>
          <t>2026-09-23T11:46:31</t>
        </is>
      </c>
    </row>
    <row r="411">
      <c r="A411" t="n">
        <v>410</v>
      </c>
      <c r="B411" t="inlineStr">
        <is>
          <t>MG</t>
        </is>
      </c>
      <c r="C411" t="inlineStr">
        <is>
          <t>MG</t>
        </is>
      </c>
      <c r="D411" t="inlineStr">
        <is>
          <t>Minas Gerais</t>
        </is>
      </c>
      <c r="E411" t="inlineStr">
        <is>
          <t>06_Integração Tec</t>
        </is>
      </c>
      <c r="F411" t="inlineStr">
        <is>
          <t>Integração tecnológica</t>
        </is>
      </c>
      <c r="G411" t="inlineStr">
        <is>
          <t>Item 4 — Computadores e acesso à internet</t>
        </is>
      </c>
      <c r="H411" t="inlineStr">
        <is>
          <t>M2-17</t>
        </is>
      </c>
      <c r="I411" t="inlineStr">
        <is>
          <t>06_Integração Tec:M2-17</t>
        </is>
      </c>
      <c r="J411" t="inlineStr">
        <is>
          <t>Doc. SEI 37070578</t>
        </is>
      </c>
      <c r="K411" t="inlineStr">
        <is>
          <t>2026-09-23T11:46:31</t>
        </is>
      </c>
    </row>
    <row r="412">
      <c r="A412" t="n">
        <v>411</v>
      </c>
      <c r="B412" t="inlineStr">
        <is>
          <t>MG</t>
        </is>
      </c>
      <c r="C412" t="inlineStr">
        <is>
          <t>MG</t>
        </is>
      </c>
      <c r="D412" t="inlineStr">
        <is>
          <t>Minas Gerais</t>
        </is>
      </c>
      <c r="E412" t="inlineStr">
        <is>
          <t>06_Integração Tec</t>
        </is>
      </c>
      <c r="F412" t="inlineStr">
        <is>
          <t>Integração tecnológica</t>
        </is>
      </c>
      <c r="G412" t="inlineStr">
        <is>
          <t>Item 5 — Impressoras e scanners</t>
        </is>
      </c>
      <c r="H412" t="inlineStr">
        <is>
          <t>M2-19</t>
        </is>
      </c>
      <c r="I412" t="inlineStr">
        <is>
          <t>06_Integração Tec:M2-19</t>
        </is>
      </c>
      <c r="J412" t="inlineStr">
        <is>
          <t>Doc. SEI 37070578</t>
        </is>
      </c>
      <c r="K412" t="inlineStr">
        <is>
          <t>2026-09-23T11:46:31</t>
        </is>
      </c>
    </row>
    <row r="413">
      <c r="A413" t="n">
        <v>412</v>
      </c>
      <c r="B413" t="inlineStr">
        <is>
          <t>MG</t>
        </is>
      </c>
      <c r="C413" t="inlineStr">
        <is>
          <t>MG</t>
        </is>
      </c>
      <c r="D413" t="inlineStr">
        <is>
          <t>Minas Gerais</t>
        </is>
      </c>
      <c r="E413" t="inlineStr">
        <is>
          <t>06_Integração Tec</t>
        </is>
      </c>
      <c r="F413" t="inlineStr">
        <is>
          <t>Integração tecnológica</t>
        </is>
      </c>
      <c r="G413" t="inlineStr">
        <is>
          <t>Item 5 — Impressoras e scanners</t>
        </is>
      </c>
      <c r="H413" t="inlineStr">
        <is>
          <t>M2-21</t>
        </is>
      </c>
      <c r="I413" t="inlineStr">
        <is>
          <t>06_Integração Tec:M2-21</t>
        </is>
      </c>
      <c r="J413" t="inlineStr">
        <is>
          <t>Doc. SEI 37070578</t>
        </is>
      </c>
      <c r="K413" t="inlineStr">
        <is>
          <t>2026-09-23T11:46:31</t>
        </is>
      </c>
    </row>
    <row r="414">
      <c r="A414" t="n">
        <v>413</v>
      </c>
      <c r="B414" t="inlineStr">
        <is>
          <t>MG</t>
        </is>
      </c>
      <c r="C414" t="inlineStr">
        <is>
          <t>MG</t>
        </is>
      </c>
      <c r="D414" t="inlineStr">
        <is>
          <t>Minas Gerais</t>
        </is>
      </c>
      <c r="E414" t="inlineStr">
        <is>
          <t>06_Integração Tec</t>
        </is>
      </c>
      <c r="F414" t="inlineStr">
        <is>
          <t>Integração tecnológica</t>
        </is>
      </c>
      <c r="G414" t="inlineStr">
        <is>
          <t>Item 6 — Aparelhos de telefone celular</t>
        </is>
      </c>
      <c r="H414" t="inlineStr">
        <is>
          <t>M2-27</t>
        </is>
      </c>
      <c r="I414" t="inlineStr">
        <is>
          <t>06_Integração Tec:M2-27</t>
        </is>
      </c>
      <c r="J414" t="inlineStr">
        <is>
          <t>Doc. SEI 37070578</t>
        </is>
      </c>
      <c r="K414" t="inlineStr">
        <is>
          <t>2026-09-23T11:46:31</t>
        </is>
      </c>
    </row>
    <row r="415">
      <c r="A415" t="n">
        <v>414</v>
      </c>
      <c r="B415" t="inlineStr">
        <is>
          <t>MG</t>
        </is>
      </c>
      <c r="C415" t="inlineStr">
        <is>
          <t>MG</t>
        </is>
      </c>
      <c r="D415" t="inlineStr">
        <is>
          <t>Minas Gerais</t>
        </is>
      </c>
      <c r="E415" t="inlineStr">
        <is>
          <t>07_Maturidade</t>
        </is>
      </c>
      <c r="F415" t="inlineStr">
        <is>
          <t>Maturidade / bônus</t>
        </is>
      </c>
      <c r="G415" t="inlineStr">
        <is>
          <t>Bônus — Uso do canal Fala.BR</t>
        </is>
      </c>
      <c r="H415" t="inlineStr">
        <is>
          <t>M2-46</t>
        </is>
      </c>
      <c r="I415" t="inlineStr">
        <is>
          <t>07_Maturidade:M2-46</t>
        </is>
      </c>
      <c r="J415" t="inlineStr">
        <is>
          <t>Doc. SEI 37070578</t>
        </is>
      </c>
      <c r="K415" t="inlineStr">
        <is>
          <t>2026-09-23T11:46:31</t>
        </is>
      </c>
    </row>
    <row r="416">
      <c r="A416" t="n">
        <v>415</v>
      </c>
      <c r="B416" t="inlineStr">
        <is>
          <t>MG</t>
        </is>
      </c>
      <c r="C416" t="inlineStr">
        <is>
          <t>MG</t>
        </is>
      </c>
      <c r="D416" t="inlineStr">
        <is>
          <t>Minas Gerais</t>
        </is>
      </c>
      <c r="E416" t="inlineStr">
        <is>
          <t>07_Maturidade</t>
        </is>
      </c>
      <c r="F416" t="inlineStr">
        <is>
          <t>Maturidade / bônus</t>
        </is>
      </c>
      <c r="G416" t="inlineStr">
        <is>
          <t>Bônus — Designação por mandato</t>
        </is>
      </c>
      <c r="H416" t="inlineStr">
        <is>
          <t>M0-08</t>
        </is>
      </c>
      <c r="I416" t="inlineStr">
        <is>
          <t>07_Maturidade:M0-08</t>
        </is>
      </c>
      <c r="J416" t="inlineStr">
        <is>
          <t>Doc. SEI 37070578</t>
        </is>
      </c>
      <c r="K416" t="inlineStr">
        <is>
          <t>2026-09-23T11:46:31</t>
        </is>
      </c>
    </row>
    <row r="417">
      <c r="A417" t="n">
        <v>416</v>
      </c>
      <c r="B417" t="inlineStr">
        <is>
          <t>MG</t>
        </is>
      </c>
      <c r="C417" t="inlineStr">
        <is>
          <t>MG</t>
        </is>
      </c>
      <c r="D417" t="inlineStr">
        <is>
          <t>Minas Gerais</t>
        </is>
      </c>
      <c r="E417" t="inlineStr">
        <is>
          <t>07_Maturidade</t>
        </is>
      </c>
      <c r="F417" t="inlineStr">
        <is>
          <t>Maturidade / bônus</t>
        </is>
      </c>
      <c r="G417" t="inlineStr">
        <is>
          <t>Bônus — Dedicação da equipe</t>
        </is>
      </c>
      <c r="H417" t="inlineStr">
        <is>
          <t>M3-60</t>
        </is>
      </c>
      <c r="I417" t="inlineStr">
        <is>
          <t>07_Maturidade:M3-60</t>
        </is>
      </c>
      <c r="J417" t="inlineStr">
        <is>
          <t>Doc. SEI 37070578</t>
        </is>
      </c>
      <c r="K417" t="inlineStr">
        <is>
          <t>2026-09-23T11:46:31</t>
        </is>
      </c>
    </row>
    <row r="418">
      <c r="A418" t="n">
        <v>417</v>
      </c>
      <c r="B418" t="inlineStr">
        <is>
          <t>MG</t>
        </is>
      </c>
      <c r="C418" t="inlineStr">
        <is>
          <t>MG</t>
        </is>
      </c>
      <c r="D418" t="inlineStr">
        <is>
          <t>Minas Gerais</t>
        </is>
      </c>
      <c r="E418" t="inlineStr">
        <is>
          <t>07_Maturidade</t>
        </is>
      </c>
      <c r="F418" t="inlineStr">
        <is>
          <t>Maturidade / bônus</t>
        </is>
      </c>
      <c r="G418" t="inlineStr">
        <is>
          <t>Bônus — Requisitos de perfil para o cargo de Ouvidor</t>
        </is>
      </c>
      <c r="H418" t="inlineStr">
        <is>
          <t>M3-58</t>
        </is>
      </c>
      <c r="I418" t="inlineStr">
        <is>
          <t>07_Maturidade:M3-58</t>
        </is>
      </c>
      <c r="J418" t="inlineStr">
        <is>
          <t>Doc. SEI 37070578</t>
        </is>
      </c>
      <c r="K418" t="inlineStr">
        <is>
          <t>2026-09-23T11:46:31</t>
        </is>
      </c>
    </row>
    <row r="419">
      <c r="A419" t="n">
        <v>418</v>
      </c>
      <c r="B419" t="inlineStr">
        <is>
          <t>MG</t>
        </is>
      </c>
      <c r="C419" t="inlineStr">
        <is>
          <t>MG</t>
        </is>
      </c>
      <c r="D419" t="inlineStr">
        <is>
          <t>Minas Gerais</t>
        </is>
      </c>
      <c r="E419" t="inlineStr">
        <is>
          <t>07_Maturidade</t>
        </is>
      </c>
      <c r="F419" t="inlineStr">
        <is>
          <t>Maturidade / bônus</t>
        </is>
      </c>
      <c r="G419" t="inlineStr">
        <is>
          <t>Bônus — WhatsApp institucional</t>
        </is>
      </c>
      <c r="H419" t="inlineStr">
        <is>
          <t>M2-50</t>
        </is>
      </c>
      <c r="I419" t="inlineStr">
        <is>
          <t>07_Maturidade:M2-50</t>
        </is>
      </c>
      <c r="J419" t="inlineStr">
        <is>
          <t>Doc. SEI 37070578</t>
        </is>
      </c>
      <c r="K419" t="inlineStr">
        <is>
          <t>2026-09-23T11:46:31</t>
        </is>
      </c>
    </row>
    <row r="420">
      <c r="A420" t="n">
        <v>419</v>
      </c>
      <c r="B420" t="inlineStr">
        <is>
          <t>MG</t>
        </is>
      </c>
      <c r="C420" t="inlineStr">
        <is>
          <t>MG</t>
        </is>
      </c>
      <c r="D420" t="inlineStr">
        <is>
          <t>Minas Gerais</t>
        </is>
      </c>
      <c r="E420" t="inlineStr">
        <is>
          <t>07_Maturidade</t>
        </is>
      </c>
      <c r="F420" t="inlineStr">
        <is>
          <t>Maturidade / bônus</t>
        </is>
      </c>
      <c r="G420" t="inlineStr">
        <is>
          <t>Bônus — Outros canais eletrônicos institucionais</t>
        </is>
      </c>
      <c r="H420" t="inlineStr">
        <is>
          <t>M2-49</t>
        </is>
      </c>
      <c r="I420" t="inlineStr">
        <is>
          <t>07_Maturidade:M2-49</t>
        </is>
      </c>
      <c r="J420" t="inlineStr">
        <is>
          <t>Doc. SEI 37070578</t>
        </is>
      </c>
      <c r="K420" t="inlineStr">
        <is>
          <t>2026-09-23T11:46:31</t>
        </is>
      </c>
    </row>
    <row r="421">
      <c r="A421" t="n">
        <v>420</v>
      </c>
      <c r="B421" t="inlineStr">
        <is>
          <t>MG</t>
        </is>
      </c>
      <c r="C421" t="inlineStr">
        <is>
          <t>MG</t>
        </is>
      </c>
      <c r="D421" t="inlineStr">
        <is>
          <t>Minas Gerais</t>
        </is>
      </c>
      <c r="E421" t="inlineStr">
        <is>
          <t>07_Maturidade</t>
        </is>
      </c>
      <c r="F421" t="inlineStr">
        <is>
          <t>Maturidade / bônus</t>
        </is>
      </c>
      <c r="G421" t="inlineStr">
        <is>
          <t>Bônus — Materiais adicionais de divulgação e educação em direitos</t>
        </is>
      </c>
      <c r="H421" t="inlineStr">
        <is>
          <t>M2-36</t>
        </is>
      </c>
      <c r="I421" t="inlineStr">
        <is>
          <t>07_Maturidade:M2-36</t>
        </is>
      </c>
      <c r="J421" t="inlineStr">
        <is>
          <t>Doc. SEI 37070578</t>
        </is>
      </c>
      <c r="K421" t="inlineStr">
        <is>
          <t>2026-09-23T11:46:31</t>
        </is>
      </c>
    </row>
    <row r="422">
      <c r="A422" t="n">
        <v>421</v>
      </c>
      <c r="B422" t="inlineStr">
        <is>
          <t>PA</t>
        </is>
      </c>
      <c r="C422" t="inlineStr">
        <is>
          <t>PA</t>
        </is>
      </c>
      <c r="D422" t="inlineStr">
        <is>
          <t>Pará</t>
        </is>
      </c>
      <c r="E422" t="inlineStr">
        <is>
          <t>01_Institucionalização</t>
        </is>
      </c>
      <c r="F422" t="inlineStr">
        <is>
          <t>Institucionalização</t>
        </is>
      </c>
      <c r="G422" t="inlineStr">
        <is>
          <t>Item 1 — Instituição formal da Ouvidoria de Serviços Penais</t>
        </is>
      </c>
      <c r="H422" t="inlineStr">
        <is>
          <t>M1-11</t>
        </is>
      </c>
      <c r="I422" t="inlineStr">
        <is>
          <t>01_Institucionalização:M1-11</t>
        </is>
      </c>
      <c r="J422" t="inlineStr">
        <is>
          <t>Doc. SEI 37070578</t>
        </is>
      </c>
      <c r="K422" t="inlineStr">
        <is>
          <t>2026-09-23T11:46:31</t>
        </is>
      </c>
    </row>
    <row r="423">
      <c r="A423" t="n">
        <v>422</v>
      </c>
      <c r="B423" t="inlineStr">
        <is>
          <t>PA</t>
        </is>
      </c>
      <c r="C423" t="inlineStr">
        <is>
          <t>PA</t>
        </is>
      </c>
      <c r="D423" t="inlineStr">
        <is>
          <t>Pará</t>
        </is>
      </c>
      <c r="E423" t="inlineStr">
        <is>
          <t>02_Autonomia</t>
        </is>
      </c>
      <c r="F423" t="inlineStr">
        <is>
          <t>Autonomia técnica e funcional</t>
        </is>
      </c>
      <c r="G423" t="inlineStr">
        <is>
          <t>Item 1 — Garantia normativa de autonomia técnica/funcional</t>
        </is>
      </c>
      <c r="H423" t="inlineStr">
        <is>
          <t>M3-56</t>
        </is>
      </c>
      <c r="I423" t="inlineStr">
        <is>
          <t>02_Autonomia:M3-56</t>
        </is>
      </c>
      <c r="J423" t="inlineStr">
        <is>
          <t>Doc. SEI 37070578</t>
        </is>
      </c>
      <c r="K423" t="inlineStr">
        <is>
          <t>2026-09-23T11:46:31</t>
        </is>
      </c>
    </row>
    <row r="424">
      <c r="A424" t="n">
        <v>423</v>
      </c>
      <c r="B424" t="inlineStr">
        <is>
          <t>PA</t>
        </is>
      </c>
      <c r="C424" t="inlineStr">
        <is>
          <t>PA</t>
        </is>
      </c>
      <c r="D424" t="inlineStr">
        <is>
          <t>Pará</t>
        </is>
      </c>
      <c r="E424" t="inlineStr">
        <is>
          <t>02_Autonomia</t>
        </is>
      </c>
      <c r="F424" t="inlineStr">
        <is>
          <t>Autonomia técnica e funcional</t>
        </is>
      </c>
      <c r="G424" t="inlineStr">
        <is>
          <t>Item 1 — Garantia normativa de autonomia técnica/funcional</t>
        </is>
      </c>
      <c r="H424" t="inlineStr">
        <is>
          <t>M3-57</t>
        </is>
      </c>
      <c r="I424" t="inlineStr">
        <is>
          <t>02_Autonomia:M3-57</t>
        </is>
      </c>
      <c r="J424" t="inlineStr">
        <is>
          <t>Doc. SEI 37070578</t>
        </is>
      </c>
      <c r="K424" t="inlineStr">
        <is>
          <t>2026-09-23T11:46:31</t>
        </is>
      </c>
    </row>
    <row r="425">
      <c r="A425" t="n">
        <v>424</v>
      </c>
      <c r="B425" t="inlineStr">
        <is>
          <t>PA</t>
        </is>
      </c>
      <c r="C425" t="inlineStr">
        <is>
          <t>PA</t>
        </is>
      </c>
      <c r="D425" t="inlineStr">
        <is>
          <t>Pará</t>
        </is>
      </c>
      <c r="E425" t="inlineStr">
        <is>
          <t>02_Autonomia</t>
        </is>
      </c>
      <c r="F425" t="inlineStr">
        <is>
          <t>Autonomia técnica e funcional</t>
        </is>
      </c>
      <c r="G425" t="inlineStr">
        <is>
          <t>Item 2 — Condições institucionais de atuação sem interferência indevida</t>
        </is>
      </c>
      <c r="H425" t="inlineStr">
        <is>
          <t>M1-12</t>
        </is>
      </c>
      <c r="I425" t="inlineStr">
        <is>
          <t>02_Autonomia:M1-12</t>
        </is>
      </c>
      <c r="J425" t="inlineStr">
        <is>
          <t>Doc. SEI 37070578</t>
        </is>
      </c>
      <c r="K425" t="inlineStr">
        <is>
          <t>2026-09-23T11:46:31</t>
        </is>
      </c>
    </row>
    <row r="426">
      <c r="A426" t="n">
        <v>425</v>
      </c>
      <c r="B426" t="inlineStr">
        <is>
          <t>PA</t>
        </is>
      </c>
      <c r="C426" t="inlineStr">
        <is>
          <t>PA</t>
        </is>
      </c>
      <c r="D426" t="inlineStr">
        <is>
          <t>Pará</t>
        </is>
      </c>
      <c r="E426" t="inlineStr">
        <is>
          <t>02_Autonomia</t>
        </is>
      </c>
      <c r="F426" t="inlineStr">
        <is>
          <t>Autonomia técnica e funcional</t>
        </is>
      </c>
      <c r="G426" t="inlineStr">
        <is>
          <t>Item 2 — Condições institucionais de atuação sem interferência indevida</t>
        </is>
      </c>
      <c r="H426" t="inlineStr">
        <is>
          <t>M4-67</t>
        </is>
      </c>
      <c r="I426" t="inlineStr">
        <is>
          <t>02_Autonomia:M4-67</t>
        </is>
      </c>
      <c r="J426" t="inlineStr">
        <is>
          <t>Doc. SEI 37070578</t>
        </is>
      </c>
      <c r="K426" t="inlineStr">
        <is>
          <t>2026-09-23T11:46:31</t>
        </is>
      </c>
    </row>
    <row r="427">
      <c r="A427" t="n">
        <v>426</v>
      </c>
      <c r="B427" t="inlineStr">
        <is>
          <t>PA</t>
        </is>
      </c>
      <c r="C427" t="inlineStr">
        <is>
          <t>PA</t>
        </is>
      </c>
      <c r="D427" t="inlineStr">
        <is>
          <t>Pará</t>
        </is>
      </c>
      <c r="E427" t="inlineStr">
        <is>
          <t>02_Autonomia</t>
        </is>
      </c>
      <c r="F427" t="inlineStr">
        <is>
          <t>Autonomia técnica e funcional</t>
        </is>
      </c>
      <c r="G427" t="inlineStr">
        <is>
          <t>Item 2 — Condições institucionais de atuação sem interferência indevida</t>
        </is>
      </c>
      <c r="H427" t="inlineStr">
        <is>
          <t>M4-68</t>
        </is>
      </c>
      <c r="I427" t="inlineStr">
        <is>
          <t>02_Autonomia:M4-68</t>
        </is>
      </c>
      <c r="J427" t="inlineStr">
        <is>
          <t>Doc. SEI 37070578</t>
        </is>
      </c>
      <c r="K427" t="inlineStr">
        <is>
          <t>2026-09-23T11:46:31</t>
        </is>
      </c>
    </row>
    <row r="428">
      <c r="A428" t="n">
        <v>427</v>
      </c>
      <c r="B428" t="inlineStr">
        <is>
          <t>PA</t>
        </is>
      </c>
      <c r="C428" t="inlineStr">
        <is>
          <t>PA</t>
        </is>
      </c>
      <c r="D428" t="inlineStr">
        <is>
          <t>Pará</t>
        </is>
      </c>
      <c r="E428" t="inlineStr">
        <is>
          <t>03_Imparcialidade</t>
        </is>
      </c>
      <c r="F428" t="inlineStr">
        <is>
          <t>Imparcialidade, sigilo e proteção</t>
        </is>
      </c>
      <c r="G428" t="inlineStr">
        <is>
          <t>Item 1 — Proteção e tratamento de denúncias graves e sensíveis</t>
        </is>
      </c>
      <c r="H428" t="inlineStr">
        <is>
          <t>M4-69</t>
        </is>
      </c>
      <c r="I428" t="inlineStr">
        <is>
          <t>03_Imparcialidade:M4-69</t>
        </is>
      </c>
      <c r="J428" t="inlineStr">
        <is>
          <t>Doc. SEI 37070578</t>
        </is>
      </c>
      <c r="K428" t="inlineStr">
        <is>
          <t>2026-09-23T11:46:31</t>
        </is>
      </c>
    </row>
    <row r="429">
      <c r="A429" t="n">
        <v>428</v>
      </c>
      <c r="B429" t="inlineStr">
        <is>
          <t>PA</t>
        </is>
      </c>
      <c r="C429" t="inlineStr">
        <is>
          <t>PA</t>
        </is>
      </c>
      <c r="D429" t="inlineStr">
        <is>
          <t>Pará</t>
        </is>
      </c>
      <c r="E429" t="inlineStr">
        <is>
          <t>03_Imparcialidade</t>
        </is>
      </c>
      <c r="F429" t="inlineStr">
        <is>
          <t>Imparcialidade, sigilo e proteção</t>
        </is>
      </c>
      <c r="G429" t="inlineStr">
        <is>
          <t>Item 2 — Confidencialidade e sigilo da equipe</t>
        </is>
      </c>
      <c r="H429" t="inlineStr">
        <is>
          <t>M3-63</t>
        </is>
      </c>
      <c r="I429" t="inlineStr">
        <is>
          <t>03_Imparcialidade:M3-63</t>
        </is>
      </c>
      <c r="J429" t="inlineStr">
        <is>
          <t>Doc. SEI 37070578</t>
        </is>
      </c>
      <c r="K429" t="inlineStr">
        <is>
          <t>2026-09-23T11:46:31</t>
        </is>
      </c>
    </row>
    <row r="430">
      <c r="A430" t="n">
        <v>429</v>
      </c>
      <c r="B430" t="inlineStr">
        <is>
          <t>PA</t>
        </is>
      </c>
      <c r="C430" t="inlineStr">
        <is>
          <t>PA</t>
        </is>
      </c>
      <c r="D430" t="inlineStr">
        <is>
          <t>Pará</t>
        </is>
      </c>
      <c r="E430" t="inlineStr">
        <is>
          <t>04_Acessibilidade</t>
        </is>
      </c>
      <c r="F430" t="inlineStr">
        <is>
          <t>Acessibilidade e atendimento humanizado</t>
        </is>
      </c>
      <c r="G430" t="inlineStr">
        <is>
          <t>Item 1 — Canais institucionais acessíveis</t>
        </is>
      </c>
      <c r="H430" t="inlineStr">
        <is>
          <t>M2-41</t>
        </is>
      </c>
      <c r="I430" t="inlineStr">
        <is>
          <t>04_Acessibilidade:M2-41</t>
        </is>
      </c>
      <c r="J430" t="inlineStr">
        <is>
          <t>Doc. SEI 37070578</t>
        </is>
      </c>
      <c r="K430" t="inlineStr">
        <is>
          <t>2026-09-23T11:46:31</t>
        </is>
      </c>
    </row>
    <row r="431">
      <c r="A431" t="n">
        <v>430</v>
      </c>
      <c r="B431" t="inlineStr">
        <is>
          <t>PA</t>
        </is>
      </c>
      <c r="C431" t="inlineStr">
        <is>
          <t>PA</t>
        </is>
      </c>
      <c r="D431" t="inlineStr">
        <is>
          <t>Pará</t>
        </is>
      </c>
      <c r="E431" t="inlineStr">
        <is>
          <t>04_Acessibilidade</t>
        </is>
      </c>
      <c r="F431" t="inlineStr">
        <is>
          <t>Acessibilidade e atendimento humanizado</t>
        </is>
      </c>
      <c r="G431" t="inlineStr">
        <is>
          <t>Item 1 — Canais institucionais acessíveis</t>
        </is>
      </c>
      <c r="H431" t="inlineStr">
        <is>
          <t>M2-43</t>
        </is>
      </c>
      <c r="I431" t="inlineStr">
        <is>
          <t>04_Acessibilidade:M2-43</t>
        </is>
      </c>
      <c r="J431" t="inlineStr">
        <is>
          <t>Doc. SEI 37070578</t>
        </is>
      </c>
      <c r="K431" t="inlineStr">
        <is>
          <t>2026-09-23T11:46:31</t>
        </is>
      </c>
    </row>
    <row r="432">
      <c r="A432" t="n">
        <v>431</v>
      </c>
      <c r="B432" t="inlineStr">
        <is>
          <t>PA</t>
        </is>
      </c>
      <c r="C432" t="inlineStr">
        <is>
          <t>PA</t>
        </is>
      </c>
      <c r="D432" t="inlineStr">
        <is>
          <t>Pará</t>
        </is>
      </c>
      <c r="E432" t="inlineStr">
        <is>
          <t>04_Acessibilidade</t>
        </is>
      </c>
      <c r="F432" t="inlineStr">
        <is>
          <t>Acessibilidade e atendimento humanizado</t>
        </is>
      </c>
      <c r="G432" t="inlineStr">
        <is>
          <t>Item 1 — Canais institucionais acessíveis</t>
        </is>
      </c>
      <c r="H432" t="inlineStr">
        <is>
          <t>M2-47</t>
        </is>
      </c>
      <c r="I432" t="inlineStr">
        <is>
          <t>04_Acessibilidade:M2-47</t>
        </is>
      </c>
      <c r="J432" t="inlineStr">
        <is>
          <t>Doc. SEI 37070578</t>
        </is>
      </c>
      <c r="K432" t="inlineStr">
        <is>
          <t>2026-09-23T11:46:31</t>
        </is>
      </c>
    </row>
    <row r="433">
      <c r="A433" t="n">
        <v>432</v>
      </c>
      <c r="B433" t="inlineStr">
        <is>
          <t>PA</t>
        </is>
      </c>
      <c r="C433" t="inlineStr">
        <is>
          <t>PA</t>
        </is>
      </c>
      <c r="D433" t="inlineStr">
        <is>
          <t>Pará</t>
        </is>
      </c>
      <c r="E433" t="inlineStr">
        <is>
          <t>04_Acessibilidade</t>
        </is>
      </c>
      <c r="F433" t="inlineStr">
        <is>
          <t>Acessibilidade e atendimento humanizado</t>
        </is>
      </c>
      <c r="G433" t="inlineStr">
        <is>
          <t>Item 2 — Condições de atendimento reservado e acessível</t>
        </is>
      </c>
      <c r="H433" t="inlineStr">
        <is>
          <t>M2-16</t>
        </is>
      </c>
      <c r="I433" t="inlineStr">
        <is>
          <t>04_Acessibilidade:M2-16</t>
        </is>
      </c>
      <c r="J433" t="inlineStr">
        <is>
          <t>Doc. SEI 37070578</t>
        </is>
      </c>
      <c r="K433" t="inlineStr">
        <is>
          <t>2026-09-23T11:46:31</t>
        </is>
      </c>
    </row>
    <row r="434">
      <c r="A434" t="n">
        <v>433</v>
      </c>
      <c r="B434" t="inlineStr">
        <is>
          <t>PA</t>
        </is>
      </c>
      <c r="C434" t="inlineStr">
        <is>
          <t>PA</t>
        </is>
      </c>
      <c r="D434" t="inlineStr">
        <is>
          <t>Pará</t>
        </is>
      </c>
      <c r="E434" t="inlineStr">
        <is>
          <t>04_Acessibilidade</t>
        </is>
      </c>
      <c r="F434" t="inlineStr">
        <is>
          <t>Acessibilidade e atendimento humanizado</t>
        </is>
      </c>
      <c r="G434" t="inlineStr">
        <is>
          <t>Item 3 — Alcance dos públicos dos serviços penais</t>
        </is>
      </c>
      <c r="H434" t="inlineStr">
        <is>
          <t>M1-13</t>
        </is>
      </c>
      <c r="I434" t="inlineStr">
        <is>
          <t>04_Acessibilidade:M1-13</t>
        </is>
      </c>
      <c r="J434" t="inlineStr">
        <is>
          <t>Doc. SEI 37070578</t>
        </is>
      </c>
      <c r="K434" t="inlineStr">
        <is>
          <t>2026-09-23T11:46:31</t>
        </is>
      </c>
    </row>
    <row r="435">
      <c r="A435" t="n">
        <v>434</v>
      </c>
      <c r="B435" t="inlineStr">
        <is>
          <t>PA</t>
        </is>
      </c>
      <c r="C435" t="inlineStr">
        <is>
          <t>PA</t>
        </is>
      </c>
      <c r="D435" t="inlineStr">
        <is>
          <t>Pará</t>
        </is>
      </c>
      <c r="E435" t="inlineStr">
        <is>
          <t>04_Acessibilidade</t>
        </is>
      </c>
      <c r="F435" t="inlineStr">
        <is>
          <t>Acessibilidade e atendimento humanizado</t>
        </is>
      </c>
      <c r="G435" t="inlineStr">
        <is>
          <t>Item 3 — Alcance dos públicos dos serviços penais</t>
        </is>
      </c>
      <c r="H435" t="inlineStr">
        <is>
          <t>M4-64</t>
        </is>
      </c>
      <c r="I435" t="inlineStr">
        <is>
          <t>04_Acessibilidade:M4-64</t>
        </is>
      </c>
      <c r="J435" t="inlineStr">
        <is>
          <t>Doc. SEI 37070578</t>
        </is>
      </c>
      <c r="K435" t="inlineStr">
        <is>
          <t>2026-09-23T11:46:31</t>
        </is>
      </c>
    </row>
    <row r="436">
      <c r="A436" t="n">
        <v>435</v>
      </c>
      <c r="B436" t="inlineStr">
        <is>
          <t>PA</t>
        </is>
      </c>
      <c r="C436" t="inlineStr">
        <is>
          <t>PA</t>
        </is>
      </c>
      <c r="D436" t="inlineStr">
        <is>
          <t>Pará</t>
        </is>
      </c>
      <c r="E436" t="inlineStr">
        <is>
          <t>05_Transparência</t>
        </is>
      </c>
      <c r="F436" t="inlineStr">
        <is>
          <t>Transparência e publicidade</t>
        </is>
      </c>
      <c r="G436" t="inlineStr">
        <is>
          <t>Item 1 — Visibilidade institucional e divulgação dos canais</t>
        </is>
      </c>
      <c r="H436" t="inlineStr">
        <is>
          <t>M2-35</t>
        </is>
      </c>
      <c r="I436" t="inlineStr">
        <is>
          <t>05_Transparência:M2-35</t>
        </is>
      </c>
      <c r="J436" t="inlineStr">
        <is>
          <t>Doc. SEI 37070578</t>
        </is>
      </c>
      <c r="K436" t="inlineStr">
        <is>
          <t>2026-09-23T11:46:31</t>
        </is>
      </c>
    </row>
    <row r="437">
      <c r="A437" t="n">
        <v>436</v>
      </c>
      <c r="B437" t="inlineStr">
        <is>
          <t>PA</t>
        </is>
      </c>
      <c r="C437" t="inlineStr">
        <is>
          <t>PA</t>
        </is>
      </c>
      <c r="D437" t="inlineStr">
        <is>
          <t>Pará</t>
        </is>
      </c>
      <c r="E437" t="inlineStr">
        <is>
          <t>05_Transparência</t>
        </is>
      </c>
      <c r="F437" t="inlineStr">
        <is>
          <t>Transparência e publicidade</t>
        </is>
      </c>
      <c r="G437" t="inlineStr">
        <is>
          <t>Item 2 — Publicidade das ações e atividades</t>
        </is>
      </c>
      <c r="H437" t="inlineStr">
        <is>
          <t>M4-71</t>
        </is>
      </c>
      <c r="I437" t="inlineStr">
        <is>
          <t>05_Transparência:M4-71</t>
        </is>
      </c>
      <c r="J437" t="inlineStr">
        <is>
          <t>Doc. SEI 37070578</t>
        </is>
      </c>
      <c r="K437" t="inlineStr">
        <is>
          <t>2026-09-23T11:46:31</t>
        </is>
      </c>
    </row>
    <row r="438">
      <c r="A438" t="n">
        <v>437</v>
      </c>
      <c r="B438" t="inlineStr">
        <is>
          <t>PA</t>
        </is>
      </c>
      <c r="C438" t="inlineStr">
        <is>
          <t>PA</t>
        </is>
      </c>
      <c r="D438" t="inlineStr">
        <is>
          <t>Pará</t>
        </is>
      </c>
      <c r="E438" t="inlineStr">
        <is>
          <t>06_Integração Tec</t>
        </is>
      </c>
      <c r="F438" t="inlineStr">
        <is>
          <t>Integração tecnológica</t>
        </is>
      </c>
      <c r="G438" t="inlineStr">
        <is>
          <t>Item 1 — Canal eletrônico e solução para registro e gestão das manifestações</t>
        </is>
      </c>
      <c r="H438" t="inlineStr">
        <is>
          <t>M2-45</t>
        </is>
      </c>
      <c r="I438" t="inlineStr">
        <is>
          <t>06_Integração Tec:M2-45</t>
        </is>
      </c>
      <c r="J438" t="inlineStr">
        <is>
          <t>Doc. SEI 37070578</t>
        </is>
      </c>
      <c r="K438" t="inlineStr">
        <is>
          <t>2026-09-23T11:46:31</t>
        </is>
      </c>
    </row>
    <row r="439">
      <c r="A439" t="n">
        <v>438</v>
      </c>
      <c r="B439" t="inlineStr">
        <is>
          <t>PA</t>
        </is>
      </c>
      <c r="C439" t="inlineStr">
        <is>
          <t>PA</t>
        </is>
      </c>
      <c r="D439" t="inlineStr">
        <is>
          <t>Pará</t>
        </is>
      </c>
      <c r="E439" t="inlineStr">
        <is>
          <t>06_Integração Tec</t>
        </is>
      </c>
      <c r="F439" t="inlineStr">
        <is>
          <t>Integração tecnológica</t>
        </is>
      </c>
      <c r="G439" t="inlineStr">
        <is>
          <t>Item 2 — Registro, protocolo, rastreabilidade e acompanhamento</t>
        </is>
      </c>
      <c r="H439" t="inlineStr">
        <is>
          <t>M4-66</t>
        </is>
      </c>
      <c r="I439" t="inlineStr">
        <is>
          <t>06_Integração Tec:M4-66</t>
        </is>
      </c>
      <c r="J439" t="inlineStr">
        <is>
          <t>Doc. SEI 37070578</t>
        </is>
      </c>
      <c r="K439" t="inlineStr">
        <is>
          <t>2026-09-23T11:46:31</t>
        </is>
      </c>
    </row>
    <row r="440">
      <c r="A440" t="n">
        <v>439</v>
      </c>
      <c r="B440" t="inlineStr">
        <is>
          <t>PA</t>
        </is>
      </c>
      <c r="C440" t="inlineStr">
        <is>
          <t>PA</t>
        </is>
      </c>
      <c r="D440" t="inlineStr">
        <is>
          <t>Pará</t>
        </is>
      </c>
      <c r="E440" t="inlineStr">
        <is>
          <t>06_Integração Tec</t>
        </is>
      </c>
      <c r="F440" t="inlineStr">
        <is>
          <t>Integração tecnológica</t>
        </is>
      </c>
      <c r="G440" t="inlineStr">
        <is>
          <t>Item 3 — Sigilo, autenticação e controle de acesso</t>
        </is>
      </c>
      <c r="H440" t="inlineStr">
        <is>
          <t>M2-37</t>
        </is>
      </c>
      <c r="I440" t="inlineStr">
        <is>
          <t>06_Integração Tec:M2-37</t>
        </is>
      </c>
      <c r="J440" t="inlineStr">
        <is>
          <t>Doc. SEI 37070578</t>
        </is>
      </c>
      <c r="K440" t="inlineStr">
        <is>
          <t>2026-09-23T11:46:31</t>
        </is>
      </c>
    </row>
    <row r="441">
      <c r="A441" t="n">
        <v>440</v>
      </c>
      <c r="B441" t="inlineStr">
        <is>
          <t>PA</t>
        </is>
      </c>
      <c r="C441" t="inlineStr">
        <is>
          <t>PA</t>
        </is>
      </c>
      <c r="D441" t="inlineStr">
        <is>
          <t>Pará</t>
        </is>
      </c>
      <c r="E441" t="inlineStr">
        <is>
          <t>06_Integração Tec</t>
        </is>
      </c>
      <c r="F441" t="inlineStr">
        <is>
          <t>Integração tecnológica</t>
        </is>
      </c>
      <c r="G441" t="inlineStr">
        <is>
          <t>Item 4 — Computadores e acesso à internet</t>
        </is>
      </c>
      <c r="H441" t="inlineStr">
        <is>
          <t>M2-17</t>
        </is>
      </c>
      <c r="I441" t="inlineStr">
        <is>
          <t>06_Integração Tec:M2-17</t>
        </is>
      </c>
      <c r="J441" t="inlineStr">
        <is>
          <t>Doc. SEI 37070578</t>
        </is>
      </c>
      <c r="K441" t="inlineStr">
        <is>
          <t>2026-09-23T11:46:31</t>
        </is>
      </c>
    </row>
    <row r="442">
      <c r="A442" t="n">
        <v>441</v>
      </c>
      <c r="B442" t="inlineStr">
        <is>
          <t>PA</t>
        </is>
      </c>
      <c r="C442" t="inlineStr">
        <is>
          <t>PA</t>
        </is>
      </c>
      <c r="D442" t="inlineStr">
        <is>
          <t>Pará</t>
        </is>
      </c>
      <c r="E442" t="inlineStr">
        <is>
          <t>06_Integração Tec</t>
        </is>
      </c>
      <c r="F442" t="inlineStr">
        <is>
          <t>Integração tecnológica</t>
        </is>
      </c>
      <c r="G442" t="inlineStr">
        <is>
          <t>Item 5 — Impressoras e scanners</t>
        </is>
      </c>
      <c r="H442" t="inlineStr">
        <is>
          <t>M2-19</t>
        </is>
      </c>
      <c r="I442" t="inlineStr">
        <is>
          <t>06_Integração Tec:M2-19</t>
        </is>
      </c>
      <c r="J442" t="inlineStr">
        <is>
          <t>Doc. SEI 37070578</t>
        </is>
      </c>
      <c r="K442" t="inlineStr">
        <is>
          <t>2026-09-23T11:46:31</t>
        </is>
      </c>
    </row>
    <row r="443">
      <c r="A443" t="n">
        <v>442</v>
      </c>
      <c r="B443" t="inlineStr">
        <is>
          <t>PA</t>
        </is>
      </c>
      <c r="C443" t="inlineStr">
        <is>
          <t>PA</t>
        </is>
      </c>
      <c r="D443" t="inlineStr">
        <is>
          <t>Pará</t>
        </is>
      </c>
      <c r="E443" t="inlineStr">
        <is>
          <t>06_Integração Tec</t>
        </is>
      </c>
      <c r="F443" t="inlineStr">
        <is>
          <t>Integração tecnológica</t>
        </is>
      </c>
      <c r="G443" t="inlineStr">
        <is>
          <t>Item 5 — Impressoras e scanners</t>
        </is>
      </c>
      <c r="H443" t="inlineStr">
        <is>
          <t>M2-21</t>
        </is>
      </c>
      <c r="I443" t="inlineStr">
        <is>
          <t>06_Integração Tec:M2-21</t>
        </is>
      </c>
      <c r="J443" t="inlineStr">
        <is>
          <t>Doc. SEI 37070578</t>
        </is>
      </c>
      <c r="K443" t="inlineStr">
        <is>
          <t>2026-09-23T11:46:31</t>
        </is>
      </c>
    </row>
    <row r="444">
      <c r="A444" t="n">
        <v>443</v>
      </c>
      <c r="B444" t="inlineStr">
        <is>
          <t>PA</t>
        </is>
      </c>
      <c r="C444" t="inlineStr">
        <is>
          <t>PA</t>
        </is>
      </c>
      <c r="D444" t="inlineStr">
        <is>
          <t>Pará</t>
        </is>
      </c>
      <c r="E444" t="inlineStr">
        <is>
          <t>06_Integração Tec</t>
        </is>
      </c>
      <c r="F444" t="inlineStr">
        <is>
          <t>Integração tecnológica</t>
        </is>
      </c>
      <c r="G444" t="inlineStr">
        <is>
          <t>Item 6 — Aparelhos de telefone celular</t>
        </is>
      </c>
      <c r="H444" t="inlineStr">
        <is>
          <t>M2-27</t>
        </is>
      </c>
      <c r="I444" t="inlineStr">
        <is>
          <t>06_Integração Tec:M2-27</t>
        </is>
      </c>
      <c r="J444" t="inlineStr">
        <is>
          <t>Doc. SEI 37070578</t>
        </is>
      </c>
      <c r="K444" t="inlineStr">
        <is>
          <t>2026-09-23T11:46:31</t>
        </is>
      </c>
    </row>
    <row r="445">
      <c r="A445" t="n">
        <v>444</v>
      </c>
      <c r="B445" t="inlineStr">
        <is>
          <t>PA</t>
        </is>
      </c>
      <c r="C445" t="inlineStr">
        <is>
          <t>PA</t>
        </is>
      </c>
      <c r="D445" t="inlineStr">
        <is>
          <t>Pará</t>
        </is>
      </c>
      <c r="E445" t="inlineStr">
        <is>
          <t>07_Maturidade</t>
        </is>
      </c>
      <c r="F445" t="inlineStr">
        <is>
          <t>Maturidade / bônus</t>
        </is>
      </c>
      <c r="G445" t="inlineStr">
        <is>
          <t>Bônus — Uso do canal Fala.BR</t>
        </is>
      </c>
      <c r="H445" t="inlineStr">
        <is>
          <t>M2-46</t>
        </is>
      </c>
      <c r="I445" t="inlineStr">
        <is>
          <t>07_Maturidade:M2-46</t>
        </is>
      </c>
      <c r="J445" t="inlineStr">
        <is>
          <t>Doc. SEI 37070578</t>
        </is>
      </c>
      <c r="K445" t="inlineStr">
        <is>
          <t>2026-09-23T11:46:31</t>
        </is>
      </c>
    </row>
    <row r="446">
      <c r="A446" t="n">
        <v>445</v>
      </c>
      <c r="B446" t="inlineStr">
        <is>
          <t>PA</t>
        </is>
      </c>
      <c r="C446" t="inlineStr">
        <is>
          <t>PA</t>
        </is>
      </c>
      <c r="D446" t="inlineStr">
        <is>
          <t>Pará</t>
        </is>
      </c>
      <c r="E446" t="inlineStr">
        <is>
          <t>07_Maturidade</t>
        </is>
      </c>
      <c r="F446" t="inlineStr">
        <is>
          <t>Maturidade / bônus</t>
        </is>
      </c>
      <c r="G446" t="inlineStr">
        <is>
          <t>Bônus — Designação por mandato</t>
        </is>
      </c>
      <c r="H446" t="inlineStr">
        <is>
          <t>M0-08</t>
        </is>
      </c>
      <c r="I446" t="inlineStr">
        <is>
          <t>07_Maturidade:M0-08</t>
        </is>
      </c>
      <c r="J446" t="inlineStr">
        <is>
          <t>Doc. SEI 37070578</t>
        </is>
      </c>
      <c r="K446" t="inlineStr">
        <is>
          <t>2026-09-23T11:46:31</t>
        </is>
      </c>
    </row>
    <row r="447">
      <c r="A447" t="n">
        <v>446</v>
      </c>
      <c r="B447" t="inlineStr">
        <is>
          <t>PA</t>
        </is>
      </c>
      <c r="C447" t="inlineStr">
        <is>
          <t>PA</t>
        </is>
      </c>
      <c r="D447" t="inlineStr">
        <is>
          <t>Pará</t>
        </is>
      </c>
      <c r="E447" t="inlineStr">
        <is>
          <t>07_Maturidade</t>
        </is>
      </c>
      <c r="F447" t="inlineStr">
        <is>
          <t>Maturidade / bônus</t>
        </is>
      </c>
      <c r="G447" t="inlineStr">
        <is>
          <t>Bônus — Dedicação da equipe</t>
        </is>
      </c>
      <c r="H447" t="inlineStr">
        <is>
          <t>M3-60</t>
        </is>
      </c>
      <c r="I447" t="inlineStr">
        <is>
          <t>07_Maturidade:M3-60</t>
        </is>
      </c>
      <c r="J447" t="inlineStr">
        <is>
          <t>Doc. SEI 37070578</t>
        </is>
      </c>
      <c r="K447" t="inlineStr">
        <is>
          <t>2026-09-23T11:46:31</t>
        </is>
      </c>
    </row>
    <row r="448">
      <c r="A448" t="n">
        <v>447</v>
      </c>
      <c r="B448" t="inlineStr">
        <is>
          <t>PA</t>
        </is>
      </c>
      <c r="C448" t="inlineStr">
        <is>
          <t>PA</t>
        </is>
      </c>
      <c r="D448" t="inlineStr">
        <is>
          <t>Pará</t>
        </is>
      </c>
      <c r="E448" t="inlineStr">
        <is>
          <t>07_Maturidade</t>
        </is>
      </c>
      <c r="F448" t="inlineStr">
        <is>
          <t>Maturidade / bônus</t>
        </is>
      </c>
      <c r="G448" t="inlineStr">
        <is>
          <t>Bônus — Requisitos de perfil para o cargo de Ouvidor</t>
        </is>
      </c>
      <c r="H448" t="inlineStr">
        <is>
          <t>M3-58</t>
        </is>
      </c>
      <c r="I448" t="inlineStr">
        <is>
          <t>07_Maturidade:M3-58</t>
        </is>
      </c>
      <c r="J448" t="inlineStr">
        <is>
          <t>Doc. SEI 37070578</t>
        </is>
      </c>
      <c r="K448" t="inlineStr">
        <is>
          <t>2026-09-23T11:46:31</t>
        </is>
      </c>
    </row>
    <row r="449">
      <c r="A449" t="n">
        <v>448</v>
      </c>
      <c r="B449" t="inlineStr">
        <is>
          <t>PA</t>
        </is>
      </c>
      <c r="C449" t="inlineStr">
        <is>
          <t>PA</t>
        </is>
      </c>
      <c r="D449" t="inlineStr">
        <is>
          <t>Pará</t>
        </is>
      </c>
      <c r="E449" t="inlineStr">
        <is>
          <t>07_Maturidade</t>
        </is>
      </c>
      <c r="F449" t="inlineStr">
        <is>
          <t>Maturidade / bônus</t>
        </is>
      </c>
      <c r="G449" t="inlineStr">
        <is>
          <t>Bônus — WhatsApp institucional</t>
        </is>
      </c>
      <c r="H449" t="inlineStr">
        <is>
          <t>M2-50</t>
        </is>
      </c>
      <c r="I449" t="inlineStr">
        <is>
          <t>07_Maturidade:M2-50</t>
        </is>
      </c>
      <c r="J449" t="inlineStr">
        <is>
          <t>Doc. SEI 37070578</t>
        </is>
      </c>
      <c r="K449" t="inlineStr">
        <is>
          <t>2026-09-23T11:46:31</t>
        </is>
      </c>
    </row>
    <row r="450">
      <c r="A450" t="n">
        <v>449</v>
      </c>
      <c r="B450" t="inlineStr">
        <is>
          <t>PA</t>
        </is>
      </c>
      <c r="C450" t="inlineStr">
        <is>
          <t>PA</t>
        </is>
      </c>
      <c r="D450" t="inlineStr">
        <is>
          <t>Pará</t>
        </is>
      </c>
      <c r="E450" t="inlineStr">
        <is>
          <t>07_Maturidade</t>
        </is>
      </c>
      <c r="F450" t="inlineStr">
        <is>
          <t>Maturidade / bônus</t>
        </is>
      </c>
      <c r="G450" t="inlineStr">
        <is>
          <t>Bônus — Outros canais eletrônicos institucionais</t>
        </is>
      </c>
      <c r="H450" t="inlineStr">
        <is>
          <t>M2-49</t>
        </is>
      </c>
      <c r="I450" t="inlineStr">
        <is>
          <t>07_Maturidade:M2-49</t>
        </is>
      </c>
      <c r="J450" t="inlineStr">
        <is>
          <t>Doc. SEI 37070578</t>
        </is>
      </c>
      <c r="K450" t="inlineStr">
        <is>
          <t>2026-09-23T11:46:31</t>
        </is>
      </c>
    </row>
    <row r="451">
      <c r="A451" t="n">
        <v>450</v>
      </c>
      <c r="B451" t="inlineStr">
        <is>
          <t>PA</t>
        </is>
      </c>
      <c r="C451" t="inlineStr">
        <is>
          <t>PA</t>
        </is>
      </c>
      <c r="D451" t="inlineStr">
        <is>
          <t>Pará</t>
        </is>
      </c>
      <c r="E451" t="inlineStr">
        <is>
          <t>07_Maturidade</t>
        </is>
      </c>
      <c r="F451" t="inlineStr">
        <is>
          <t>Maturidade / bônus</t>
        </is>
      </c>
      <c r="G451" t="inlineStr">
        <is>
          <t>Bônus — Materiais adicionais de divulgação e educação em direitos</t>
        </is>
      </c>
      <c r="H451" t="inlineStr">
        <is>
          <t>M2-36</t>
        </is>
      </c>
      <c r="I451" t="inlineStr">
        <is>
          <t>07_Maturidade:M2-36</t>
        </is>
      </c>
      <c r="J451" t="inlineStr">
        <is>
          <t>Doc. SEI 37070578</t>
        </is>
      </c>
      <c r="K451" t="inlineStr">
        <is>
          <t>2026-09-23T11:46:31</t>
        </is>
      </c>
    </row>
    <row r="452">
      <c r="A452" t="n">
        <v>451</v>
      </c>
      <c r="B452" t="inlineStr">
        <is>
          <t>PB</t>
        </is>
      </c>
      <c r="C452" t="inlineStr">
        <is>
          <t>PB</t>
        </is>
      </c>
      <c r="D452" t="inlineStr">
        <is>
          <t>Paraíba</t>
        </is>
      </c>
      <c r="E452" t="inlineStr">
        <is>
          <t>01_Institucionalização</t>
        </is>
      </c>
      <c r="F452" t="inlineStr">
        <is>
          <t>Institucionalização</t>
        </is>
      </c>
      <c r="G452" t="inlineStr">
        <is>
          <t>Item 1 — Instituição formal da Ouvidoria de Serviços Penais</t>
        </is>
      </c>
      <c r="H452" t="inlineStr">
        <is>
          <t>M1-11</t>
        </is>
      </c>
      <c r="I452" t="inlineStr">
        <is>
          <t>01_Institucionalização:M1-11</t>
        </is>
      </c>
      <c r="J452" t="inlineStr">
        <is>
          <t>Doc. SEI 37070578</t>
        </is>
      </c>
      <c r="K452" t="inlineStr">
        <is>
          <t>2026-09-23T11:46:31</t>
        </is>
      </c>
    </row>
    <row r="453">
      <c r="A453" t="n">
        <v>452</v>
      </c>
      <c r="B453" t="inlineStr">
        <is>
          <t>PB</t>
        </is>
      </c>
      <c r="C453" t="inlineStr">
        <is>
          <t>PB</t>
        </is>
      </c>
      <c r="D453" t="inlineStr">
        <is>
          <t>Paraíba</t>
        </is>
      </c>
      <c r="E453" t="inlineStr">
        <is>
          <t>02_Autonomia</t>
        </is>
      </c>
      <c r="F453" t="inlineStr">
        <is>
          <t>Autonomia técnica e funcional</t>
        </is>
      </c>
      <c r="G453" t="inlineStr">
        <is>
          <t>Item 1 — Garantia normativa de autonomia técnica/funcional</t>
        </is>
      </c>
      <c r="H453" t="inlineStr">
        <is>
          <t>M3-56</t>
        </is>
      </c>
      <c r="I453" t="inlineStr">
        <is>
          <t>02_Autonomia:M3-56</t>
        </is>
      </c>
      <c r="J453" t="inlineStr">
        <is>
          <t>Doc. SEI 37070578</t>
        </is>
      </c>
      <c r="K453" t="inlineStr">
        <is>
          <t>2026-09-23T11:46:31</t>
        </is>
      </c>
    </row>
    <row r="454">
      <c r="A454" t="n">
        <v>453</v>
      </c>
      <c r="B454" t="inlineStr">
        <is>
          <t>PB</t>
        </is>
      </c>
      <c r="C454" t="inlineStr">
        <is>
          <t>PB</t>
        </is>
      </c>
      <c r="D454" t="inlineStr">
        <is>
          <t>Paraíba</t>
        </is>
      </c>
      <c r="E454" t="inlineStr">
        <is>
          <t>02_Autonomia</t>
        </is>
      </c>
      <c r="F454" t="inlineStr">
        <is>
          <t>Autonomia técnica e funcional</t>
        </is>
      </c>
      <c r="G454" t="inlineStr">
        <is>
          <t>Item 1 — Garantia normativa de autonomia técnica/funcional</t>
        </is>
      </c>
      <c r="H454" t="inlineStr">
        <is>
          <t>M3-57</t>
        </is>
      </c>
      <c r="I454" t="inlineStr">
        <is>
          <t>02_Autonomia:M3-57</t>
        </is>
      </c>
      <c r="J454" t="inlineStr">
        <is>
          <t>Doc. SEI 37070578</t>
        </is>
      </c>
      <c r="K454" t="inlineStr">
        <is>
          <t>2026-09-23T11:46:31</t>
        </is>
      </c>
    </row>
    <row r="455">
      <c r="A455" t="n">
        <v>454</v>
      </c>
      <c r="B455" t="inlineStr">
        <is>
          <t>PB</t>
        </is>
      </c>
      <c r="C455" t="inlineStr">
        <is>
          <t>PB</t>
        </is>
      </c>
      <c r="D455" t="inlineStr">
        <is>
          <t>Paraíba</t>
        </is>
      </c>
      <c r="E455" t="inlineStr">
        <is>
          <t>02_Autonomia</t>
        </is>
      </c>
      <c r="F455" t="inlineStr">
        <is>
          <t>Autonomia técnica e funcional</t>
        </is>
      </c>
      <c r="G455" t="inlineStr">
        <is>
          <t>Item 2 — Condições institucionais de atuação sem interferência indevida</t>
        </is>
      </c>
      <c r="H455" t="inlineStr">
        <is>
          <t>M1-12</t>
        </is>
      </c>
      <c r="I455" t="inlineStr">
        <is>
          <t>02_Autonomia:M1-12</t>
        </is>
      </c>
      <c r="J455" t="inlineStr">
        <is>
          <t>Doc. SEI 37070578</t>
        </is>
      </c>
      <c r="K455" t="inlineStr">
        <is>
          <t>2026-09-23T11:46:31</t>
        </is>
      </c>
    </row>
    <row r="456">
      <c r="A456" t="n">
        <v>455</v>
      </c>
      <c r="B456" t="inlineStr">
        <is>
          <t>PB</t>
        </is>
      </c>
      <c r="C456" t="inlineStr">
        <is>
          <t>PB</t>
        </is>
      </c>
      <c r="D456" t="inlineStr">
        <is>
          <t>Paraíba</t>
        </is>
      </c>
      <c r="E456" t="inlineStr">
        <is>
          <t>02_Autonomia</t>
        </is>
      </c>
      <c r="F456" t="inlineStr">
        <is>
          <t>Autonomia técnica e funcional</t>
        </is>
      </c>
      <c r="G456" t="inlineStr">
        <is>
          <t>Item 2 — Condições institucionais de atuação sem interferência indevida</t>
        </is>
      </c>
      <c r="H456" t="inlineStr">
        <is>
          <t>M4-67</t>
        </is>
      </c>
      <c r="I456" t="inlineStr">
        <is>
          <t>02_Autonomia:M4-67</t>
        </is>
      </c>
      <c r="J456" t="inlineStr">
        <is>
          <t>Doc. SEI 37070578</t>
        </is>
      </c>
      <c r="K456" t="inlineStr">
        <is>
          <t>2026-09-23T11:46:31</t>
        </is>
      </c>
    </row>
    <row r="457">
      <c r="A457" t="n">
        <v>456</v>
      </c>
      <c r="B457" t="inlineStr">
        <is>
          <t>PB</t>
        </is>
      </c>
      <c r="C457" t="inlineStr">
        <is>
          <t>PB</t>
        </is>
      </c>
      <c r="D457" t="inlineStr">
        <is>
          <t>Paraíba</t>
        </is>
      </c>
      <c r="E457" t="inlineStr">
        <is>
          <t>02_Autonomia</t>
        </is>
      </c>
      <c r="F457" t="inlineStr">
        <is>
          <t>Autonomia técnica e funcional</t>
        </is>
      </c>
      <c r="G457" t="inlineStr">
        <is>
          <t>Item 2 — Condições institucionais de atuação sem interferência indevida</t>
        </is>
      </c>
      <c r="H457" t="inlineStr">
        <is>
          <t>M4-68</t>
        </is>
      </c>
      <c r="I457" t="inlineStr">
        <is>
          <t>02_Autonomia:M4-68</t>
        </is>
      </c>
      <c r="J457" t="inlineStr">
        <is>
          <t>Doc. SEI 37070578</t>
        </is>
      </c>
      <c r="K457" t="inlineStr">
        <is>
          <t>2026-09-23T11:46:31</t>
        </is>
      </c>
    </row>
    <row r="458">
      <c r="A458" t="n">
        <v>457</v>
      </c>
      <c r="B458" t="inlineStr">
        <is>
          <t>PB</t>
        </is>
      </c>
      <c r="C458" t="inlineStr">
        <is>
          <t>PB</t>
        </is>
      </c>
      <c r="D458" t="inlineStr">
        <is>
          <t>Paraíba</t>
        </is>
      </c>
      <c r="E458" t="inlineStr">
        <is>
          <t>03_Imparcialidade</t>
        </is>
      </c>
      <c r="F458" t="inlineStr">
        <is>
          <t>Imparcialidade, sigilo e proteção</t>
        </is>
      </c>
      <c r="G458" t="inlineStr">
        <is>
          <t>Item 1 — Proteção e tratamento de denúncias graves e sensíveis</t>
        </is>
      </c>
      <c r="H458" t="inlineStr">
        <is>
          <t>M4-69</t>
        </is>
      </c>
      <c r="I458" t="inlineStr">
        <is>
          <t>03_Imparcialidade:M4-69</t>
        </is>
      </c>
      <c r="J458" t="inlineStr">
        <is>
          <t>Doc. SEI 37070578</t>
        </is>
      </c>
      <c r="K458" t="inlineStr">
        <is>
          <t>2026-09-23T11:46:31</t>
        </is>
      </c>
    </row>
    <row r="459">
      <c r="A459" t="n">
        <v>458</v>
      </c>
      <c r="B459" t="inlineStr">
        <is>
          <t>PB</t>
        </is>
      </c>
      <c r="C459" t="inlineStr">
        <is>
          <t>PB</t>
        </is>
      </c>
      <c r="D459" t="inlineStr">
        <is>
          <t>Paraíba</t>
        </is>
      </c>
      <c r="E459" t="inlineStr">
        <is>
          <t>03_Imparcialidade</t>
        </is>
      </c>
      <c r="F459" t="inlineStr">
        <is>
          <t>Imparcialidade, sigilo e proteção</t>
        </is>
      </c>
      <c r="G459" t="inlineStr">
        <is>
          <t>Item 2 — Confidencialidade e sigilo da equipe</t>
        </is>
      </c>
      <c r="H459" t="inlineStr">
        <is>
          <t>M3-63</t>
        </is>
      </c>
      <c r="I459" t="inlineStr">
        <is>
          <t>03_Imparcialidade:M3-63</t>
        </is>
      </c>
      <c r="J459" t="inlineStr">
        <is>
          <t>Doc. SEI 37070578</t>
        </is>
      </c>
      <c r="K459" t="inlineStr">
        <is>
          <t>2026-09-23T11:46:31</t>
        </is>
      </c>
    </row>
    <row r="460">
      <c r="A460" t="n">
        <v>459</v>
      </c>
      <c r="B460" t="inlineStr">
        <is>
          <t>PB</t>
        </is>
      </c>
      <c r="C460" t="inlineStr">
        <is>
          <t>PB</t>
        </is>
      </c>
      <c r="D460" t="inlineStr">
        <is>
          <t>Paraíba</t>
        </is>
      </c>
      <c r="E460" t="inlineStr">
        <is>
          <t>04_Acessibilidade</t>
        </is>
      </c>
      <c r="F460" t="inlineStr">
        <is>
          <t>Acessibilidade e atendimento humanizado</t>
        </is>
      </c>
      <c r="G460" t="inlineStr">
        <is>
          <t>Item 1 — Canais institucionais acessíveis</t>
        </is>
      </c>
      <c r="H460" t="inlineStr">
        <is>
          <t>M2-41</t>
        </is>
      </c>
      <c r="I460" t="inlineStr">
        <is>
          <t>04_Acessibilidade:M2-41</t>
        </is>
      </c>
      <c r="J460" t="inlineStr">
        <is>
          <t>Doc. SEI 37070578</t>
        </is>
      </c>
      <c r="K460" t="inlineStr">
        <is>
          <t>2026-09-23T11:46:31</t>
        </is>
      </c>
    </row>
    <row r="461">
      <c r="A461" t="n">
        <v>460</v>
      </c>
      <c r="B461" t="inlineStr">
        <is>
          <t>PB</t>
        </is>
      </c>
      <c r="C461" t="inlineStr">
        <is>
          <t>PB</t>
        </is>
      </c>
      <c r="D461" t="inlineStr">
        <is>
          <t>Paraíba</t>
        </is>
      </c>
      <c r="E461" t="inlineStr">
        <is>
          <t>04_Acessibilidade</t>
        </is>
      </c>
      <c r="F461" t="inlineStr">
        <is>
          <t>Acessibilidade e atendimento humanizado</t>
        </is>
      </c>
      <c r="G461" t="inlineStr">
        <is>
          <t>Item 1 — Canais institucionais acessíveis</t>
        </is>
      </c>
      <c r="H461" t="inlineStr">
        <is>
          <t>M2-43</t>
        </is>
      </c>
      <c r="I461" t="inlineStr">
        <is>
          <t>04_Acessibilidade:M2-43</t>
        </is>
      </c>
      <c r="J461" t="inlineStr">
        <is>
          <t>Doc. SEI 37070578</t>
        </is>
      </c>
      <c r="K461" t="inlineStr">
        <is>
          <t>2026-09-23T11:46:31</t>
        </is>
      </c>
    </row>
    <row r="462">
      <c r="A462" t="n">
        <v>461</v>
      </c>
      <c r="B462" t="inlineStr">
        <is>
          <t>PB</t>
        </is>
      </c>
      <c r="C462" t="inlineStr">
        <is>
          <t>PB</t>
        </is>
      </c>
      <c r="D462" t="inlineStr">
        <is>
          <t>Paraíba</t>
        </is>
      </c>
      <c r="E462" t="inlineStr">
        <is>
          <t>04_Acessibilidade</t>
        </is>
      </c>
      <c r="F462" t="inlineStr">
        <is>
          <t>Acessibilidade e atendimento humanizado</t>
        </is>
      </c>
      <c r="G462" t="inlineStr">
        <is>
          <t>Item 1 — Canais institucionais acessíveis</t>
        </is>
      </c>
      <c r="H462" t="inlineStr">
        <is>
          <t>M2-47</t>
        </is>
      </c>
      <c r="I462" t="inlineStr">
        <is>
          <t>04_Acessibilidade:M2-47</t>
        </is>
      </c>
      <c r="J462" t="inlineStr">
        <is>
          <t>Doc. SEI 37070578</t>
        </is>
      </c>
      <c r="K462" t="inlineStr">
        <is>
          <t>2026-09-23T11:46:31</t>
        </is>
      </c>
    </row>
    <row r="463">
      <c r="A463" t="n">
        <v>462</v>
      </c>
      <c r="B463" t="inlineStr">
        <is>
          <t>PB</t>
        </is>
      </c>
      <c r="C463" t="inlineStr">
        <is>
          <t>PB</t>
        </is>
      </c>
      <c r="D463" t="inlineStr">
        <is>
          <t>Paraíba</t>
        </is>
      </c>
      <c r="E463" t="inlineStr">
        <is>
          <t>04_Acessibilidade</t>
        </is>
      </c>
      <c r="F463" t="inlineStr">
        <is>
          <t>Acessibilidade e atendimento humanizado</t>
        </is>
      </c>
      <c r="G463" t="inlineStr">
        <is>
          <t>Item 2 — Condições de atendimento reservado e acessível</t>
        </is>
      </c>
      <c r="H463" t="inlineStr">
        <is>
          <t>M2-16</t>
        </is>
      </c>
      <c r="I463" t="inlineStr">
        <is>
          <t>04_Acessibilidade:M2-16</t>
        </is>
      </c>
      <c r="J463" t="inlineStr">
        <is>
          <t>Doc. SEI 37070578</t>
        </is>
      </c>
      <c r="K463" t="inlineStr">
        <is>
          <t>2026-09-23T11:46:31</t>
        </is>
      </c>
    </row>
    <row r="464">
      <c r="A464" t="n">
        <v>463</v>
      </c>
      <c r="B464" t="inlineStr">
        <is>
          <t>PB</t>
        </is>
      </c>
      <c r="C464" t="inlineStr">
        <is>
          <t>PB</t>
        </is>
      </c>
      <c r="D464" t="inlineStr">
        <is>
          <t>Paraíba</t>
        </is>
      </c>
      <c r="E464" t="inlineStr">
        <is>
          <t>04_Acessibilidade</t>
        </is>
      </c>
      <c r="F464" t="inlineStr">
        <is>
          <t>Acessibilidade e atendimento humanizado</t>
        </is>
      </c>
      <c r="G464" t="inlineStr">
        <is>
          <t>Item 3 — Alcance dos públicos dos serviços penais</t>
        </is>
      </c>
      <c r="H464" t="inlineStr">
        <is>
          <t>M1-13</t>
        </is>
      </c>
      <c r="I464" t="inlineStr">
        <is>
          <t>04_Acessibilidade:M1-13</t>
        </is>
      </c>
      <c r="J464" t="inlineStr">
        <is>
          <t>Doc. SEI 37070578</t>
        </is>
      </c>
      <c r="K464" t="inlineStr">
        <is>
          <t>2026-09-23T11:46:31</t>
        </is>
      </c>
    </row>
    <row r="465">
      <c r="A465" t="n">
        <v>464</v>
      </c>
      <c r="B465" t="inlineStr">
        <is>
          <t>PB</t>
        </is>
      </c>
      <c r="C465" t="inlineStr">
        <is>
          <t>PB</t>
        </is>
      </c>
      <c r="D465" t="inlineStr">
        <is>
          <t>Paraíba</t>
        </is>
      </c>
      <c r="E465" t="inlineStr">
        <is>
          <t>04_Acessibilidade</t>
        </is>
      </c>
      <c r="F465" t="inlineStr">
        <is>
          <t>Acessibilidade e atendimento humanizado</t>
        </is>
      </c>
      <c r="G465" t="inlineStr">
        <is>
          <t>Item 3 — Alcance dos públicos dos serviços penais</t>
        </is>
      </c>
      <c r="H465" t="inlineStr">
        <is>
          <t>M4-64</t>
        </is>
      </c>
      <c r="I465" t="inlineStr">
        <is>
          <t>04_Acessibilidade:M4-64</t>
        </is>
      </c>
      <c r="J465" t="inlineStr">
        <is>
          <t>Doc. SEI 37070578</t>
        </is>
      </c>
      <c r="K465" t="inlineStr">
        <is>
          <t>2026-09-23T11:46:31</t>
        </is>
      </c>
    </row>
    <row r="466">
      <c r="A466" t="n">
        <v>465</v>
      </c>
      <c r="B466" t="inlineStr">
        <is>
          <t>PB</t>
        </is>
      </c>
      <c r="C466" t="inlineStr">
        <is>
          <t>PB</t>
        </is>
      </c>
      <c r="D466" t="inlineStr">
        <is>
          <t>Paraíba</t>
        </is>
      </c>
      <c r="E466" t="inlineStr">
        <is>
          <t>05_Transparência</t>
        </is>
      </c>
      <c r="F466" t="inlineStr">
        <is>
          <t>Transparência e publicidade</t>
        </is>
      </c>
      <c r="G466" t="inlineStr">
        <is>
          <t>Item 1 — Visibilidade institucional e divulgação dos canais</t>
        </is>
      </c>
      <c r="H466" t="inlineStr">
        <is>
          <t>M2-35</t>
        </is>
      </c>
      <c r="I466" t="inlineStr">
        <is>
          <t>05_Transparência:M2-35</t>
        </is>
      </c>
      <c r="J466" t="inlineStr">
        <is>
          <t>Doc. SEI 37070578</t>
        </is>
      </c>
      <c r="K466" t="inlineStr">
        <is>
          <t>2026-09-23T11:46:31</t>
        </is>
      </c>
    </row>
    <row r="467">
      <c r="A467" t="n">
        <v>466</v>
      </c>
      <c r="B467" t="inlineStr">
        <is>
          <t>PB</t>
        </is>
      </c>
      <c r="C467" t="inlineStr">
        <is>
          <t>PB</t>
        </is>
      </c>
      <c r="D467" t="inlineStr">
        <is>
          <t>Paraíba</t>
        </is>
      </c>
      <c r="E467" t="inlineStr">
        <is>
          <t>05_Transparência</t>
        </is>
      </c>
      <c r="F467" t="inlineStr">
        <is>
          <t>Transparência e publicidade</t>
        </is>
      </c>
      <c r="G467" t="inlineStr">
        <is>
          <t>Item 2 — Publicidade das ações e atividades</t>
        </is>
      </c>
      <c r="H467" t="inlineStr">
        <is>
          <t>M4-71</t>
        </is>
      </c>
      <c r="I467" t="inlineStr">
        <is>
          <t>05_Transparência:M4-71</t>
        </is>
      </c>
      <c r="J467" t="inlineStr">
        <is>
          <t>Doc. SEI 37070578</t>
        </is>
      </c>
      <c r="K467" t="inlineStr">
        <is>
          <t>2026-09-23T11:46:31</t>
        </is>
      </c>
    </row>
    <row r="468">
      <c r="A468" t="n">
        <v>467</v>
      </c>
      <c r="B468" t="inlineStr">
        <is>
          <t>PB</t>
        </is>
      </c>
      <c r="C468" t="inlineStr">
        <is>
          <t>PB</t>
        </is>
      </c>
      <c r="D468" t="inlineStr">
        <is>
          <t>Paraíba</t>
        </is>
      </c>
      <c r="E468" t="inlineStr">
        <is>
          <t>06_Integração Tec</t>
        </is>
      </c>
      <c r="F468" t="inlineStr">
        <is>
          <t>Integração tecnológica</t>
        </is>
      </c>
      <c r="G468" t="inlineStr">
        <is>
          <t>Item 1 — Canal eletrônico e solução para registro e gestão das manifestações</t>
        </is>
      </c>
      <c r="H468" t="inlineStr">
        <is>
          <t>M2-45</t>
        </is>
      </c>
      <c r="I468" t="inlineStr">
        <is>
          <t>06_Integração Tec:M2-45</t>
        </is>
      </c>
      <c r="J468" t="inlineStr">
        <is>
          <t>Doc. SEI 37070578</t>
        </is>
      </c>
      <c r="K468" t="inlineStr">
        <is>
          <t>2026-09-23T11:46:31</t>
        </is>
      </c>
    </row>
    <row r="469">
      <c r="A469" t="n">
        <v>468</v>
      </c>
      <c r="B469" t="inlineStr">
        <is>
          <t>PB</t>
        </is>
      </c>
      <c r="C469" t="inlineStr">
        <is>
          <t>PB</t>
        </is>
      </c>
      <c r="D469" t="inlineStr">
        <is>
          <t>Paraíba</t>
        </is>
      </c>
      <c r="E469" t="inlineStr">
        <is>
          <t>06_Integração Tec</t>
        </is>
      </c>
      <c r="F469" t="inlineStr">
        <is>
          <t>Integração tecnológica</t>
        </is>
      </c>
      <c r="G469" t="inlineStr">
        <is>
          <t>Item 2 — Registro, protocolo, rastreabilidade e acompanhamento</t>
        </is>
      </c>
      <c r="H469" t="inlineStr">
        <is>
          <t>M4-66</t>
        </is>
      </c>
      <c r="I469" t="inlineStr">
        <is>
          <t>06_Integração Tec:M4-66</t>
        </is>
      </c>
      <c r="J469" t="inlineStr">
        <is>
          <t>Doc. SEI 37070578</t>
        </is>
      </c>
      <c r="K469" t="inlineStr">
        <is>
          <t>2026-09-23T11:46:31</t>
        </is>
      </c>
    </row>
    <row r="470">
      <c r="A470" t="n">
        <v>469</v>
      </c>
      <c r="B470" t="inlineStr">
        <is>
          <t>PB</t>
        </is>
      </c>
      <c r="C470" t="inlineStr">
        <is>
          <t>PB</t>
        </is>
      </c>
      <c r="D470" t="inlineStr">
        <is>
          <t>Paraíba</t>
        </is>
      </c>
      <c r="E470" t="inlineStr">
        <is>
          <t>06_Integração Tec</t>
        </is>
      </c>
      <c r="F470" t="inlineStr">
        <is>
          <t>Integração tecnológica</t>
        </is>
      </c>
      <c r="G470" t="inlineStr">
        <is>
          <t>Item 3 — Sigilo, autenticação e controle de acesso</t>
        </is>
      </c>
      <c r="H470" t="inlineStr">
        <is>
          <t>M2-37</t>
        </is>
      </c>
      <c r="I470" t="inlineStr">
        <is>
          <t>06_Integração Tec:M2-37</t>
        </is>
      </c>
      <c r="J470" t="inlineStr">
        <is>
          <t>Doc. SEI 37070578</t>
        </is>
      </c>
      <c r="K470" t="inlineStr">
        <is>
          <t>2026-09-23T11:46:31</t>
        </is>
      </c>
    </row>
    <row r="471">
      <c r="A471" t="n">
        <v>470</v>
      </c>
      <c r="B471" t="inlineStr">
        <is>
          <t>PB</t>
        </is>
      </c>
      <c r="C471" t="inlineStr">
        <is>
          <t>PB</t>
        </is>
      </c>
      <c r="D471" t="inlineStr">
        <is>
          <t>Paraíba</t>
        </is>
      </c>
      <c r="E471" t="inlineStr">
        <is>
          <t>06_Integração Tec</t>
        </is>
      </c>
      <c r="F471" t="inlineStr">
        <is>
          <t>Integração tecnológica</t>
        </is>
      </c>
      <c r="G471" t="inlineStr">
        <is>
          <t>Item 4 — Computadores e acesso à internet</t>
        </is>
      </c>
      <c r="H471" t="inlineStr">
        <is>
          <t>M2-17</t>
        </is>
      </c>
      <c r="I471" t="inlineStr">
        <is>
          <t>06_Integração Tec:M2-17</t>
        </is>
      </c>
      <c r="J471" t="inlineStr">
        <is>
          <t>Doc. SEI 37070578</t>
        </is>
      </c>
      <c r="K471" t="inlineStr">
        <is>
          <t>2026-09-23T11:46:31</t>
        </is>
      </c>
    </row>
    <row r="472">
      <c r="A472" t="n">
        <v>471</v>
      </c>
      <c r="B472" t="inlineStr">
        <is>
          <t>PB</t>
        </is>
      </c>
      <c r="C472" t="inlineStr">
        <is>
          <t>PB</t>
        </is>
      </c>
      <c r="D472" t="inlineStr">
        <is>
          <t>Paraíba</t>
        </is>
      </c>
      <c r="E472" t="inlineStr">
        <is>
          <t>06_Integração Tec</t>
        </is>
      </c>
      <c r="F472" t="inlineStr">
        <is>
          <t>Integração tecnológica</t>
        </is>
      </c>
      <c r="G472" t="inlineStr">
        <is>
          <t>Item 5 — Impressoras e scanners</t>
        </is>
      </c>
      <c r="H472" t="inlineStr">
        <is>
          <t>M2-19</t>
        </is>
      </c>
      <c r="I472" t="inlineStr">
        <is>
          <t>06_Integração Tec:M2-19</t>
        </is>
      </c>
      <c r="J472" t="inlineStr">
        <is>
          <t>Doc. SEI 37070578</t>
        </is>
      </c>
      <c r="K472" t="inlineStr">
        <is>
          <t>2026-09-23T11:46:31</t>
        </is>
      </c>
    </row>
    <row r="473">
      <c r="A473" t="n">
        <v>472</v>
      </c>
      <c r="B473" t="inlineStr">
        <is>
          <t>PB</t>
        </is>
      </c>
      <c r="C473" t="inlineStr">
        <is>
          <t>PB</t>
        </is>
      </c>
      <c r="D473" t="inlineStr">
        <is>
          <t>Paraíba</t>
        </is>
      </c>
      <c r="E473" t="inlineStr">
        <is>
          <t>06_Integração Tec</t>
        </is>
      </c>
      <c r="F473" t="inlineStr">
        <is>
          <t>Integração tecnológica</t>
        </is>
      </c>
      <c r="G473" t="inlineStr">
        <is>
          <t>Item 5 — Impressoras e scanners</t>
        </is>
      </c>
      <c r="H473" t="inlineStr">
        <is>
          <t>M2-21</t>
        </is>
      </c>
      <c r="I473" t="inlineStr">
        <is>
          <t>06_Integração Tec:M2-21</t>
        </is>
      </c>
      <c r="J473" t="inlineStr">
        <is>
          <t>Doc. SEI 37070578</t>
        </is>
      </c>
      <c r="K473" t="inlineStr">
        <is>
          <t>2026-09-23T11:46:31</t>
        </is>
      </c>
    </row>
    <row r="474">
      <c r="A474" t="n">
        <v>473</v>
      </c>
      <c r="B474" t="inlineStr">
        <is>
          <t>PB</t>
        </is>
      </c>
      <c r="C474" t="inlineStr">
        <is>
          <t>PB</t>
        </is>
      </c>
      <c r="D474" t="inlineStr">
        <is>
          <t>Paraíba</t>
        </is>
      </c>
      <c r="E474" t="inlineStr">
        <is>
          <t>06_Integração Tec</t>
        </is>
      </c>
      <c r="F474" t="inlineStr">
        <is>
          <t>Integração tecnológica</t>
        </is>
      </c>
      <c r="G474" t="inlineStr">
        <is>
          <t>Item 6 — Aparelhos de telefone celular</t>
        </is>
      </c>
      <c r="H474" t="inlineStr">
        <is>
          <t>M2-27</t>
        </is>
      </c>
      <c r="I474" t="inlineStr">
        <is>
          <t>06_Integração Tec:M2-27</t>
        </is>
      </c>
      <c r="J474" t="inlineStr">
        <is>
          <t>Doc. SEI 37070578</t>
        </is>
      </c>
      <c r="K474" t="inlineStr">
        <is>
          <t>2026-09-23T11:46:31</t>
        </is>
      </c>
    </row>
    <row r="475">
      <c r="A475" t="n">
        <v>474</v>
      </c>
      <c r="B475" t="inlineStr">
        <is>
          <t>PB</t>
        </is>
      </c>
      <c r="C475" t="inlineStr">
        <is>
          <t>PB</t>
        </is>
      </c>
      <c r="D475" t="inlineStr">
        <is>
          <t>Paraíba</t>
        </is>
      </c>
      <c r="E475" t="inlineStr">
        <is>
          <t>07_Maturidade</t>
        </is>
      </c>
      <c r="F475" t="inlineStr">
        <is>
          <t>Maturidade / bônus</t>
        </is>
      </c>
      <c r="G475" t="inlineStr">
        <is>
          <t>Bônus — Uso do canal Fala.BR</t>
        </is>
      </c>
      <c r="H475" t="inlineStr">
        <is>
          <t>M2-46</t>
        </is>
      </c>
      <c r="I475" t="inlineStr">
        <is>
          <t>07_Maturidade:M2-46</t>
        </is>
      </c>
      <c r="J475" t="inlineStr">
        <is>
          <t>Doc. SEI 37070578</t>
        </is>
      </c>
      <c r="K475" t="inlineStr">
        <is>
          <t>2026-09-23T11:46:31</t>
        </is>
      </c>
    </row>
    <row r="476">
      <c r="A476" t="n">
        <v>475</v>
      </c>
      <c r="B476" t="inlineStr">
        <is>
          <t>PB</t>
        </is>
      </c>
      <c r="C476" t="inlineStr">
        <is>
          <t>PB</t>
        </is>
      </c>
      <c r="D476" t="inlineStr">
        <is>
          <t>Paraíba</t>
        </is>
      </c>
      <c r="E476" t="inlineStr">
        <is>
          <t>07_Maturidade</t>
        </is>
      </c>
      <c r="F476" t="inlineStr">
        <is>
          <t>Maturidade / bônus</t>
        </is>
      </c>
      <c r="G476" t="inlineStr">
        <is>
          <t>Bônus — Designação por mandato</t>
        </is>
      </c>
      <c r="H476" t="inlineStr">
        <is>
          <t>M0-08</t>
        </is>
      </c>
      <c r="I476" t="inlineStr">
        <is>
          <t>07_Maturidade:M0-08</t>
        </is>
      </c>
      <c r="J476" t="inlineStr">
        <is>
          <t>Doc. SEI 37070578</t>
        </is>
      </c>
      <c r="K476" t="inlineStr">
        <is>
          <t>2026-09-23T11:46:31</t>
        </is>
      </c>
    </row>
    <row r="477">
      <c r="A477" t="n">
        <v>476</v>
      </c>
      <c r="B477" t="inlineStr">
        <is>
          <t>PB</t>
        </is>
      </c>
      <c r="C477" t="inlineStr">
        <is>
          <t>PB</t>
        </is>
      </c>
      <c r="D477" t="inlineStr">
        <is>
          <t>Paraíba</t>
        </is>
      </c>
      <c r="E477" t="inlineStr">
        <is>
          <t>07_Maturidade</t>
        </is>
      </c>
      <c r="F477" t="inlineStr">
        <is>
          <t>Maturidade / bônus</t>
        </is>
      </c>
      <c r="G477" t="inlineStr">
        <is>
          <t>Bônus — Dedicação da equipe</t>
        </is>
      </c>
      <c r="H477" t="inlineStr">
        <is>
          <t>M3-60</t>
        </is>
      </c>
      <c r="I477" t="inlineStr">
        <is>
          <t>07_Maturidade:M3-60</t>
        </is>
      </c>
      <c r="J477" t="inlineStr">
        <is>
          <t>Doc. SEI 37070578</t>
        </is>
      </c>
      <c r="K477" t="inlineStr">
        <is>
          <t>2026-09-23T11:46:31</t>
        </is>
      </c>
    </row>
    <row r="478">
      <c r="A478" t="n">
        <v>477</v>
      </c>
      <c r="B478" t="inlineStr">
        <is>
          <t>PB</t>
        </is>
      </c>
      <c r="C478" t="inlineStr">
        <is>
          <t>PB</t>
        </is>
      </c>
      <c r="D478" t="inlineStr">
        <is>
          <t>Paraíba</t>
        </is>
      </c>
      <c r="E478" t="inlineStr">
        <is>
          <t>07_Maturidade</t>
        </is>
      </c>
      <c r="F478" t="inlineStr">
        <is>
          <t>Maturidade / bônus</t>
        </is>
      </c>
      <c r="G478" t="inlineStr">
        <is>
          <t>Bônus — Requisitos de perfil para o cargo de Ouvidor</t>
        </is>
      </c>
      <c r="H478" t="inlineStr">
        <is>
          <t>M3-58</t>
        </is>
      </c>
      <c r="I478" t="inlineStr">
        <is>
          <t>07_Maturidade:M3-58</t>
        </is>
      </c>
      <c r="J478" t="inlineStr">
        <is>
          <t>Doc. SEI 37070578</t>
        </is>
      </c>
      <c r="K478" t="inlineStr">
        <is>
          <t>2026-09-23T11:46:31</t>
        </is>
      </c>
    </row>
    <row r="479">
      <c r="A479" t="n">
        <v>478</v>
      </c>
      <c r="B479" t="inlineStr">
        <is>
          <t>PB</t>
        </is>
      </c>
      <c r="C479" t="inlineStr">
        <is>
          <t>PB</t>
        </is>
      </c>
      <c r="D479" t="inlineStr">
        <is>
          <t>Paraíba</t>
        </is>
      </c>
      <c r="E479" t="inlineStr">
        <is>
          <t>07_Maturidade</t>
        </is>
      </c>
      <c r="F479" t="inlineStr">
        <is>
          <t>Maturidade / bônus</t>
        </is>
      </c>
      <c r="G479" t="inlineStr">
        <is>
          <t>Bônus — WhatsApp institucional</t>
        </is>
      </c>
      <c r="H479" t="inlineStr">
        <is>
          <t>M2-50</t>
        </is>
      </c>
      <c r="I479" t="inlineStr">
        <is>
          <t>07_Maturidade:M2-50</t>
        </is>
      </c>
      <c r="J479" t="inlineStr">
        <is>
          <t>Doc. SEI 37070578</t>
        </is>
      </c>
      <c r="K479" t="inlineStr">
        <is>
          <t>2026-09-23T11:46:31</t>
        </is>
      </c>
    </row>
    <row r="480">
      <c r="A480" t="n">
        <v>479</v>
      </c>
      <c r="B480" t="inlineStr">
        <is>
          <t>PB</t>
        </is>
      </c>
      <c r="C480" t="inlineStr">
        <is>
          <t>PB</t>
        </is>
      </c>
      <c r="D480" t="inlineStr">
        <is>
          <t>Paraíba</t>
        </is>
      </c>
      <c r="E480" t="inlineStr">
        <is>
          <t>07_Maturidade</t>
        </is>
      </c>
      <c r="F480" t="inlineStr">
        <is>
          <t>Maturidade / bônus</t>
        </is>
      </c>
      <c r="G480" t="inlineStr">
        <is>
          <t>Bônus — Outros canais eletrônicos institucionais</t>
        </is>
      </c>
      <c r="H480" t="inlineStr">
        <is>
          <t>M2-49</t>
        </is>
      </c>
      <c r="I480" t="inlineStr">
        <is>
          <t>07_Maturidade:M2-49</t>
        </is>
      </c>
      <c r="J480" t="inlineStr">
        <is>
          <t>Doc. SEI 37070578</t>
        </is>
      </c>
      <c r="K480" t="inlineStr">
        <is>
          <t>2026-09-23T11:46:31</t>
        </is>
      </c>
    </row>
    <row r="481">
      <c r="A481" t="n">
        <v>480</v>
      </c>
      <c r="B481" t="inlineStr">
        <is>
          <t>PB</t>
        </is>
      </c>
      <c r="C481" t="inlineStr">
        <is>
          <t>PB</t>
        </is>
      </c>
      <c r="D481" t="inlineStr">
        <is>
          <t>Paraíba</t>
        </is>
      </c>
      <c r="E481" t="inlineStr">
        <is>
          <t>07_Maturidade</t>
        </is>
      </c>
      <c r="F481" t="inlineStr">
        <is>
          <t>Maturidade / bônus</t>
        </is>
      </c>
      <c r="G481" t="inlineStr">
        <is>
          <t>Bônus — Materiais adicionais de divulgação e educação em direitos</t>
        </is>
      </c>
      <c r="H481" t="inlineStr">
        <is>
          <t>M2-36</t>
        </is>
      </c>
      <c r="I481" t="inlineStr">
        <is>
          <t>07_Maturidade:M2-36</t>
        </is>
      </c>
      <c r="J481" t="inlineStr">
        <is>
          <t>Doc. SEI 37070578</t>
        </is>
      </c>
      <c r="K481" t="inlineStr">
        <is>
          <t>2026-09-23T11:46:31</t>
        </is>
      </c>
    </row>
    <row r="482">
      <c r="A482" t="n">
        <v>481</v>
      </c>
      <c r="B482" t="inlineStr">
        <is>
          <t>PR</t>
        </is>
      </c>
      <c r="C482" t="inlineStr">
        <is>
          <t>PR</t>
        </is>
      </c>
      <c r="D482" t="inlineStr">
        <is>
          <t>Paraná</t>
        </is>
      </c>
      <c r="E482" t="inlineStr">
        <is>
          <t>01_Institucionalização</t>
        </is>
      </c>
      <c r="F482" t="inlineStr">
        <is>
          <t>Institucionalização</t>
        </is>
      </c>
      <c r="G482" t="inlineStr">
        <is>
          <t>Item 1 — Instituição formal da Ouvidoria de Serviços Penais</t>
        </is>
      </c>
      <c r="H482" t="inlineStr">
        <is>
          <t>M1-11</t>
        </is>
      </c>
      <c r="I482" t="inlineStr">
        <is>
          <t>01_Institucionalização:M1-11</t>
        </is>
      </c>
      <c r="J482" t="inlineStr">
        <is>
          <t>Doc. SEI 37070578</t>
        </is>
      </c>
      <c r="K482" t="inlineStr">
        <is>
          <t>2026-09-23T11:46:31</t>
        </is>
      </c>
    </row>
    <row r="483">
      <c r="A483" t="n">
        <v>482</v>
      </c>
      <c r="B483" t="inlineStr">
        <is>
          <t>PR</t>
        </is>
      </c>
      <c r="C483" t="inlineStr">
        <is>
          <t>PR</t>
        </is>
      </c>
      <c r="D483" t="inlineStr">
        <is>
          <t>Paraná</t>
        </is>
      </c>
      <c r="E483" t="inlineStr">
        <is>
          <t>02_Autonomia</t>
        </is>
      </c>
      <c r="F483" t="inlineStr">
        <is>
          <t>Autonomia técnica e funcional</t>
        </is>
      </c>
      <c r="G483" t="inlineStr">
        <is>
          <t>Item 1 — Garantia normativa de autonomia técnica/funcional</t>
        </is>
      </c>
      <c r="H483" t="inlineStr">
        <is>
          <t>M3-56</t>
        </is>
      </c>
      <c r="I483" t="inlineStr">
        <is>
          <t>02_Autonomia:M3-56</t>
        </is>
      </c>
      <c r="J483" t="inlineStr">
        <is>
          <t>Doc. SEI 37070578</t>
        </is>
      </c>
      <c r="K483" t="inlineStr">
        <is>
          <t>2026-09-23T11:46:31</t>
        </is>
      </c>
    </row>
    <row r="484">
      <c r="A484" t="n">
        <v>483</v>
      </c>
      <c r="B484" t="inlineStr">
        <is>
          <t>PR</t>
        </is>
      </c>
      <c r="C484" t="inlineStr">
        <is>
          <t>PR</t>
        </is>
      </c>
      <c r="D484" t="inlineStr">
        <is>
          <t>Paraná</t>
        </is>
      </c>
      <c r="E484" t="inlineStr">
        <is>
          <t>02_Autonomia</t>
        </is>
      </c>
      <c r="F484" t="inlineStr">
        <is>
          <t>Autonomia técnica e funcional</t>
        </is>
      </c>
      <c r="G484" t="inlineStr">
        <is>
          <t>Item 1 — Garantia normativa de autonomia técnica/funcional</t>
        </is>
      </c>
      <c r="H484" t="inlineStr">
        <is>
          <t>M3-57</t>
        </is>
      </c>
      <c r="I484" t="inlineStr">
        <is>
          <t>02_Autonomia:M3-57</t>
        </is>
      </c>
      <c r="J484" t="inlineStr">
        <is>
          <t>Doc. SEI 37070578</t>
        </is>
      </c>
      <c r="K484" t="inlineStr">
        <is>
          <t>2026-09-23T11:46:31</t>
        </is>
      </c>
    </row>
    <row r="485">
      <c r="A485" t="n">
        <v>484</v>
      </c>
      <c r="B485" t="inlineStr">
        <is>
          <t>PR</t>
        </is>
      </c>
      <c r="C485" t="inlineStr">
        <is>
          <t>PR</t>
        </is>
      </c>
      <c r="D485" t="inlineStr">
        <is>
          <t>Paraná</t>
        </is>
      </c>
      <c r="E485" t="inlineStr">
        <is>
          <t>02_Autonomia</t>
        </is>
      </c>
      <c r="F485" t="inlineStr">
        <is>
          <t>Autonomia técnica e funcional</t>
        </is>
      </c>
      <c r="G485" t="inlineStr">
        <is>
          <t>Item 2 — Condições institucionais de atuação sem interferência indevida</t>
        </is>
      </c>
      <c r="H485" t="inlineStr">
        <is>
          <t>M1-12</t>
        </is>
      </c>
      <c r="I485" t="inlineStr">
        <is>
          <t>02_Autonomia:M1-12</t>
        </is>
      </c>
      <c r="J485" t="inlineStr">
        <is>
          <t>Doc. SEI 37070578</t>
        </is>
      </c>
      <c r="K485" t="inlineStr">
        <is>
          <t>2026-09-23T11:46:31</t>
        </is>
      </c>
    </row>
    <row r="486">
      <c r="A486" t="n">
        <v>485</v>
      </c>
      <c r="B486" t="inlineStr">
        <is>
          <t>PR</t>
        </is>
      </c>
      <c r="C486" t="inlineStr">
        <is>
          <t>PR</t>
        </is>
      </c>
      <c r="D486" t="inlineStr">
        <is>
          <t>Paraná</t>
        </is>
      </c>
      <c r="E486" t="inlineStr">
        <is>
          <t>02_Autonomia</t>
        </is>
      </c>
      <c r="F486" t="inlineStr">
        <is>
          <t>Autonomia técnica e funcional</t>
        </is>
      </c>
      <c r="G486" t="inlineStr">
        <is>
          <t>Item 2 — Condições institucionais de atuação sem interferência indevida</t>
        </is>
      </c>
      <c r="H486" t="inlineStr">
        <is>
          <t>M4-67</t>
        </is>
      </c>
      <c r="I486" t="inlineStr">
        <is>
          <t>02_Autonomia:M4-67</t>
        </is>
      </c>
      <c r="J486" t="inlineStr">
        <is>
          <t>Doc. SEI 37070578</t>
        </is>
      </c>
      <c r="K486" t="inlineStr">
        <is>
          <t>2026-09-23T11:46:31</t>
        </is>
      </c>
    </row>
    <row r="487">
      <c r="A487" t="n">
        <v>486</v>
      </c>
      <c r="B487" t="inlineStr">
        <is>
          <t>PR</t>
        </is>
      </c>
      <c r="C487" t="inlineStr">
        <is>
          <t>PR</t>
        </is>
      </c>
      <c r="D487" t="inlineStr">
        <is>
          <t>Paraná</t>
        </is>
      </c>
      <c r="E487" t="inlineStr">
        <is>
          <t>02_Autonomia</t>
        </is>
      </c>
      <c r="F487" t="inlineStr">
        <is>
          <t>Autonomia técnica e funcional</t>
        </is>
      </c>
      <c r="G487" t="inlineStr">
        <is>
          <t>Item 2 — Condições institucionais de atuação sem interferência indevida</t>
        </is>
      </c>
      <c r="H487" t="inlineStr">
        <is>
          <t>M4-68</t>
        </is>
      </c>
      <c r="I487" t="inlineStr">
        <is>
          <t>02_Autonomia:M4-68</t>
        </is>
      </c>
      <c r="J487" t="inlineStr">
        <is>
          <t>Doc. SEI 37070578</t>
        </is>
      </c>
      <c r="K487" t="inlineStr">
        <is>
          <t>2026-09-23T11:46:31</t>
        </is>
      </c>
    </row>
    <row r="488">
      <c r="A488" t="n">
        <v>487</v>
      </c>
      <c r="B488" t="inlineStr">
        <is>
          <t>PR</t>
        </is>
      </c>
      <c r="C488" t="inlineStr">
        <is>
          <t>PR</t>
        </is>
      </c>
      <c r="D488" t="inlineStr">
        <is>
          <t>Paraná</t>
        </is>
      </c>
      <c r="E488" t="inlineStr">
        <is>
          <t>03_Imparcialidade</t>
        </is>
      </c>
      <c r="F488" t="inlineStr">
        <is>
          <t>Imparcialidade, sigilo e proteção</t>
        </is>
      </c>
      <c r="G488" t="inlineStr">
        <is>
          <t>Item 1 — Proteção e tratamento de denúncias graves e sensíveis</t>
        </is>
      </c>
      <c r="H488" t="inlineStr">
        <is>
          <t>M4-69</t>
        </is>
      </c>
      <c r="I488" t="inlineStr">
        <is>
          <t>03_Imparcialidade:M4-69</t>
        </is>
      </c>
      <c r="J488" t="inlineStr">
        <is>
          <t>Doc. SEI 37070578</t>
        </is>
      </c>
      <c r="K488" t="inlineStr">
        <is>
          <t>2026-09-23T11:46:31</t>
        </is>
      </c>
    </row>
    <row r="489">
      <c r="A489" t="n">
        <v>488</v>
      </c>
      <c r="B489" t="inlineStr">
        <is>
          <t>PR</t>
        </is>
      </c>
      <c r="C489" t="inlineStr">
        <is>
          <t>PR</t>
        </is>
      </c>
      <c r="D489" t="inlineStr">
        <is>
          <t>Paraná</t>
        </is>
      </c>
      <c r="E489" t="inlineStr">
        <is>
          <t>03_Imparcialidade</t>
        </is>
      </c>
      <c r="F489" t="inlineStr">
        <is>
          <t>Imparcialidade, sigilo e proteção</t>
        </is>
      </c>
      <c r="G489" t="inlineStr">
        <is>
          <t>Item 2 — Confidencialidade e sigilo da equipe</t>
        </is>
      </c>
      <c r="H489" t="inlineStr">
        <is>
          <t>M3-63</t>
        </is>
      </c>
      <c r="I489" t="inlineStr">
        <is>
          <t>03_Imparcialidade:M3-63</t>
        </is>
      </c>
      <c r="J489" t="inlineStr">
        <is>
          <t>Doc. SEI 37070578</t>
        </is>
      </c>
      <c r="K489" t="inlineStr">
        <is>
          <t>2026-09-23T11:46:31</t>
        </is>
      </c>
    </row>
    <row r="490">
      <c r="A490" t="n">
        <v>489</v>
      </c>
      <c r="B490" t="inlineStr">
        <is>
          <t>PR</t>
        </is>
      </c>
      <c r="C490" t="inlineStr">
        <is>
          <t>PR</t>
        </is>
      </c>
      <c r="D490" t="inlineStr">
        <is>
          <t>Paraná</t>
        </is>
      </c>
      <c r="E490" t="inlineStr">
        <is>
          <t>04_Acessibilidade</t>
        </is>
      </c>
      <c r="F490" t="inlineStr">
        <is>
          <t>Acessibilidade e atendimento humanizado</t>
        </is>
      </c>
      <c r="G490" t="inlineStr">
        <is>
          <t>Item 1 — Canais institucionais acessíveis</t>
        </is>
      </c>
      <c r="H490" t="inlineStr">
        <is>
          <t>M2-41</t>
        </is>
      </c>
      <c r="I490" t="inlineStr">
        <is>
          <t>04_Acessibilidade:M2-41</t>
        </is>
      </c>
      <c r="J490" t="inlineStr">
        <is>
          <t>Doc. SEI 37070578</t>
        </is>
      </c>
      <c r="K490" t="inlineStr">
        <is>
          <t>2026-09-23T11:46:31</t>
        </is>
      </c>
    </row>
    <row r="491">
      <c r="A491" t="n">
        <v>490</v>
      </c>
      <c r="B491" t="inlineStr">
        <is>
          <t>PR</t>
        </is>
      </c>
      <c r="C491" t="inlineStr">
        <is>
          <t>PR</t>
        </is>
      </c>
      <c r="D491" t="inlineStr">
        <is>
          <t>Paraná</t>
        </is>
      </c>
      <c r="E491" t="inlineStr">
        <is>
          <t>04_Acessibilidade</t>
        </is>
      </c>
      <c r="F491" t="inlineStr">
        <is>
          <t>Acessibilidade e atendimento humanizado</t>
        </is>
      </c>
      <c r="G491" t="inlineStr">
        <is>
          <t>Item 1 — Canais institucionais acessíveis</t>
        </is>
      </c>
      <c r="H491" t="inlineStr">
        <is>
          <t>M2-43</t>
        </is>
      </c>
      <c r="I491" t="inlineStr">
        <is>
          <t>04_Acessibilidade:M2-43</t>
        </is>
      </c>
      <c r="J491" t="inlineStr">
        <is>
          <t>Doc. SEI 37070578</t>
        </is>
      </c>
      <c r="K491" t="inlineStr">
        <is>
          <t>2026-09-23T11:46:31</t>
        </is>
      </c>
    </row>
    <row r="492">
      <c r="A492" t="n">
        <v>491</v>
      </c>
      <c r="B492" t="inlineStr">
        <is>
          <t>PR</t>
        </is>
      </c>
      <c r="C492" t="inlineStr">
        <is>
          <t>PR</t>
        </is>
      </c>
      <c r="D492" t="inlineStr">
        <is>
          <t>Paraná</t>
        </is>
      </c>
      <c r="E492" t="inlineStr">
        <is>
          <t>04_Acessibilidade</t>
        </is>
      </c>
      <c r="F492" t="inlineStr">
        <is>
          <t>Acessibilidade e atendimento humanizado</t>
        </is>
      </c>
      <c r="G492" t="inlineStr">
        <is>
          <t>Item 1 — Canais institucionais acessíveis</t>
        </is>
      </c>
      <c r="H492" t="inlineStr">
        <is>
          <t>M2-47</t>
        </is>
      </c>
      <c r="I492" t="inlineStr">
        <is>
          <t>04_Acessibilidade:M2-47</t>
        </is>
      </c>
      <c r="J492" t="inlineStr">
        <is>
          <t>Doc. SEI 37070578</t>
        </is>
      </c>
      <c r="K492" t="inlineStr">
        <is>
          <t>2026-09-23T11:46:31</t>
        </is>
      </c>
    </row>
    <row r="493">
      <c r="A493" t="n">
        <v>492</v>
      </c>
      <c r="B493" t="inlineStr">
        <is>
          <t>PR</t>
        </is>
      </c>
      <c r="C493" t="inlineStr">
        <is>
          <t>PR</t>
        </is>
      </c>
      <c r="D493" t="inlineStr">
        <is>
          <t>Paraná</t>
        </is>
      </c>
      <c r="E493" t="inlineStr">
        <is>
          <t>04_Acessibilidade</t>
        </is>
      </c>
      <c r="F493" t="inlineStr">
        <is>
          <t>Acessibilidade e atendimento humanizado</t>
        </is>
      </c>
      <c r="G493" t="inlineStr">
        <is>
          <t>Item 2 — Condições de atendimento reservado e acessível</t>
        </is>
      </c>
      <c r="H493" t="inlineStr">
        <is>
          <t>M2-16</t>
        </is>
      </c>
      <c r="I493" t="inlineStr">
        <is>
          <t>04_Acessibilidade:M2-16</t>
        </is>
      </c>
      <c r="J493" t="inlineStr">
        <is>
          <t>Doc. SEI 37070578</t>
        </is>
      </c>
      <c r="K493" t="inlineStr">
        <is>
          <t>2026-09-23T11:46:31</t>
        </is>
      </c>
    </row>
    <row r="494">
      <c r="A494" t="n">
        <v>493</v>
      </c>
      <c r="B494" t="inlineStr">
        <is>
          <t>PR</t>
        </is>
      </c>
      <c r="C494" t="inlineStr">
        <is>
          <t>PR</t>
        </is>
      </c>
      <c r="D494" t="inlineStr">
        <is>
          <t>Paraná</t>
        </is>
      </c>
      <c r="E494" t="inlineStr">
        <is>
          <t>04_Acessibilidade</t>
        </is>
      </c>
      <c r="F494" t="inlineStr">
        <is>
          <t>Acessibilidade e atendimento humanizado</t>
        </is>
      </c>
      <c r="G494" t="inlineStr">
        <is>
          <t>Item 3 — Alcance dos públicos dos serviços penais</t>
        </is>
      </c>
      <c r="H494" t="inlineStr">
        <is>
          <t>M1-13</t>
        </is>
      </c>
      <c r="I494" t="inlineStr">
        <is>
          <t>04_Acessibilidade:M1-13</t>
        </is>
      </c>
      <c r="J494" t="inlineStr">
        <is>
          <t>Doc. SEI 37070578</t>
        </is>
      </c>
      <c r="K494" t="inlineStr">
        <is>
          <t>2026-09-23T11:46:31</t>
        </is>
      </c>
    </row>
    <row r="495">
      <c r="A495" t="n">
        <v>494</v>
      </c>
      <c r="B495" t="inlineStr">
        <is>
          <t>PR</t>
        </is>
      </c>
      <c r="C495" t="inlineStr">
        <is>
          <t>PR</t>
        </is>
      </c>
      <c r="D495" t="inlineStr">
        <is>
          <t>Paraná</t>
        </is>
      </c>
      <c r="E495" t="inlineStr">
        <is>
          <t>04_Acessibilidade</t>
        </is>
      </c>
      <c r="F495" t="inlineStr">
        <is>
          <t>Acessibilidade e atendimento humanizado</t>
        </is>
      </c>
      <c r="G495" t="inlineStr">
        <is>
          <t>Item 3 — Alcance dos públicos dos serviços penais</t>
        </is>
      </c>
      <c r="H495" t="inlineStr">
        <is>
          <t>M4-64</t>
        </is>
      </c>
      <c r="I495" t="inlineStr">
        <is>
          <t>04_Acessibilidade:M4-64</t>
        </is>
      </c>
      <c r="J495" t="inlineStr">
        <is>
          <t>Doc. SEI 37070578</t>
        </is>
      </c>
      <c r="K495" t="inlineStr">
        <is>
          <t>2026-09-23T11:46:31</t>
        </is>
      </c>
    </row>
    <row r="496">
      <c r="A496" t="n">
        <v>495</v>
      </c>
      <c r="B496" t="inlineStr">
        <is>
          <t>PR</t>
        </is>
      </c>
      <c r="C496" t="inlineStr">
        <is>
          <t>PR</t>
        </is>
      </c>
      <c r="D496" t="inlineStr">
        <is>
          <t>Paraná</t>
        </is>
      </c>
      <c r="E496" t="inlineStr">
        <is>
          <t>05_Transparência</t>
        </is>
      </c>
      <c r="F496" t="inlineStr">
        <is>
          <t>Transparência e publicidade</t>
        </is>
      </c>
      <c r="G496" t="inlineStr">
        <is>
          <t>Item 1 — Visibilidade institucional e divulgação dos canais</t>
        </is>
      </c>
      <c r="H496" t="inlineStr">
        <is>
          <t>M2-35</t>
        </is>
      </c>
      <c r="I496" t="inlineStr">
        <is>
          <t>05_Transparência:M2-35</t>
        </is>
      </c>
      <c r="J496" t="inlineStr">
        <is>
          <t>Doc. SEI 37070578</t>
        </is>
      </c>
      <c r="K496" t="inlineStr">
        <is>
          <t>2026-09-23T11:46:31</t>
        </is>
      </c>
    </row>
    <row r="497">
      <c r="A497" t="n">
        <v>496</v>
      </c>
      <c r="B497" t="inlineStr">
        <is>
          <t>PR</t>
        </is>
      </c>
      <c r="C497" t="inlineStr">
        <is>
          <t>PR</t>
        </is>
      </c>
      <c r="D497" t="inlineStr">
        <is>
          <t>Paraná</t>
        </is>
      </c>
      <c r="E497" t="inlineStr">
        <is>
          <t>05_Transparência</t>
        </is>
      </c>
      <c r="F497" t="inlineStr">
        <is>
          <t>Transparência e publicidade</t>
        </is>
      </c>
      <c r="G497" t="inlineStr">
        <is>
          <t>Item 2 — Publicidade das ações e atividades</t>
        </is>
      </c>
      <c r="H497" t="inlineStr">
        <is>
          <t>M4-71</t>
        </is>
      </c>
      <c r="I497" t="inlineStr">
        <is>
          <t>05_Transparência:M4-71</t>
        </is>
      </c>
      <c r="J497" t="inlineStr">
        <is>
          <t>Doc. SEI 37070578</t>
        </is>
      </c>
      <c r="K497" t="inlineStr">
        <is>
          <t>2026-09-23T11:46:31</t>
        </is>
      </c>
    </row>
    <row r="498">
      <c r="A498" t="n">
        <v>497</v>
      </c>
      <c r="B498" t="inlineStr">
        <is>
          <t>PR</t>
        </is>
      </c>
      <c r="C498" t="inlineStr">
        <is>
          <t>PR</t>
        </is>
      </c>
      <c r="D498" t="inlineStr">
        <is>
          <t>Paraná</t>
        </is>
      </c>
      <c r="E498" t="inlineStr">
        <is>
          <t>06_Integração Tec</t>
        </is>
      </c>
      <c r="F498" t="inlineStr">
        <is>
          <t>Integração tecnológica</t>
        </is>
      </c>
      <c r="G498" t="inlineStr">
        <is>
          <t>Item 1 — Canal eletrônico e solução para registro e gestão das manifestações</t>
        </is>
      </c>
      <c r="H498" t="inlineStr">
        <is>
          <t>M2-45</t>
        </is>
      </c>
      <c r="I498" t="inlineStr">
        <is>
          <t>06_Integração Tec:M2-45</t>
        </is>
      </c>
      <c r="J498" t="inlineStr">
        <is>
          <t>Doc. SEI 37070578</t>
        </is>
      </c>
      <c r="K498" t="inlineStr">
        <is>
          <t>2026-09-23T11:46:31</t>
        </is>
      </c>
    </row>
    <row r="499">
      <c r="A499" t="n">
        <v>498</v>
      </c>
      <c r="B499" t="inlineStr">
        <is>
          <t>PR</t>
        </is>
      </c>
      <c r="C499" t="inlineStr">
        <is>
          <t>PR</t>
        </is>
      </c>
      <c r="D499" t="inlineStr">
        <is>
          <t>Paraná</t>
        </is>
      </c>
      <c r="E499" t="inlineStr">
        <is>
          <t>06_Integração Tec</t>
        </is>
      </c>
      <c r="F499" t="inlineStr">
        <is>
          <t>Integração tecnológica</t>
        </is>
      </c>
      <c r="G499" t="inlineStr">
        <is>
          <t>Item 2 — Registro, protocolo, rastreabilidade e acompanhamento</t>
        </is>
      </c>
      <c r="H499" t="inlineStr">
        <is>
          <t>M4-66</t>
        </is>
      </c>
      <c r="I499" t="inlineStr">
        <is>
          <t>06_Integração Tec:M4-66</t>
        </is>
      </c>
      <c r="J499" t="inlineStr">
        <is>
          <t>Doc. SEI 37070578</t>
        </is>
      </c>
      <c r="K499" t="inlineStr">
        <is>
          <t>2026-09-23T11:46:31</t>
        </is>
      </c>
    </row>
    <row r="500">
      <c r="A500" t="n">
        <v>499</v>
      </c>
      <c r="B500" t="inlineStr">
        <is>
          <t>PR</t>
        </is>
      </c>
      <c r="C500" t="inlineStr">
        <is>
          <t>PR</t>
        </is>
      </c>
      <c r="D500" t="inlineStr">
        <is>
          <t>Paraná</t>
        </is>
      </c>
      <c r="E500" t="inlineStr">
        <is>
          <t>06_Integração Tec</t>
        </is>
      </c>
      <c r="F500" t="inlineStr">
        <is>
          <t>Integração tecnológica</t>
        </is>
      </c>
      <c r="G500" t="inlineStr">
        <is>
          <t>Item 3 — Sigilo, autenticação e controle de acesso</t>
        </is>
      </c>
      <c r="H500" t="inlineStr">
        <is>
          <t>M2-37</t>
        </is>
      </c>
      <c r="I500" t="inlineStr">
        <is>
          <t>06_Integração Tec:M2-37</t>
        </is>
      </c>
      <c r="J500" t="inlineStr">
        <is>
          <t>Doc. SEI 37070578</t>
        </is>
      </c>
      <c r="K500" t="inlineStr">
        <is>
          <t>2026-09-23T11:46:31</t>
        </is>
      </c>
    </row>
    <row r="501">
      <c r="A501" t="n">
        <v>500</v>
      </c>
      <c r="B501" t="inlineStr">
        <is>
          <t>PR</t>
        </is>
      </c>
      <c r="C501" t="inlineStr">
        <is>
          <t>PR</t>
        </is>
      </c>
      <c r="D501" t="inlineStr">
        <is>
          <t>Paraná</t>
        </is>
      </c>
      <c r="E501" t="inlineStr">
        <is>
          <t>06_Integração Tec</t>
        </is>
      </c>
      <c r="F501" t="inlineStr">
        <is>
          <t>Integração tecnológica</t>
        </is>
      </c>
      <c r="G501" t="inlineStr">
        <is>
          <t>Item 4 — Computadores e acesso à internet</t>
        </is>
      </c>
      <c r="H501" t="inlineStr">
        <is>
          <t>M2-17</t>
        </is>
      </c>
      <c r="I501" t="inlineStr">
        <is>
          <t>06_Integração Tec:M2-17</t>
        </is>
      </c>
      <c r="J501" t="inlineStr">
        <is>
          <t>Doc. SEI 37070578</t>
        </is>
      </c>
      <c r="K501" t="inlineStr">
        <is>
          <t>2026-09-23T11:46:31</t>
        </is>
      </c>
    </row>
    <row r="502">
      <c r="A502" t="n">
        <v>501</v>
      </c>
      <c r="B502" t="inlineStr">
        <is>
          <t>PR</t>
        </is>
      </c>
      <c r="C502" t="inlineStr">
        <is>
          <t>PR</t>
        </is>
      </c>
      <c r="D502" t="inlineStr">
        <is>
          <t>Paraná</t>
        </is>
      </c>
      <c r="E502" t="inlineStr">
        <is>
          <t>06_Integração Tec</t>
        </is>
      </c>
      <c r="F502" t="inlineStr">
        <is>
          <t>Integração tecnológica</t>
        </is>
      </c>
      <c r="G502" t="inlineStr">
        <is>
          <t>Item 5 — Impressoras e scanners</t>
        </is>
      </c>
      <c r="H502" t="inlineStr">
        <is>
          <t>M2-19</t>
        </is>
      </c>
      <c r="I502" t="inlineStr">
        <is>
          <t>06_Integração Tec:M2-19</t>
        </is>
      </c>
      <c r="J502" t="inlineStr">
        <is>
          <t>Doc. SEI 37070578</t>
        </is>
      </c>
      <c r="K502" t="inlineStr">
        <is>
          <t>2026-09-23T11:46:31</t>
        </is>
      </c>
    </row>
    <row r="503">
      <c r="A503" t="n">
        <v>502</v>
      </c>
      <c r="B503" t="inlineStr">
        <is>
          <t>PR</t>
        </is>
      </c>
      <c r="C503" t="inlineStr">
        <is>
          <t>PR</t>
        </is>
      </c>
      <c r="D503" t="inlineStr">
        <is>
          <t>Paraná</t>
        </is>
      </c>
      <c r="E503" t="inlineStr">
        <is>
          <t>06_Integração Tec</t>
        </is>
      </c>
      <c r="F503" t="inlineStr">
        <is>
          <t>Integração tecnológica</t>
        </is>
      </c>
      <c r="G503" t="inlineStr">
        <is>
          <t>Item 5 — Impressoras e scanners</t>
        </is>
      </c>
      <c r="H503" t="inlineStr">
        <is>
          <t>M2-21</t>
        </is>
      </c>
      <c r="I503" t="inlineStr">
        <is>
          <t>06_Integração Tec:M2-21</t>
        </is>
      </c>
      <c r="J503" t="inlineStr">
        <is>
          <t>Doc. SEI 37070578</t>
        </is>
      </c>
      <c r="K503" t="inlineStr">
        <is>
          <t>2026-09-23T11:46:31</t>
        </is>
      </c>
    </row>
    <row r="504">
      <c r="A504" t="n">
        <v>503</v>
      </c>
      <c r="B504" t="inlineStr">
        <is>
          <t>PR</t>
        </is>
      </c>
      <c r="C504" t="inlineStr">
        <is>
          <t>PR</t>
        </is>
      </c>
      <c r="D504" t="inlineStr">
        <is>
          <t>Paraná</t>
        </is>
      </c>
      <c r="E504" t="inlineStr">
        <is>
          <t>06_Integração Tec</t>
        </is>
      </c>
      <c r="F504" t="inlineStr">
        <is>
          <t>Integração tecnológica</t>
        </is>
      </c>
      <c r="G504" t="inlineStr">
        <is>
          <t>Item 6 — Aparelhos de telefone celular</t>
        </is>
      </c>
      <c r="H504" t="inlineStr">
        <is>
          <t>M2-27</t>
        </is>
      </c>
      <c r="I504" t="inlineStr">
        <is>
          <t>06_Integração Tec:M2-27</t>
        </is>
      </c>
      <c r="J504" t="inlineStr">
        <is>
          <t>Doc. SEI 37070578</t>
        </is>
      </c>
      <c r="K504" t="inlineStr">
        <is>
          <t>2026-09-23T11:46:31</t>
        </is>
      </c>
    </row>
    <row r="505">
      <c r="A505" t="n">
        <v>504</v>
      </c>
      <c r="B505" t="inlineStr">
        <is>
          <t>PR</t>
        </is>
      </c>
      <c r="C505" t="inlineStr">
        <is>
          <t>PR</t>
        </is>
      </c>
      <c r="D505" t="inlineStr">
        <is>
          <t>Paraná</t>
        </is>
      </c>
      <c r="E505" t="inlineStr">
        <is>
          <t>07_Maturidade</t>
        </is>
      </c>
      <c r="F505" t="inlineStr">
        <is>
          <t>Maturidade / bônus</t>
        </is>
      </c>
      <c r="G505" t="inlineStr">
        <is>
          <t>Bônus — Uso do canal Fala.BR</t>
        </is>
      </c>
      <c r="H505" t="inlineStr">
        <is>
          <t>M2-46</t>
        </is>
      </c>
      <c r="I505" t="inlineStr">
        <is>
          <t>07_Maturidade:M2-46</t>
        </is>
      </c>
      <c r="J505" t="inlineStr">
        <is>
          <t>Doc. SEI 37070578</t>
        </is>
      </c>
      <c r="K505" t="inlineStr">
        <is>
          <t>2026-09-23T11:46:31</t>
        </is>
      </c>
    </row>
    <row r="506">
      <c r="A506" t="n">
        <v>505</v>
      </c>
      <c r="B506" t="inlineStr">
        <is>
          <t>PR</t>
        </is>
      </c>
      <c r="C506" t="inlineStr">
        <is>
          <t>PR</t>
        </is>
      </c>
      <c r="D506" t="inlineStr">
        <is>
          <t>Paraná</t>
        </is>
      </c>
      <c r="E506" t="inlineStr">
        <is>
          <t>07_Maturidade</t>
        </is>
      </c>
      <c r="F506" t="inlineStr">
        <is>
          <t>Maturidade / bônus</t>
        </is>
      </c>
      <c r="G506" t="inlineStr">
        <is>
          <t>Bônus — Designação por mandato</t>
        </is>
      </c>
      <c r="H506" t="inlineStr">
        <is>
          <t>M0-08</t>
        </is>
      </c>
      <c r="I506" t="inlineStr">
        <is>
          <t>07_Maturidade:M0-08</t>
        </is>
      </c>
      <c r="J506" t="inlineStr">
        <is>
          <t>Doc. SEI 37070578</t>
        </is>
      </c>
      <c r="K506" t="inlineStr">
        <is>
          <t>2026-09-23T11:46:31</t>
        </is>
      </c>
    </row>
    <row r="507">
      <c r="A507" t="n">
        <v>506</v>
      </c>
      <c r="B507" t="inlineStr">
        <is>
          <t>PR</t>
        </is>
      </c>
      <c r="C507" t="inlineStr">
        <is>
          <t>PR</t>
        </is>
      </c>
      <c r="D507" t="inlineStr">
        <is>
          <t>Paraná</t>
        </is>
      </c>
      <c r="E507" t="inlineStr">
        <is>
          <t>07_Maturidade</t>
        </is>
      </c>
      <c r="F507" t="inlineStr">
        <is>
          <t>Maturidade / bônus</t>
        </is>
      </c>
      <c r="G507" t="inlineStr">
        <is>
          <t>Bônus — Dedicação da equipe</t>
        </is>
      </c>
      <c r="H507" t="inlineStr">
        <is>
          <t>M3-60</t>
        </is>
      </c>
      <c r="I507" t="inlineStr">
        <is>
          <t>07_Maturidade:M3-60</t>
        </is>
      </c>
      <c r="J507" t="inlineStr">
        <is>
          <t>Doc. SEI 37070578</t>
        </is>
      </c>
      <c r="K507" t="inlineStr">
        <is>
          <t>2026-09-23T11:46:31</t>
        </is>
      </c>
    </row>
    <row r="508">
      <c r="A508" t="n">
        <v>507</v>
      </c>
      <c r="B508" t="inlineStr">
        <is>
          <t>PR</t>
        </is>
      </c>
      <c r="C508" t="inlineStr">
        <is>
          <t>PR</t>
        </is>
      </c>
      <c r="D508" t="inlineStr">
        <is>
          <t>Paraná</t>
        </is>
      </c>
      <c r="E508" t="inlineStr">
        <is>
          <t>07_Maturidade</t>
        </is>
      </c>
      <c r="F508" t="inlineStr">
        <is>
          <t>Maturidade / bônus</t>
        </is>
      </c>
      <c r="G508" t="inlineStr">
        <is>
          <t>Bônus — Requisitos de perfil para o cargo de Ouvidor</t>
        </is>
      </c>
      <c r="H508" t="inlineStr">
        <is>
          <t>M3-58</t>
        </is>
      </c>
      <c r="I508" t="inlineStr">
        <is>
          <t>07_Maturidade:M3-58</t>
        </is>
      </c>
      <c r="J508" t="inlineStr">
        <is>
          <t>Doc. SEI 37070578</t>
        </is>
      </c>
      <c r="K508" t="inlineStr">
        <is>
          <t>2026-09-23T11:46:31</t>
        </is>
      </c>
    </row>
    <row r="509">
      <c r="A509" t="n">
        <v>508</v>
      </c>
      <c r="B509" t="inlineStr">
        <is>
          <t>PR</t>
        </is>
      </c>
      <c r="C509" t="inlineStr">
        <is>
          <t>PR</t>
        </is>
      </c>
      <c r="D509" t="inlineStr">
        <is>
          <t>Paraná</t>
        </is>
      </c>
      <c r="E509" t="inlineStr">
        <is>
          <t>07_Maturidade</t>
        </is>
      </c>
      <c r="F509" t="inlineStr">
        <is>
          <t>Maturidade / bônus</t>
        </is>
      </c>
      <c r="G509" t="inlineStr">
        <is>
          <t>Bônus — WhatsApp institucional</t>
        </is>
      </c>
      <c r="H509" t="inlineStr">
        <is>
          <t>M2-50</t>
        </is>
      </c>
      <c r="I509" t="inlineStr">
        <is>
          <t>07_Maturidade:M2-50</t>
        </is>
      </c>
      <c r="J509" t="inlineStr">
        <is>
          <t>Doc. SEI 37070578</t>
        </is>
      </c>
      <c r="K509" t="inlineStr">
        <is>
          <t>2026-09-23T11:46:31</t>
        </is>
      </c>
    </row>
    <row r="510">
      <c r="A510" t="n">
        <v>509</v>
      </c>
      <c r="B510" t="inlineStr">
        <is>
          <t>PR</t>
        </is>
      </c>
      <c r="C510" t="inlineStr">
        <is>
          <t>PR</t>
        </is>
      </c>
      <c r="D510" t="inlineStr">
        <is>
          <t>Paraná</t>
        </is>
      </c>
      <c r="E510" t="inlineStr">
        <is>
          <t>07_Maturidade</t>
        </is>
      </c>
      <c r="F510" t="inlineStr">
        <is>
          <t>Maturidade / bônus</t>
        </is>
      </c>
      <c r="G510" t="inlineStr">
        <is>
          <t>Bônus — Outros canais eletrônicos institucionais</t>
        </is>
      </c>
      <c r="H510" t="inlineStr">
        <is>
          <t>M2-49</t>
        </is>
      </c>
      <c r="I510" t="inlineStr">
        <is>
          <t>07_Maturidade:M2-49</t>
        </is>
      </c>
      <c r="J510" t="inlineStr">
        <is>
          <t>Doc. SEI 37070578</t>
        </is>
      </c>
      <c r="K510" t="inlineStr">
        <is>
          <t>2026-09-23T11:46:31</t>
        </is>
      </c>
    </row>
    <row r="511">
      <c r="A511" t="n">
        <v>510</v>
      </c>
      <c r="B511" t="inlineStr">
        <is>
          <t>PR</t>
        </is>
      </c>
      <c r="C511" t="inlineStr">
        <is>
          <t>PR</t>
        </is>
      </c>
      <c r="D511" t="inlineStr">
        <is>
          <t>Paraná</t>
        </is>
      </c>
      <c r="E511" t="inlineStr">
        <is>
          <t>07_Maturidade</t>
        </is>
      </c>
      <c r="F511" t="inlineStr">
        <is>
          <t>Maturidade / bônus</t>
        </is>
      </c>
      <c r="G511" t="inlineStr">
        <is>
          <t>Bônus — Materiais adicionais de divulgação e educação em direitos</t>
        </is>
      </c>
      <c r="H511" t="inlineStr">
        <is>
          <t>M2-36</t>
        </is>
      </c>
      <c r="I511" t="inlineStr">
        <is>
          <t>07_Maturidade:M2-36</t>
        </is>
      </c>
      <c r="J511" t="inlineStr">
        <is>
          <t>Doc. SEI 37070578</t>
        </is>
      </c>
      <c r="K511" t="inlineStr">
        <is>
          <t>2026-09-23T11:46:31</t>
        </is>
      </c>
    </row>
    <row r="512">
      <c r="A512" t="n">
        <v>511</v>
      </c>
      <c r="B512" t="inlineStr">
        <is>
          <t>PE</t>
        </is>
      </c>
      <c r="C512" t="inlineStr">
        <is>
          <t>PE</t>
        </is>
      </c>
      <c r="D512" t="inlineStr">
        <is>
          <t>Pernambuco</t>
        </is>
      </c>
      <c r="E512" t="inlineStr">
        <is>
          <t>01_Institucionalização</t>
        </is>
      </c>
      <c r="F512" t="inlineStr">
        <is>
          <t>Institucionalização</t>
        </is>
      </c>
      <c r="G512" t="inlineStr">
        <is>
          <t>Item 1 — Instituição formal da Ouvidoria de Serviços Penais</t>
        </is>
      </c>
      <c r="H512" t="inlineStr">
        <is>
          <t>M1-11</t>
        </is>
      </c>
      <c r="I512" t="inlineStr">
        <is>
          <t>01_Institucionalização:M1-11</t>
        </is>
      </c>
      <c r="J512" t="inlineStr">
        <is>
          <t>Doc. SEI 37070578</t>
        </is>
      </c>
      <c r="K512" t="inlineStr">
        <is>
          <t>2026-09-23T11:46:31</t>
        </is>
      </c>
    </row>
    <row r="513">
      <c r="A513" t="n">
        <v>512</v>
      </c>
      <c r="B513" t="inlineStr">
        <is>
          <t>PE</t>
        </is>
      </c>
      <c r="C513" t="inlineStr">
        <is>
          <t>PE</t>
        </is>
      </c>
      <c r="D513" t="inlineStr">
        <is>
          <t>Pernambuco</t>
        </is>
      </c>
      <c r="E513" t="inlineStr">
        <is>
          <t>02_Autonomia</t>
        </is>
      </c>
      <c r="F513" t="inlineStr">
        <is>
          <t>Autonomia técnica e funcional</t>
        </is>
      </c>
      <c r="G513" t="inlineStr">
        <is>
          <t>Item 1 — Garantia normativa de autonomia técnica/funcional</t>
        </is>
      </c>
      <c r="H513" t="inlineStr">
        <is>
          <t>M3-56</t>
        </is>
      </c>
      <c r="I513" t="inlineStr">
        <is>
          <t>02_Autonomia:M3-56</t>
        </is>
      </c>
      <c r="J513" t="inlineStr">
        <is>
          <t>Doc. SEI 37070578</t>
        </is>
      </c>
      <c r="K513" t="inlineStr">
        <is>
          <t>2026-09-23T11:46:31</t>
        </is>
      </c>
    </row>
    <row r="514">
      <c r="A514" t="n">
        <v>513</v>
      </c>
      <c r="B514" t="inlineStr">
        <is>
          <t>PE</t>
        </is>
      </c>
      <c r="C514" t="inlineStr">
        <is>
          <t>PE</t>
        </is>
      </c>
      <c r="D514" t="inlineStr">
        <is>
          <t>Pernambuco</t>
        </is>
      </c>
      <c r="E514" t="inlineStr">
        <is>
          <t>02_Autonomia</t>
        </is>
      </c>
      <c r="F514" t="inlineStr">
        <is>
          <t>Autonomia técnica e funcional</t>
        </is>
      </c>
      <c r="G514" t="inlineStr">
        <is>
          <t>Item 1 — Garantia normativa de autonomia técnica/funcional</t>
        </is>
      </c>
      <c r="H514" t="inlineStr">
        <is>
          <t>M3-57</t>
        </is>
      </c>
      <c r="I514" t="inlineStr">
        <is>
          <t>02_Autonomia:M3-57</t>
        </is>
      </c>
      <c r="J514" t="inlineStr">
        <is>
          <t>Doc. SEI 37070578</t>
        </is>
      </c>
      <c r="K514" t="inlineStr">
        <is>
          <t>2026-09-23T11:46:31</t>
        </is>
      </c>
    </row>
    <row r="515">
      <c r="A515" t="n">
        <v>514</v>
      </c>
      <c r="B515" t="inlineStr">
        <is>
          <t>PE</t>
        </is>
      </c>
      <c r="C515" t="inlineStr">
        <is>
          <t>PE</t>
        </is>
      </c>
      <c r="D515" t="inlineStr">
        <is>
          <t>Pernambuco</t>
        </is>
      </c>
      <c r="E515" t="inlineStr">
        <is>
          <t>02_Autonomia</t>
        </is>
      </c>
      <c r="F515" t="inlineStr">
        <is>
          <t>Autonomia técnica e funcional</t>
        </is>
      </c>
      <c r="G515" t="inlineStr">
        <is>
          <t>Item 2 — Condições institucionais de atuação sem interferência indevida</t>
        </is>
      </c>
      <c r="H515" t="inlineStr">
        <is>
          <t>M1-12</t>
        </is>
      </c>
      <c r="I515" t="inlineStr">
        <is>
          <t>02_Autonomia:M1-12</t>
        </is>
      </c>
      <c r="J515" t="inlineStr">
        <is>
          <t>Doc. SEI 37070578</t>
        </is>
      </c>
      <c r="K515" t="inlineStr">
        <is>
          <t>2026-09-23T11:46:31</t>
        </is>
      </c>
    </row>
    <row r="516">
      <c r="A516" t="n">
        <v>515</v>
      </c>
      <c r="B516" t="inlineStr">
        <is>
          <t>PE</t>
        </is>
      </c>
      <c r="C516" t="inlineStr">
        <is>
          <t>PE</t>
        </is>
      </c>
      <c r="D516" t="inlineStr">
        <is>
          <t>Pernambuco</t>
        </is>
      </c>
      <c r="E516" t="inlineStr">
        <is>
          <t>02_Autonomia</t>
        </is>
      </c>
      <c r="F516" t="inlineStr">
        <is>
          <t>Autonomia técnica e funcional</t>
        </is>
      </c>
      <c r="G516" t="inlineStr">
        <is>
          <t>Item 2 — Condições institucionais de atuação sem interferência indevida</t>
        </is>
      </c>
      <c r="H516" t="inlineStr">
        <is>
          <t>M4-67</t>
        </is>
      </c>
      <c r="I516" t="inlineStr">
        <is>
          <t>02_Autonomia:M4-67</t>
        </is>
      </c>
      <c r="J516" t="inlineStr">
        <is>
          <t>Doc. SEI 37070578</t>
        </is>
      </c>
      <c r="K516" t="inlineStr">
        <is>
          <t>2026-09-23T11:46:31</t>
        </is>
      </c>
    </row>
    <row r="517">
      <c r="A517" t="n">
        <v>516</v>
      </c>
      <c r="B517" t="inlineStr">
        <is>
          <t>PE</t>
        </is>
      </c>
      <c r="C517" t="inlineStr">
        <is>
          <t>PE</t>
        </is>
      </c>
      <c r="D517" t="inlineStr">
        <is>
          <t>Pernambuco</t>
        </is>
      </c>
      <c r="E517" t="inlineStr">
        <is>
          <t>02_Autonomia</t>
        </is>
      </c>
      <c r="F517" t="inlineStr">
        <is>
          <t>Autonomia técnica e funcional</t>
        </is>
      </c>
      <c r="G517" t="inlineStr">
        <is>
          <t>Item 2 — Condições institucionais de atuação sem interferência indevida</t>
        </is>
      </c>
      <c r="H517" t="inlineStr">
        <is>
          <t>M4-68</t>
        </is>
      </c>
      <c r="I517" t="inlineStr">
        <is>
          <t>02_Autonomia:M4-68</t>
        </is>
      </c>
      <c r="J517" t="inlineStr">
        <is>
          <t>Doc. SEI 37070578</t>
        </is>
      </c>
      <c r="K517" t="inlineStr">
        <is>
          <t>2026-09-23T11:46:31</t>
        </is>
      </c>
    </row>
    <row r="518">
      <c r="A518" t="n">
        <v>517</v>
      </c>
      <c r="B518" t="inlineStr">
        <is>
          <t>PE</t>
        </is>
      </c>
      <c r="C518" t="inlineStr">
        <is>
          <t>PE</t>
        </is>
      </c>
      <c r="D518" t="inlineStr">
        <is>
          <t>Pernambuco</t>
        </is>
      </c>
      <c r="E518" t="inlineStr">
        <is>
          <t>03_Imparcialidade</t>
        </is>
      </c>
      <c r="F518" t="inlineStr">
        <is>
          <t>Imparcialidade, sigilo e proteção</t>
        </is>
      </c>
      <c r="G518" t="inlineStr">
        <is>
          <t>Item 1 — Proteção e tratamento de denúncias graves e sensíveis</t>
        </is>
      </c>
      <c r="H518" t="inlineStr">
        <is>
          <t>M4-69</t>
        </is>
      </c>
      <c r="I518" t="inlineStr">
        <is>
          <t>03_Imparcialidade:M4-69</t>
        </is>
      </c>
      <c r="J518" t="inlineStr">
        <is>
          <t>Doc. SEI 37070578</t>
        </is>
      </c>
      <c r="K518" t="inlineStr">
        <is>
          <t>2026-09-23T11:46:31</t>
        </is>
      </c>
    </row>
    <row r="519">
      <c r="A519" t="n">
        <v>518</v>
      </c>
      <c r="B519" t="inlineStr">
        <is>
          <t>PE</t>
        </is>
      </c>
      <c r="C519" t="inlineStr">
        <is>
          <t>PE</t>
        </is>
      </c>
      <c r="D519" t="inlineStr">
        <is>
          <t>Pernambuco</t>
        </is>
      </c>
      <c r="E519" t="inlineStr">
        <is>
          <t>03_Imparcialidade</t>
        </is>
      </c>
      <c r="F519" t="inlineStr">
        <is>
          <t>Imparcialidade, sigilo e proteção</t>
        </is>
      </c>
      <c r="G519" t="inlineStr">
        <is>
          <t>Item 2 — Confidencialidade e sigilo da equipe</t>
        </is>
      </c>
      <c r="H519" t="inlineStr">
        <is>
          <t>M3-63</t>
        </is>
      </c>
      <c r="I519" t="inlineStr">
        <is>
          <t>03_Imparcialidade:M3-63</t>
        </is>
      </c>
      <c r="J519" t="inlineStr">
        <is>
          <t>Doc. SEI 37070578</t>
        </is>
      </c>
      <c r="K519" t="inlineStr">
        <is>
          <t>2026-09-23T11:46:31</t>
        </is>
      </c>
    </row>
    <row r="520">
      <c r="A520" t="n">
        <v>519</v>
      </c>
      <c r="B520" t="inlineStr">
        <is>
          <t>PE</t>
        </is>
      </c>
      <c r="C520" t="inlineStr">
        <is>
          <t>PE</t>
        </is>
      </c>
      <c r="D520" t="inlineStr">
        <is>
          <t>Pernambuco</t>
        </is>
      </c>
      <c r="E520" t="inlineStr">
        <is>
          <t>04_Acessibilidade</t>
        </is>
      </c>
      <c r="F520" t="inlineStr">
        <is>
          <t>Acessibilidade e atendimento humanizado</t>
        </is>
      </c>
      <c r="G520" t="inlineStr">
        <is>
          <t>Item 1 — Canais institucionais acessíveis</t>
        </is>
      </c>
      <c r="H520" t="inlineStr">
        <is>
          <t>M2-41</t>
        </is>
      </c>
      <c r="I520" t="inlineStr">
        <is>
          <t>04_Acessibilidade:M2-41</t>
        </is>
      </c>
      <c r="J520" t="inlineStr">
        <is>
          <t>Doc. SEI 37070578</t>
        </is>
      </c>
      <c r="K520" t="inlineStr">
        <is>
          <t>2026-09-23T11:46:31</t>
        </is>
      </c>
    </row>
    <row r="521">
      <c r="A521" t="n">
        <v>520</v>
      </c>
      <c r="B521" t="inlineStr">
        <is>
          <t>PE</t>
        </is>
      </c>
      <c r="C521" t="inlineStr">
        <is>
          <t>PE</t>
        </is>
      </c>
      <c r="D521" t="inlineStr">
        <is>
          <t>Pernambuco</t>
        </is>
      </c>
      <c r="E521" t="inlineStr">
        <is>
          <t>04_Acessibilidade</t>
        </is>
      </c>
      <c r="F521" t="inlineStr">
        <is>
          <t>Acessibilidade e atendimento humanizado</t>
        </is>
      </c>
      <c r="G521" t="inlineStr">
        <is>
          <t>Item 1 — Canais institucionais acessíveis</t>
        </is>
      </c>
      <c r="H521" t="inlineStr">
        <is>
          <t>M2-43</t>
        </is>
      </c>
      <c r="I521" t="inlineStr">
        <is>
          <t>04_Acessibilidade:M2-43</t>
        </is>
      </c>
      <c r="J521" t="inlineStr">
        <is>
          <t>Doc. SEI 37070578</t>
        </is>
      </c>
      <c r="K521" t="inlineStr">
        <is>
          <t>2026-09-23T11:46:31</t>
        </is>
      </c>
    </row>
    <row r="522">
      <c r="A522" t="n">
        <v>521</v>
      </c>
      <c r="B522" t="inlineStr">
        <is>
          <t>PE</t>
        </is>
      </c>
      <c r="C522" t="inlineStr">
        <is>
          <t>PE</t>
        </is>
      </c>
      <c r="D522" t="inlineStr">
        <is>
          <t>Pernambuco</t>
        </is>
      </c>
      <c r="E522" t="inlineStr">
        <is>
          <t>04_Acessibilidade</t>
        </is>
      </c>
      <c r="F522" t="inlineStr">
        <is>
          <t>Acessibilidade e atendimento humanizado</t>
        </is>
      </c>
      <c r="G522" t="inlineStr">
        <is>
          <t>Item 1 — Canais institucionais acessíveis</t>
        </is>
      </c>
      <c r="H522" t="inlineStr">
        <is>
          <t>M2-47</t>
        </is>
      </c>
      <c r="I522" t="inlineStr">
        <is>
          <t>04_Acessibilidade:M2-47</t>
        </is>
      </c>
      <c r="J522" t="inlineStr">
        <is>
          <t>Doc. SEI 37070578</t>
        </is>
      </c>
      <c r="K522" t="inlineStr">
        <is>
          <t>2026-09-23T11:46:31</t>
        </is>
      </c>
    </row>
    <row r="523">
      <c r="A523" t="n">
        <v>522</v>
      </c>
      <c r="B523" t="inlineStr">
        <is>
          <t>PE</t>
        </is>
      </c>
      <c r="C523" t="inlineStr">
        <is>
          <t>PE</t>
        </is>
      </c>
      <c r="D523" t="inlineStr">
        <is>
          <t>Pernambuco</t>
        </is>
      </c>
      <c r="E523" t="inlineStr">
        <is>
          <t>04_Acessibilidade</t>
        </is>
      </c>
      <c r="F523" t="inlineStr">
        <is>
          <t>Acessibilidade e atendimento humanizado</t>
        </is>
      </c>
      <c r="G523" t="inlineStr">
        <is>
          <t>Item 2 — Condições de atendimento reservado e acessível</t>
        </is>
      </c>
      <c r="H523" t="inlineStr">
        <is>
          <t>M2-16</t>
        </is>
      </c>
      <c r="I523" t="inlineStr">
        <is>
          <t>04_Acessibilidade:M2-16</t>
        </is>
      </c>
      <c r="J523" t="inlineStr">
        <is>
          <t>Doc. SEI 37070578</t>
        </is>
      </c>
      <c r="K523" t="inlineStr">
        <is>
          <t>2026-09-23T11:46:31</t>
        </is>
      </c>
    </row>
    <row r="524">
      <c r="A524" t="n">
        <v>523</v>
      </c>
      <c r="B524" t="inlineStr">
        <is>
          <t>PE</t>
        </is>
      </c>
      <c r="C524" t="inlineStr">
        <is>
          <t>PE</t>
        </is>
      </c>
      <c r="D524" t="inlineStr">
        <is>
          <t>Pernambuco</t>
        </is>
      </c>
      <c r="E524" t="inlineStr">
        <is>
          <t>04_Acessibilidade</t>
        </is>
      </c>
      <c r="F524" t="inlineStr">
        <is>
          <t>Acessibilidade e atendimento humanizado</t>
        </is>
      </c>
      <c r="G524" t="inlineStr">
        <is>
          <t>Item 3 — Alcance dos públicos dos serviços penais</t>
        </is>
      </c>
      <c r="H524" t="inlineStr">
        <is>
          <t>M1-13</t>
        </is>
      </c>
      <c r="I524" t="inlineStr">
        <is>
          <t>04_Acessibilidade:M1-13</t>
        </is>
      </c>
      <c r="J524" t="inlineStr">
        <is>
          <t>Doc. SEI 37070578</t>
        </is>
      </c>
      <c r="K524" t="inlineStr">
        <is>
          <t>2026-09-23T11:46:31</t>
        </is>
      </c>
    </row>
    <row r="525">
      <c r="A525" t="n">
        <v>524</v>
      </c>
      <c r="B525" t="inlineStr">
        <is>
          <t>PE</t>
        </is>
      </c>
      <c r="C525" t="inlineStr">
        <is>
          <t>PE</t>
        </is>
      </c>
      <c r="D525" t="inlineStr">
        <is>
          <t>Pernambuco</t>
        </is>
      </c>
      <c r="E525" t="inlineStr">
        <is>
          <t>04_Acessibilidade</t>
        </is>
      </c>
      <c r="F525" t="inlineStr">
        <is>
          <t>Acessibilidade e atendimento humanizado</t>
        </is>
      </c>
      <c r="G525" t="inlineStr">
        <is>
          <t>Item 3 — Alcance dos públicos dos serviços penais</t>
        </is>
      </c>
      <c r="H525" t="inlineStr">
        <is>
          <t>M4-64</t>
        </is>
      </c>
      <c r="I525" t="inlineStr">
        <is>
          <t>04_Acessibilidade:M4-64</t>
        </is>
      </c>
      <c r="J525" t="inlineStr">
        <is>
          <t>Doc. SEI 37070578</t>
        </is>
      </c>
      <c r="K525" t="inlineStr">
        <is>
          <t>2026-09-23T11:46:31</t>
        </is>
      </c>
    </row>
    <row r="526">
      <c r="A526" t="n">
        <v>525</v>
      </c>
      <c r="B526" t="inlineStr">
        <is>
          <t>PE</t>
        </is>
      </c>
      <c r="C526" t="inlineStr">
        <is>
          <t>PE</t>
        </is>
      </c>
      <c r="D526" t="inlineStr">
        <is>
          <t>Pernambuco</t>
        </is>
      </c>
      <c r="E526" t="inlineStr">
        <is>
          <t>05_Transparência</t>
        </is>
      </c>
      <c r="F526" t="inlineStr">
        <is>
          <t>Transparência e publicidade</t>
        </is>
      </c>
      <c r="G526" t="inlineStr">
        <is>
          <t>Item 1 — Visibilidade institucional e divulgação dos canais</t>
        </is>
      </c>
      <c r="H526" t="inlineStr">
        <is>
          <t>M2-35</t>
        </is>
      </c>
      <c r="I526" t="inlineStr">
        <is>
          <t>05_Transparência:M2-35</t>
        </is>
      </c>
      <c r="J526" t="inlineStr">
        <is>
          <t>Doc. SEI 37070578</t>
        </is>
      </c>
      <c r="K526" t="inlineStr">
        <is>
          <t>2026-09-23T11:46:31</t>
        </is>
      </c>
    </row>
    <row r="527">
      <c r="A527" t="n">
        <v>526</v>
      </c>
      <c r="B527" t="inlineStr">
        <is>
          <t>PE</t>
        </is>
      </c>
      <c r="C527" t="inlineStr">
        <is>
          <t>PE</t>
        </is>
      </c>
      <c r="D527" t="inlineStr">
        <is>
          <t>Pernambuco</t>
        </is>
      </c>
      <c r="E527" t="inlineStr">
        <is>
          <t>05_Transparência</t>
        </is>
      </c>
      <c r="F527" t="inlineStr">
        <is>
          <t>Transparência e publicidade</t>
        </is>
      </c>
      <c r="G527" t="inlineStr">
        <is>
          <t>Item 2 — Publicidade das ações e atividades</t>
        </is>
      </c>
      <c r="H527" t="inlineStr">
        <is>
          <t>M4-71</t>
        </is>
      </c>
      <c r="I527" t="inlineStr">
        <is>
          <t>05_Transparência:M4-71</t>
        </is>
      </c>
      <c r="J527" t="inlineStr">
        <is>
          <t>Doc. SEI 37070578</t>
        </is>
      </c>
      <c r="K527" t="inlineStr">
        <is>
          <t>2026-09-23T11:46:31</t>
        </is>
      </c>
    </row>
    <row r="528">
      <c r="A528" t="n">
        <v>527</v>
      </c>
      <c r="B528" t="inlineStr">
        <is>
          <t>PE</t>
        </is>
      </c>
      <c r="C528" t="inlineStr">
        <is>
          <t>PE</t>
        </is>
      </c>
      <c r="D528" t="inlineStr">
        <is>
          <t>Pernambuco</t>
        </is>
      </c>
      <c r="E528" t="inlineStr">
        <is>
          <t>06_Integração Tec</t>
        </is>
      </c>
      <c r="F528" t="inlineStr">
        <is>
          <t>Integração tecnológica</t>
        </is>
      </c>
      <c r="G528" t="inlineStr">
        <is>
          <t>Item 1 — Canal eletrônico e solução para registro e gestão das manifestações</t>
        </is>
      </c>
      <c r="H528" t="inlineStr">
        <is>
          <t>M2-45</t>
        </is>
      </c>
      <c r="I528" t="inlineStr">
        <is>
          <t>06_Integração Tec:M2-45</t>
        </is>
      </c>
      <c r="J528" t="inlineStr">
        <is>
          <t>Doc. SEI 37070578</t>
        </is>
      </c>
      <c r="K528" t="inlineStr">
        <is>
          <t>2026-09-23T11:46:31</t>
        </is>
      </c>
    </row>
    <row r="529">
      <c r="A529" t="n">
        <v>528</v>
      </c>
      <c r="B529" t="inlineStr">
        <is>
          <t>PE</t>
        </is>
      </c>
      <c r="C529" t="inlineStr">
        <is>
          <t>PE</t>
        </is>
      </c>
      <c r="D529" t="inlineStr">
        <is>
          <t>Pernambuco</t>
        </is>
      </c>
      <c r="E529" t="inlineStr">
        <is>
          <t>06_Integração Tec</t>
        </is>
      </c>
      <c r="F529" t="inlineStr">
        <is>
          <t>Integração tecnológica</t>
        </is>
      </c>
      <c r="G529" t="inlineStr">
        <is>
          <t>Item 2 — Registro, protocolo, rastreabilidade e acompanhamento</t>
        </is>
      </c>
      <c r="H529" t="inlineStr">
        <is>
          <t>M4-66</t>
        </is>
      </c>
      <c r="I529" t="inlineStr">
        <is>
          <t>06_Integração Tec:M4-66</t>
        </is>
      </c>
      <c r="J529" t="inlineStr">
        <is>
          <t>Doc. SEI 37070578</t>
        </is>
      </c>
      <c r="K529" t="inlineStr">
        <is>
          <t>2026-09-23T11:46:31</t>
        </is>
      </c>
    </row>
    <row r="530">
      <c r="A530" t="n">
        <v>529</v>
      </c>
      <c r="B530" t="inlineStr">
        <is>
          <t>PE</t>
        </is>
      </c>
      <c r="C530" t="inlineStr">
        <is>
          <t>PE</t>
        </is>
      </c>
      <c r="D530" t="inlineStr">
        <is>
          <t>Pernambuco</t>
        </is>
      </c>
      <c r="E530" t="inlineStr">
        <is>
          <t>06_Integração Tec</t>
        </is>
      </c>
      <c r="F530" t="inlineStr">
        <is>
          <t>Integração tecnológica</t>
        </is>
      </c>
      <c r="G530" t="inlineStr">
        <is>
          <t>Item 3 — Sigilo, autenticação e controle de acesso</t>
        </is>
      </c>
      <c r="H530" t="inlineStr">
        <is>
          <t>M2-37</t>
        </is>
      </c>
      <c r="I530" t="inlineStr">
        <is>
          <t>06_Integração Tec:M2-37</t>
        </is>
      </c>
      <c r="J530" t="inlineStr">
        <is>
          <t>Doc. SEI 37070578</t>
        </is>
      </c>
      <c r="K530" t="inlineStr">
        <is>
          <t>2026-09-23T11:46:31</t>
        </is>
      </c>
    </row>
    <row r="531">
      <c r="A531" t="n">
        <v>530</v>
      </c>
      <c r="B531" t="inlineStr">
        <is>
          <t>PE</t>
        </is>
      </c>
      <c r="C531" t="inlineStr">
        <is>
          <t>PE</t>
        </is>
      </c>
      <c r="D531" t="inlineStr">
        <is>
          <t>Pernambuco</t>
        </is>
      </c>
      <c r="E531" t="inlineStr">
        <is>
          <t>06_Integração Tec</t>
        </is>
      </c>
      <c r="F531" t="inlineStr">
        <is>
          <t>Integração tecnológica</t>
        </is>
      </c>
      <c r="G531" t="inlineStr">
        <is>
          <t>Item 4 — Computadores e acesso à internet</t>
        </is>
      </c>
      <c r="H531" t="inlineStr">
        <is>
          <t>M2-17</t>
        </is>
      </c>
      <c r="I531" t="inlineStr">
        <is>
          <t>06_Integração Tec:M2-17</t>
        </is>
      </c>
      <c r="J531" t="inlineStr">
        <is>
          <t>Doc. SEI 37070578</t>
        </is>
      </c>
      <c r="K531" t="inlineStr">
        <is>
          <t>2026-09-23T11:46:31</t>
        </is>
      </c>
    </row>
    <row r="532">
      <c r="A532" t="n">
        <v>531</v>
      </c>
      <c r="B532" t="inlineStr">
        <is>
          <t>PE</t>
        </is>
      </c>
      <c r="C532" t="inlineStr">
        <is>
          <t>PE</t>
        </is>
      </c>
      <c r="D532" t="inlineStr">
        <is>
          <t>Pernambuco</t>
        </is>
      </c>
      <c r="E532" t="inlineStr">
        <is>
          <t>06_Integração Tec</t>
        </is>
      </c>
      <c r="F532" t="inlineStr">
        <is>
          <t>Integração tecnológica</t>
        </is>
      </c>
      <c r="G532" t="inlineStr">
        <is>
          <t>Item 5 — Impressoras e scanners</t>
        </is>
      </c>
      <c r="H532" t="inlineStr">
        <is>
          <t>M2-19</t>
        </is>
      </c>
      <c r="I532" t="inlineStr">
        <is>
          <t>06_Integração Tec:M2-19</t>
        </is>
      </c>
      <c r="J532" t="inlineStr">
        <is>
          <t>Doc. SEI 37070578</t>
        </is>
      </c>
      <c r="K532" t="inlineStr">
        <is>
          <t>2026-09-23T11:46:31</t>
        </is>
      </c>
    </row>
    <row r="533">
      <c r="A533" t="n">
        <v>532</v>
      </c>
      <c r="B533" t="inlineStr">
        <is>
          <t>PE</t>
        </is>
      </c>
      <c r="C533" t="inlineStr">
        <is>
          <t>PE</t>
        </is>
      </c>
      <c r="D533" t="inlineStr">
        <is>
          <t>Pernambuco</t>
        </is>
      </c>
      <c r="E533" t="inlineStr">
        <is>
          <t>06_Integração Tec</t>
        </is>
      </c>
      <c r="F533" t="inlineStr">
        <is>
          <t>Integração tecnológica</t>
        </is>
      </c>
      <c r="G533" t="inlineStr">
        <is>
          <t>Item 5 — Impressoras e scanners</t>
        </is>
      </c>
      <c r="H533" t="inlineStr">
        <is>
          <t>M2-21</t>
        </is>
      </c>
      <c r="I533" t="inlineStr">
        <is>
          <t>06_Integração Tec:M2-21</t>
        </is>
      </c>
      <c r="J533" t="inlineStr">
        <is>
          <t>Doc. SEI 37070578</t>
        </is>
      </c>
      <c r="K533" t="inlineStr">
        <is>
          <t>2026-09-23T11:46:31</t>
        </is>
      </c>
    </row>
    <row r="534">
      <c r="A534" t="n">
        <v>533</v>
      </c>
      <c r="B534" t="inlineStr">
        <is>
          <t>PE</t>
        </is>
      </c>
      <c r="C534" t="inlineStr">
        <is>
          <t>PE</t>
        </is>
      </c>
      <c r="D534" t="inlineStr">
        <is>
          <t>Pernambuco</t>
        </is>
      </c>
      <c r="E534" t="inlineStr">
        <is>
          <t>06_Integração Tec</t>
        </is>
      </c>
      <c r="F534" t="inlineStr">
        <is>
          <t>Integração tecnológica</t>
        </is>
      </c>
      <c r="G534" t="inlineStr">
        <is>
          <t>Item 6 — Aparelhos de telefone celular</t>
        </is>
      </c>
      <c r="H534" t="inlineStr">
        <is>
          <t>M2-27</t>
        </is>
      </c>
      <c r="I534" t="inlineStr">
        <is>
          <t>06_Integração Tec:M2-27</t>
        </is>
      </c>
      <c r="J534" t="inlineStr">
        <is>
          <t>Doc. SEI 37070578</t>
        </is>
      </c>
      <c r="K534" t="inlineStr">
        <is>
          <t>2026-09-23T11:46:31</t>
        </is>
      </c>
    </row>
    <row r="535">
      <c r="A535" t="n">
        <v>534</v>
      </c>
      <c r="B535" t="inlineStr">
        <is>
          <t>PE</t>
        </is>
      </c>
      <c r="C535" t="inlineStr">
        <is>
          <t>PE</t>
        </is>
      </c>
      <c r="D535" t="inlineStr">
        <is>
          <t>Pernambuco</t>
        </is>
      </c>
      <c r="E535" t="inlineStr">
        <is>
          <t>07_Maturidade</t>
        </is>
      </c>
      <c r="F535" t="inlineStr">
        <is>
          <t>Maturidade / bônus</t>
        </is>
      </c>
      <c r="G535" t="inlineStr">
        <is>
          <t>Bônus — Uso do canal Fala.BR</t>
        </is>
      </c>
      <c r="H535" t="inlineStr">
        <is>
          <t>M2-46</t>
        </is>
      </c>
      <c r="I535" t="inlineStr">
        <is>
          <t>07_Maturidade:M2-46</t>
        </is>
      </c>
      <c r="J535" t="inlineStr">
        <is>
          <t>Doc. SEI 37070578</t>
        </is>
      </c>
      <c r="K535" t="inlineStr">
        <is>
          <t>2026-09-23T11:46:31</t>
        </is>
      </c>
    </row>
    <row r="536">
      <c r="A536" t="n">
        <v>535</v>
      </c>
      <c r="B536" t="inlineStr">
        <is>
          <t>PE</t>
        </is>
      </c>
      <c r="C536" t="inlineStr">
        <is>
          <t>PE</t>
        </is>
      </c>
      <c r="D536" t="inlineStr">
        <is>
          <t>Pernambuco</t>
        </is>
      </c>
      <c r="E536" t="inlineStr">
        <is>
          <t>07_Maturidade</t>
        </is>
      </c>
      <c r="F536" t="inlineStr">
        <is>
          <t>Maturidade / bônus</t>
        </is>
      </c>
      <c r="G536" t="inlineStr">
        <is>
          <t>Bônus — Designação por mandato</t>
        </is>
      </c>
      <c r="H536" t="inlineStr">
        <is>
          <t>M0-08</t>
        </is>
      </c>
      <c r="I536" t="inlineStr">
        <is>
          <t>07_Maturidade:M0-08</t>
        </is>
      </c>
      <c r="J536" t="inlineStr">
        <is>
          <t>Doc. SEI 37070578</t>
        </is>
      </c>
      <c r="K536" t="inlineStr">
        <is>
          <t>2026-09-23T11:46:31</t>
        </is>
      </c>
    </row>
    <row r="537">
      <c r="A537" t="n">
        <v>536</v>
      </c>
      <c r="B537" t="inlineStr">
        <is>
          <t>PE</t>
        </is>
      </c>
      <c r="C537" t="inlineStr">
        <is>
          <t>PE</t>
        </is>
      </c>
      <c r="D537" t="inlineStr">
        <is>
          <t>Pernambuco</t>
        </is>
      </c>
      <c r="E537" t="inlineStr">
        <is>
          <t>07_Maturidade</t>
        </is>
      </c>
      <c r="F537" t="inlineStr">
        <is>
          <t>Maturidade / bônus</t>
        </is>
      </c>
      <c r="G537" t="inlineStr">
        <is>
          <t>Bônus — Dedicação da equipe</t>
        </is>
      </c>
      <c r="H537" t="inlineStr">
        <is>
          <t>M3-60</t>
        </is>
      </c>
      <c r="I537" t="inlineStr">
        <is>
          <t>07_Maturidade:M3-60</t>
        </is>
      </c>
      <c r="J537" t="inlineStr">
        <is>
          <t>Doc. SEI 37070578</t>
        </is>
      </c>
      <c r="K537" t="inlineStr">
        <is>
          <t>2026-09-23T11:46:31</t>
        </is>
      </c>
    </row>
    <row r="538">
      <c r="A538" t="n">
        <v>537</v>
      </c>
      <c r="B538" t="inlineStr">
        <is>
          <t>PE</t>
        </is>
      </c>
      <c r="C538" t="inlineStr">
        <is>
          <t>PE</t>
        </is>
      </c>
      <c r="D538" t="inlineStr">
        <is>
          <t>Pernambuco</t>
        </is>
      </c>
      <c r="E538" t="inlineStr">
        <is>
          <t>07_Maturidade</t>
        </is>
      </c>
      <c r="F538" t="inlineStr">
        <is>
          <t>Maturidade / bônus</t>
        </is>
      </c>
      <c r="G538" t="inlineStr">
        <is>
          <t>Bônus — Requisitos de perfil para o cargo de Ouvidor</t>
        </is>
      </c>
      <c r="H538" t="inlineStr">
        <is>
          <t>M3-58</t>
        </is>
      </c>
      <c r="I538" t="inlineStr">
        <is>
          <t>07_Maturidade:M3-58</t>
        </is>
      </c>
      <c r="J538" t="inlineStr">
        <is>
          <t>Doc. SEI 37070578</t>
        </is>
      </c>
      <c r="K538" t="inlineStr">
        <is>
          <t>2026-09-23T11:46:31</t>
        </is>
      </c>
    </row>
    <row r="539">
      <c r="A539" t="n">
        <v>538</v>
      </c>
      <c r="B539" t="inlineStr">
        <is>
          <t>PE</t>
        </is>
      </c>
      <c r="C539" t="inlineStr">
        <is>
          <t>PE</t>
        </is>
      </c>
      <c r="D539" t="inlineStr">
        <is>
          <t>Pernambuco</t>
        </is>
      </c>
      <c r="E539" t="inlineStr">
        <is>
          <t>07_Maturidade</t>
        </is>
      </c>
      <c r="F539" t="inlineStr">
        <is>
          <t>Maturidade / bônus</t>
        </is>
      </c>
      <c r="G539" t="inlineStr">
        <is>
          <t>Bônus — WhatsApp institucional</t>
        </is>
      </c>
      <c r="H539" t="inlineStr">
        <is>
          <t>M2-50</t>
        </is>
      </c>
      <c r="I539" t="inlineStr">
        <is>
          <t>07_Maturidade:M2-50</t>
        </is>
      </c>
      <c r="J539" t="inlineStr">
        <is>
          <t>Doc. SEI 37070578</t>
        </is>
      </c>
      <c r="K539" t="inlineStr">
        <is>
          <t>2026-09-23T11:46:31</t>
        </is>
      </c>
    </row>
    <row r="540">
      <c r="A540" t="n">
        <v>539</v>
      </c>
      <c r="B540" t="inlineStr">
        <is>
          <t>PE</t>
        </is>
      </c>
      <c r="C540" t="inlineStr">
        <is>
          <t>PE</t>
        </is>
      </c>
      <c r="D540" t="inlineStr">
        <is>
          <t>Pernambuco</t>
        </is>
      </c>
      <c r="E540" t="inlineStr">
        <is>
          <t>07_Maturidade</t>
        </is>
      </c>
      <c r="F540" t="inlineStr">
        <is>
          <t>Maturidade / bônus</t>
        </is>
      </c>
      <c r="G540" t="inlineStr">
        <is>
          <t>Bônus — Outros canais eletrônicos institucionais</t>
        </is>
      </c>
      <c r="H540" t="inlineStr">
        <is>
          <t>M2-49</t>
        </is>
      </c>
      <c r="I540" t="inlineStr">
        <is>
          <t>07_Maturidade:M2-49</t>
        </is>
      </c>
      <c r="J540" t="inlineStr">
        <is>
          <t>Doc. SEI 37070578</t>
        </is>
      </c>
      <c r="K540" t="inlineStr">
        <is>
          <t>2026-09-23T11:46:31</t>
        </is>
      </c>
    </row>
    <row r="541">
      <c r="A541" t="n">
        <v>540</v>
      </c>
      <c r="B541" t="inlineStr">
        <is>
          <t>PE</t>
        </is>
      </c>
      <c r="C541" t="inlineStr">
        <is>
          <t>PE</t>
        </is>
      </c>
      <c r="D541" t="inlineStr">
        <is>
          <t>Pernambuco</t>
        </is>
      </c>
      <c r="E541" t="inlineStr">
        <is>
          <t>07_Maturidade</t>
        </is>
      </c>
      <c r="F541" t="inlineStr">
        <is>
          <t>Maturidade / bônus</t>
        </is>
      </c>
      <c r="G541" t="inlineStr">
        <is>
          <t>Bônus — Materiais adicionais de divulgação e educação em direitos</t>
        </is>
      </c>
      <c r="H541" t="inlineStr">
        <is>
          <t>M2-36</t>
        </is>
      </c>
      <c r="I541" t="inlineStr">
        <is>
          <t>07_Maturidade:M2-36</t>
        </is>
      </c>
      <c r="J541" t="inlineStr">
        <is>
          <t>Doc. SEI 37070578</t>
        </is>
      </c>
      <c r="K541" t="inlineStr">
        <is>
          <t>2026-09-23T11:46:31</t>
        </is>
      </c>
    </row>
    <row r="542">
      <c r="A542" t="n">
        <v>541</v>
      </c>
      <c r="B542" t="inlineStr">
        <is>
          <t>PI</t>
        </is>
      </c>
      <c r="C542" t="inlineStr">
        <is>
          <t>PI</t>
        </is>
      </c>
      <c r="D542" t="inlineStr">
        <is>
          <t>Piauí</t>
        </is>
      </c>
      <c r="E542" t="inlineStr">
        <is>
          <t>01_Institucionalização</t>
        </is>
      </c>
      <c r="F542" t="inlineStr">
        <is>
          <t>Institucionalização</t>
        </is>
      </c>
      <c r="G542" t="inlineStr">
        <is>
          <t>Item 1 — Instituição formal da Ouvidoria de Serviços Penais</t>
        </is>
      </c>
      <c r="H542" t="inlineStr">
        <is>
          <t>M1-11</t>
        </is>
      </c>
      <c r="I542" t="inlineStr">
        <is>
          <t>01_Institucionalização:M1-11</t>
        </is>
      </c>
      <c r="J542" t="inlineStr">
        <is>
          <t>Doc. SEI 37070578</t>
        </is>
      </c>
      <c r="K542" t="inlineStr">
        <is>
          <t>2026-09-23T11:46:31</t>
        </is>
      </c>
    </row>
    <row r="543">
      <c r="A543" t="n">
        <v>542</v>
      </c>
      <c r="B543" t="inlineStr">
        <is>
          <t>PI</t>
        </is>
      </c>
      <c r="C543" t="inlineStr">
        <is>
          <t>PI</t>
        </is>
      </c>
      <c r="D543" t="inlineStr">
        <is>
          <t>Piauí</t>
        </is>
      </c>
      <c r="E543" t="inlineStr">
        <is>
          <t>02_Autonomia</t>
        </is>
      </c>
      <c r="F543" t="inlineStr">
        <is>
          <t>Autonomia técnica e funcional</t>
        </is>
      </c>
      <c r="G543" t="inlineStr">
        <is>
          <t>Item 1 — Garantia normativa de autonomia técnica/funcional</t>
        </is>
      </c>
      <c r="H543" t="inlineStr">
        <is>
          <t>M3-56</t>
        </is>
      </c>
      <c r="I543" t="inlineStr">
        <is>
          <t>02_Autonomia:M3-56</t>
        </is>
      </c>
      <c r="J543" t="inlineStr">
        <is>
          <t>Doc. SEI 37070578</t>
        </is>
      </c>
      <c r="K543" t="inlineStr">
        <is>
          <t>2026-09-23T11:46:31</t>
        </is>
      </c>
    </row>
    <row r="544">
      <c r="A544" t="n">
        <v>543</v>
      </c>
      <c r="B544" t="inlineStr">
        <is>
          <t>PI</t>
        </is>
      </c>
      <c r="C544" t="inlineStr">
        <is>
          <t>PI</t>
        </is>
      </c>
      <c r="D544" t="inlineStr">
        <is>
          <t>Piauí</t>
        </is>
      </c>
      <c r="E544" t="inlineStr">
        <is>
          <t>02_Autonomia</t>
        </is>
      </c>
      <c r="F544" t="inlineStr">
        <is>
          <t>Autonomia técnica e funcional</t>
        </is>
      </c>
      <c r="G544" t="inlineStr">
        <is>
          <t>Item 1 — Garantia normativa de autonomia técnica/funcional</t>
        </is>
      </c>
      <c r="H544" t="inlineStr">
        <is>
          <t>M3-57</t>
        </is>
      </c>
      <c r="I544" t="inlineStr">
        <is>
          <t>02_Autonomia:M3-57</t>
        </is>
      </c>
      <c r="J544" t="inlineStr">
        <is>
          <t>Doc. SEI 37070578</t>
        </is>
      </c>
      <c r="K544" t="inlineStr">
        <is>
          <t>2026-09-23T11:46:31</t>
        </is>
      </c>
    </row>
    <row r="545">
      <c r="A545" t="n">
        <v>544</v>
      </c>
      <c r="B545" t="inlineStr">
        <is>
          <t>PI</t>
        </is>
      </c>
      <c r="C545" t="inlineStr">
        <is>
          <t>PI</t>
        </is>
      </c>
      <c r="D545" t="inlineStr">
        <is>
          <t>Piauí</t>
        </is>
      </c>
      <c r="E545" t="inlineStr">
        <is>
          <t>02_Autonomia</t>
        </is>
      </c>
      <c r="F545" t="inlineStr">
        <is>
          <t>Autonomia técnica e funcional</t>
        </is>
      </c>
      <c r="G545" t="inlineStr">
        <is>
          <t>Item 2 — Condições institucionais de atuação sem interferência indevida</t>
        </is>
      </c>
      <c r="H545" t="inlineStr">
        <is>
          <t>M1-12</t>
        </is>
      </c>
      <c r="I545" t="inlineStr">
        <is>
          <t>02_Autonomia:M1-12</t>
        </is>
      </c>
      <c r="J545" t="inlineStr">
        <is>
          <t>Doc. SEI 37070578</t>
        </is>
      </c>
      <c r="K545" t="inlineStr">
        <is>
          <t>2026-09-23T11:46:31</t>
        </is>
      </c>
    </row>
    <row r="546">
      <c r="A546" t="n">
        <v>545</v>
      </c>
      <c r="B546" t="inlineStr">
        <is>
          <t>PI</t>
        </is>
      </c>
      <c r="C546" t="inlineStr">
        <is>
          <t>PI</t>
        </is>
      </c>
      <c r="D546" t="inlineStr">
        <is>
          <t>Piauí</t>
        </is>
      </c>
      <c r="E546" t="inlineStr">
        <is>
          <t>02_Autonomia</t>
        </is>
      </c>
      <c r="F546" t="inlineStr">
        <is>
          <t>Autonomia técnica e funcional</t>
        </is>
      </c>
      <c r="G546" t="inlineStr">
        <is>
          <t>Item 2 — Condições institucionais de atuação sem interferência indevida</t>
        </is>
      </c>
      <c r="H546" t="inlineStr">
        <is>
          <t>M4-67</t>
        </is>
      </c>
      <c r="I546" t="inlineStr">
        <is>
          <t>02_Autonomia:M4-67</t>
        </is>
      </c>
      <c r="J546" t="inlineStr">
        <is>
          <t>Doc. SEI 37070578</t>
        </is>
      </c>
      <c r="K546" t="inlineStr">
        <is>
          <t>2026-09-23T11:46:31</t>
        </is>
      </c>
    </row>
    <row r="547">
      <c r="A547" t="n">
        <v>546</v>
      </c>
      <c r="B547" t="inlineStr">
        <is>
          <t>PI</t>
        </is>
      </c>
      <c r="C547" t="inlineStr">
        <is>
          <t>PI</t>
        </is>
      </c>
      <c r="D547" t="inlineStr">
        <is>
          <t>Piauí</t>
        </is>
      </c>
      <c r="E547" t="inlineStr">
        <is>
          <t>02_Autonomia</t>
        </is>
      </c>
      <c r="F547" t="inlineStr">
        <is>
          <t>Autonomia técnica e funcional</t>
        </is>
      </c>
      <c r="G547" t="inlineStr">
        <is>
          <t>Item 2 — Condições institucionais de atuação sem interferência indevida</t>
        </is>
      </c>
      <c r="H547" t="inlineStr">
        <is>
          <t>M4-68</t>
        </is>
      </c>
      <c r="I547" t="inlineStr">
        <is>
          <t>02_Autonomia:M4-68</t>
        </is>
      </c>
      <c r="J547" t="inlineStr">
        <is>
          <t>Doc. SEI 37070578</t>
        </is>
      </c>
      <c r="K547" t="inlineStr">
        <is>
          <t>2026-09-23T11:46:31</t>
        </is>
      </c>
    </row>
    <row r="548">
      <c r="A548" t="n">
        <v>547</v>
      </c>
      <c r="B548" t="inlineStr">
        <is>
          <t>PI</t>
        </is>
      </c>
      <c r="C548" t="inlineStr">
        <is>
          <t>PI</t>
        </is>
      </c>
      <c r="D548" t="inlineStr">
        <is>
          <t>Piauí</t>
        </is>
      </c>
      <c r="E548" t="inlineStr">
        <is>
          <t>03_Imparcialidade</t>
        </is>
      </c>
      <c r="F548" t="inlineStr">
        <is>
          <t>Imparcialidade, sigilo e proteção</t>
        </is>
      </c>
      <c r="G548" t="inlineStr">
        <is>
          <t>Item 1 — Proteção e tratamento de denúncias graves e sensíveis</t>
        </is>
      </c>
      <c r="H548" t="inlineStr">
        <is>
          <t>M4-69</t>
        </is>
      </c>
      <c r="I548" t="inlineStr">
        <is>
          <t>03_Imparcialidade:M4-69</t>
        </is>
      </c>
      <c r="J548" t="inlineStr">
        <is>
          <t>Doc. SEI 37070578</t>
        </is>
      </c>
      <c r="K548" t="inlineStr">
        <is>
          <t>2026-09-23T11:46:31</t>
        </is>
      </c>
    </row>
    <row r="549">
      <c r="A549" t="n">
        <v>548</v>
      </c>
      <c r="B549" t="inlineStr">
        <is>
          <t>PI</t>
        </is>
      </c>
      <c r="C549" t="inlineStr">
        <is>
          <t>PI</t>
        </is>
      </c>
      <c r="D549" t="inlineStr">
        <is>
          <t>Piauí</t>
        </is>
      </c>
      <c r="E549" t="inlineStr">
        <is>
          <t>03_Imparcialidade</t>
        </is>
      </c>
      <c r="F549" t="inlineStr">
        <is>
          <t>Imparcialidade, sigilo e proteção</t>
        </is>
      </c>
      <c r="G549" t="inlineStr">
        <is>
          <t>Item 2 — Confidencialidade e sigilo da equipe</t>
        </is>
      </c>
      <c r="H549" t="inlineStr">
        <is>
          <t>M3-63</t>
        </is>
      </c>
      <c r="I549" t="inlineStr">
        <is>
          <t>03_Imparcialidade:M3-63</t>
        </is>
      </c>
      <c r="J549" t="inlineStr">
        <is>
          <t>Doc. SEI 37070578</t>
        </is>
      </c>
      <c r="K549" t="inlineStr">
        <is>
          <t>2026-09-23T11:46:31</t>
        </is>
      </c>
    </row>
    <row r="550">
      <c r="A550" t="n">
        <v>549</v>
      </c>
      <c r="B550" t="inlineStr">
        <is>
          <t>PI</t>
        </is>
      </c>
      <c r="C550" t="inlineStr">
        <is>
          <t>PI</t>
        </is>
      </c>
      <c r="D550" t="inlineStr">
        <is>
          <t>Piauí</t>
        </is>
      </c>
      <c r="E550" t="inlineStr">
        <is>
          <t>04_Acessibilidade</t>
        </is>
      </c>
      <c r="F550" t="inlineStr">
        <is>
          <t>Acessibilidade e atendimento humanizado</t>
        </is>
      </c>
      <c r="G550" t="inlineStr">
        <is>
          <t>Item 1 — Canais institucionais acessíveis</t>
        </is>
      </c>
      <c r="H550" t="inlineStr">
        <is>
          <t>M2-41</t>
        </is>
      </c>
      <c r="I550" t="inlineStr">
        <is>
          <t>04_Acessibilidade:M2-41</t>
        </is>
      </c>
      <c r="J550" t="inlineStr">
        <is>
          <t>Doc. SEI 37070578</t>
        </is>
      </c>
      <c r="K550" t="inlineStr">
        <is>
          <t>2026-09-23T11:46:31</t>
        </is>
      </c>
    </row>
    <row r="551">
      <c r="A551" t="n">
        <v>550</v>
      </c>
      <c r="B551" t="inlineStr">
        <is>
          <t>PI</t>
        </is>
      </c>
      <c r="C551" t="inlineStr">
        <is>
          <t>PI</t>
        </is>
      </c>
      <c r="D551" t="inlineStr">
        <is>
          <t>Piauí</t>
        </is>
      </c>
      <c r="E551" t="inlineStr">
        <is>
          <t>04_Acessibilidade</t>
        </is>
      </c>
      <c r="F551" t="inlineStr">
        <is>
          <t>Acessibilidade e atendimento humanizado</t>
        </is>
      </c>
      <c r="G551" t="inlineStr">
        <is>
          <t>Item 1 — Canais institucionais acessíveis</t>
        </is>
      </c>
      <c r="H551" t="inlineStr">
        <is>
          <t>M2-43</t>
        </is>
      </c>
      <c r="I551" t="inlineStr">
        <is>
          <t>04_Acessibilidade:M2-43</t>
        </is>
      </c>
      <c r="J551" t="inlineStr">
        <is>
          <t>Doc. SEI 37070578</t>
        </is>
      </c>
      <c r="K551" t="inlineStr">
        <is>
          <t>2026-09-23T11:46:31</t>
        </is>
      </c>
    </row>
    <row r="552">
      <c r="A552" t="n">
        <v>551</v>
      </c>
      <c r="B552" t="inlineStr">
        <is>
          <t>PI</t>
        </is>
      </c>
      <c r="C552" t="inlineStr">
        <is>
          <t>PI</t>
        </is>
      </c>
      <c r="D552" t="inlineStr">
        <is>
          <t>Piauí</t>
        </is>
      </c>
      <c r="E552" t="inlineStr">
        <is>
          <t>04_Acessibilidade</t>
        </is>
      </c>
      <c r="F552" t="inlineStr">
        <is>
          <t>Acessibilidade e atendimento humanizado</t>
        </is>
      </c>
      <c r="G552" t="inlineStr">
        <is>
          <t>Item 1 — Canais institucionais acessíveis</t>
        </is>
      </c>
      <c r="H552" t="inlineStr">
        <is>
          <t>M2-47</t>
        </is>
      </c>
      <c r="I552" t="inlineStr">
        <is>
          <t>04_Acessibilidade:M2-47</t>
        </is>
      </c>
      <c r="J552" t="inlineStr">
        <is>
          <t>Doc. SEI 37070578</t>
        </is>
      </c>
      <c r="K552" t="inlineStr">
        <is>
          <t>2026-09-23T11:46:31</t>
        </is>
      </c>
    </row>
    <row r="553">
      <c r="A553" t="n">
        <v>552</v>
      </c>
      <c r="B553" t="inlineStr">
        <is>
          <t>PI</t>
        </is>
      </c>
      <c r="C553" t="inlineStr">
        <is>
          <t>PI</t>
        </is>
      </c>
      <c r="D553" t="inlineStr">
        <is>
          <t>Piauí</t>
        </is>
      </c>
      <c r="E553" t="inlineStr">
        <is>
          <t>04_Acessibilidade</t>
        </is>
      </c>
      <c r="F553" t="inlineStr">
        <is>
          <t>Acessibilidade e atendimento humanizado</t>
        </is>
      </c>
      <c r="G553" t="inlineStr">
        <is>
          <t>Item 2 — Condições de atendimento reservado e acessível</t>
        </is>
      </c>
      <c r="H553" t="inlineStr">
        <is>
          <t>M2-16</t>
        </is>
      </c>
      <c r="I553" t="inlineStr">
        <is>
          <t>04_Acessibilidade:M2-16</t>
        </is>
      </c>
      <c r="J553" t="inlineStr">
        <is>
          <t>Doc. SEI 37070578</t>
        </is>
      </c>
      <c r="K553" t="inlineStr">
        <is>
          <t>2026-09-23T11:46:31</t>
        </is>
      </c>
    </row>
    <row r="554">
      <c r="A554" t="n">
        <v>553</v>
      </c>
      <c r="B554" t="inlineStr">
        <is>
          <t>PI</t>
        </is>
      </c>
      <c r="C554" t="inlineStr">
        <is>
          <t>PI</t>
        </is>
      </c>
      <c r="D554" t="inlineStr">
        <is>
          <t>Piauí</t>
        </is>
      </c>
      <c r="E554" t="inlineStr">
        <is>
          <t>04_Acessibilidade</t>
        </is>
      </c>
      <c r="F554" t="inlineStr">
        <is>
          <t>Acessibilidade e atendimento humanizado</t>
        </is>
      </c>
      <c r="G554" t="inlineStr">
        <is>
          <t>Item 3 — Alcance dos públicos dos serviços penais</t>
        </is>
      </c>
      <c r="H554" t="inlineStr">
        <is>
          <t>M1-13</t>
        </is>
      </c>
      <c r="I554" t="inlineStr">
        <is>
          <t>04_Acessibilidade:M1-13</t>
        </is>
      </c>
      <c r="J554" t="inlineStr">
        <is>
          <t>Doc. SEI 37070578</t>
        </is>
      </c>
      <c r="K554" t="inlineStr">
        <is>
          <t>2026-09-23T11:46:31</t>
        </is>
      </c>
    </row>
    <row r="555">
      <c r="A555" t="n">
        <v>554</v>
      </c>
      <c r="B555" t="inlineStr">
        <is>
          <t>PI</t>
        </is>
      </c>
      <c r="C555" t="inlineStr">
        <is>
          <t>PI</t>
        </is>
      </c>
      <c r="D555" t="inlineStr">
        <is>
          <t>Piauí</t>
        </is>
      </c>
      <c r="E555" t="inlineStr">
        <is>
          <t>04_Acessibilidade</t>
        </is>
      </c>
      <c r="F555" t="inlineStr">
        <is>
          <t>Acessibilidade e atendimento humanizado</t>
        </is>
      </c>
      <c r="G555" t="inlineStr">
        <is>
          <t>Item 3 — Alcance dos públicos dos serviços penais</t>
        </is>
      </c>
      <c r="H555" t="inlineStr">
        <is>
          <t>M4-64</t>
        </is>
      </c>
      <c r="I555" t="inlineStr">
        <is>
          <t>04_Acessibilidade:M4-64</t>
        </is>
      </c>
      <c r="J555" t="inlineStr">
        <is>
          <t>Doc. SEI 37070578</t>
        </is>
      </c>
      <c r="K555" t="inlineStr">
        <is>
          <t>2026-09-23T11:46:31</t>
        </is>
      </c>
    </row>
    <row r="556">
      <c r="A556" t="n">
        <v>555</v>
      </c>
      <c r="B556" t="inlineStr">
        <is>
          <t>PI</t>
        </is>
      </c>
      <c r="C556" t="inlineStr">
        <is>
          <t>PI</t>
        </is>
      </c>
      <c r="D556" t="inlineStr">
        <is>
          <t>Piauí</t>
        </is>
      </c>
      <c r="E556" t="inlineStr">
        <is>
          <t>05_Transparência</t>
        </is>
      </c>
      <c r="F556" t="inlineStr">
        <is>
          <t>Transparência e publicidade</t>
        </is>
      </c>
      <c r="G556" t="inlineStr">
        <is>
          <t>Item 1 — Visibilidade institucional e divulgação dos canais</t>
        </is>
      </c>
      <c r="H556" t="inlineStr">
        <is>
          <t>M2-35</t>
        </is>
      </c>
      <c r="I556" t="inlineStr">
        <is>
          <t>05_Transparência:M2-35</t>
        </is>
      </c>
      <c r="J556" t="inlineStr">
        <is>
          <t>Doc. SEI 37070578</t>
        </is>
      </c>
      <c r="K556" t="inlineStr">
        <is>
          <t>2026-09-23T11:46:31</t>
        </is>
      </c>
    </row>
    <row r="557">
      <c r="A557" t="n">
        <v>556</v>
      </c>
      <c r="B557" t="inlineStr">
        <is>
          <t>PI</t>
        </is>
      </c>
      <c r="C557" t="inlineStr">
        <is>
          <t>PI</t>
        </is>
      </c>
      <c r="D557" t="inlineStr">
        <is>
          <t>Piauí</t>
        </is>
      </c>
      <c r="E557" t="inlineStr">
        <is>
          <t>05_Transparência</t>
        </is>
      </c>
      <c r="F557" t="inlineStr">
        <is>
          <t>Transparência e publicidade</t>
        </is>
      </c>
      <c r="G557" t="inlineStr">
        <is>
          <t>Item 2 — Publicidade das ações e atividades</t>
        </is>
      </c>
      <c r="H557" t="inlineStr">
        <is>
          <t>M4-71</t>
        </is>
      </c>
      <c r="I557" t="inlineStr">
        <is>
          <t>05_Transparência:M4-71</t>
        </is>
      </c>
      <c r="J557" t="inlineStr">
        <is>
          <t>Doc. SEI 37070578</t>
        </is>
      </c>
      <c r="K557" t="inlineStr">
        <is>
          <t>2026-09-23T11:46:31</t>
        </is>
      </c>
    </row>
    <row r="558">
      <c r="A558" t="n">
        <v>557</v>
      </c>
      <c r="B558" t="inlineStr">
        <is>
          <t>PI</t>
        </is>
      </c>
      <c r="C558" t="inlineStr">
        <is>
          <t>PI</t>
        </is>
      </c>
      <c r="D558" t="inlineStr">
        <is>
          <t>Piauí</t>
        </is>
      </c>
      <c r="E558" t="inlineStr">
        <is>
          <t>06_Integração Tec</t>
        </is>
      </c>
      <c r="F558" t="inlineStr">
        <is>
          <t>Integração tecnológica</t>
        </is>
      </c>
      <c r="G558" t="inlineStr">
        <is>
          <t>Item 1 — Canal eletrônico e solução para registro e gestão das manifestações</t>
        </is>
      </c>
      <c r="H558" t="inlineStr">
        <is>
          <t>M2-45</t>
        </is>
      </c>
      <c r="I558" t="inlineStr">
        <is>
          <t>06_Integração Tec:M2-45</t>
        </is>
      </c>
      <c r="J558" t="inlineStr">
        <is>
          <t>Doc. SEI 37070578</t>
        </is>
      </c>
      <c r="K558" t="inlineStr">
        <is>
          <t>2026-09-23T11:46:31</t>
        </is>
      </c>
    </row>
    <row r="559">
      <c r="A559" t="n">
        <v>558</v>
      </c>
      <c r="B559" t="inlineStr">
        <is>
          <t>PI</t>
        </is>
      </c>
      <c r="C559" t="inlineStr">
        <is>
          <t>PI</t>
        </is>
      </c>
      <c r="D559" t="inlineStr">
        <is>
          <t>Piauí</t>
        </is>
      </c>
      <c r="E559" t="inlineStr">
        <is>
          <t>06_Integração Tec</t>
        </is>
      </c>
      <c r="F559" t="inlineStr">
        <is>
          <t>Integração tecnológica</t>
        </is>
      </c>
      <c r="G559" t="inlineStr">
        <is>
          <t>Item 2 — Registro, protocolo, rastreabilidade e acompanhamento</t>
        </is>
      </c>
      <c r="H559" t="inlineStr">
        <is>
          <t>M4-66</t>
        </is>
      </c>
      <c r="I559" t="inlineStr">
        <is>
          <t>06_Integração Tec:M4-66</t>
        </is>
      </c>
      <c r="J559" t="inlineStr">
        <is>
          <t>Doc. SEI 37070578</t>
        </is>
      </c>
      <c r="K559" t="inlineStr">
        <is>
          <t>2026-09-23T11:46:31</t>
        </is>
      </c>
    </row>
    <row r="560">
      <c r="A560" t="n">
        <v>559</v>
      </c>
      <c r="B560" t="inlineStr">
        <is>
          <t>PI</t>
        </is>
      </c>
      <c r="C560" t="inlineStr">
        <is>
          <t>PI</t>
        </is>
      </c>
      <c r="D560" t="inlineStr">
        <is>
          <t>Piauí</t>
        </is>
      </c>
      <c r="E560" t="inlineStr">
        <is>
          <t>06_Integração Tec</t>
        </is>
      </c>
      <c r="F560" t="inlineStr">
        <is>
          <t>Integração tecnológica</t>
        </is>
      </c>
      <c r="G560" t="inlineStr">
        <is>
          <t>Item 3 — Sigilo, autenticação e controle de acesso</t>
        </is>
      </c>
      <c r="H560" t="inlineStr">
        <is>
          <t>M2-37</t>
        </is>
      </c>
      <c r="I560" t="inlineStr">
        <is>
          <t>06_Integração Tec:M2-37</t>
        </is>
      </c>
      <c r="J560" t="inlineStr">
        <is>
          <t>Doc. SEI 37070578</t>
        </is>
      </c>
      <c r="K560" t="inlineStr">
        <is>
          <t>2026-09-23T11:46:31</t>
        </is>
      </c>
    </row>
    <row r="561">
      <c r="A561" t="n">
        <v>560</v>
      </c>
      <c r="B561" t="inlineStr">
        <is>
          <t>PI</t>
        </is>
      </c>
      <c r="C561" t="inlineStr">
        <is>
          <t>PI</t>
        </is>
      </c>
      <c r="D561" t="inlineStr">
        <is>
          <t>Piauí</t>
        </is>
      </c>
      <c r="E561" t="inlineStr">
        <is>
          <t>06_Integração Tec</t>
        </is>
      </c>
      <c r="F561" t="inlineStr">
        <is>
          <t>Integração tecnológica</t>
        </is>
      </c>
      <c r="G561" t="inlineStr">
        <is>
          <t>Item 4 — Computadores e acesso à internet</t>
        </is>
      </c>
      <c r="H561" t="inlineStr">
        <is>
          <t>M2-17</t>
        </is>
      </c>
      <c r="I561" t="inlineStr">
        <is>
          <t>06_Integração Tec:M2-17</t>
        </is>
      </c>
      <c r="J561" t="inlineStr">
        <is>
          <t>Doc. SEI 37070578</t>
        </is>
      </c>
      <c r="K561" t="inlineStr">
        <is>
          <t>2026-09-23T11:46:31</t>
        </is>
      </c>
    </row>
    <row r="562">
      <c r="A562" t="n">
        <v>561</v>
      </c>
      <c r="B562" t="inlineStr">
        <is>
          <t>PI</t>
        </is>
      </c>
      <c r="C562" t="inlineStr">
        <is>
          <t>PI</t>
        </is>
      </c>
      <c r="D562" t="inlineStr">
        <is>
          <t>Piauí</t>
        </is>
      </c>
      <c r="E562" t="inlineStr">
        <is>
          <t>06_Integração Tec</t>
        </is>
      </c>
      <c r="F562" t="inlineStr">
        <is>
          <t>Integração tecnológica</t>
        </is>
      </c>
      <c r="G562" t="inlineStr">
        <is>
          <t>Item 5 — Impressoras e scanners</t>
        </is>
      </c>
      <c r="H562" t="inlineStr">
        <is>
          <t>M2-19</t>
        </is>
      </c>
      <c r="I562" t="inlineStr">
        <is>
          <t>06_Integração Tec:M2-19</t>
        </is>
      </c>
      <c r="J562" t="inlineStr">
        <is>
          <t>Doc. SEI 37070578</t>
        </is>
      </c>
      <c r="K562" t="inlineStr">
        <is>
          <t>2026-09-23T11:46:31</t>
        </is>
      </c>
    </row>
    <row r="563">
      <c r="A563" t="n">
        <v>562</v>
      </c>
      <c r="B563" t="inlineStr">
        <is>
          <t>PI</t>
        </is>
      </c>
      <c r="C563" t="inlineStr">
        <is>
          <t>PI</t>
        </is>
      </c>
      <c r="D563" t="inlineStr">
        <is>
          <t>Piauí</t>
        </is>
      </c>
      <c r="E563" t="inlineStr">
        <is>
          <t>06_Integração Tec</t>
        </is>
      </c>
      <c r="F563" t="inlineStr">
        <is>
          <t>Integração tecnológica</t>
        </is>
      </c>
      <c r="G563" t="inlineStr">
        <is>
          <t>Item 5 — Impressoras e scanners</t>
        </is>
      </c>
      <c r="H563" t="inlineStr">
        <is>
          <t>M2-21</t>
        </is>
      </c>
      <c r="I563" t="inlineStr">
        <is>
          <t>06_Integração Tec:M2-21</t>
        </is>
      </c>
      <c r="J563" t="inlineStr">
        <is>
          <t>Doc. SEI 37070578</t>
        </is>
      </c>
      <c r="K563" t="inlineStr">
        <is>
          <t>2026-09-23T11:46:31</t>
        </is>
      </c>
    </row>
    <row r="564">
      <c r="A564" t="n">
        <v>563</v>
      </c>
      <c r="B564" t="inlineStr">
        <is>
          <t>PI</t>
        </is>
      </c>
      <c r="C564" t="inlineStr">
        <is>
          <t>PI</t>
        </is>
      </c>
      <c r="D564" t="inlineStr">
        <is>
          <t>Piauí</t>
        </is>
      </c>
      <c r="E564" t="inlineStr">
        <is>
          <t>06_Integração Tec</t>
        </is>
      </c>
      <c r="F564" t="inlineStr">
        <is>
          <t>Integração tecnológica</t>
        </is>
      </c>
      <c r="G564" t="inlineStr">
        <is>
          <t>Item 6 — Aparelhos de telefone celular</t>
        </is>
      </c>
      <c r="H564" t="inlineStr">
        <is>
          <t>M2-27</t>
        </is>
      </c>
      <c r="I564" t="inlineStr">
        <is>
          <t>06_Integração Tec:M2-27</t>
        </is>
      </c>
      <c r="J564" t="inlineStr">
        <is>
          <t>Doc. SEI 37070578</t>
        </is>
      </c>
      <c r="K564" t="inlineStr">
        <is>
          <t>2026-09-23T11:46:31</t>
        </is>
      </c>
    </row>
    <row r="565">
      <c r="A565" t="n">
        <v>564</v>
      </c>
      <c r="B565" t="inlineStr">
        <is>
          <t>PI</t>
        </is>
      </c>
      <c r="C565" t="inlineStr">
        <is>
          <t>PI</t>
        </is>
      </c>
      <c r="D565" t="inlineStr">
        <is>
          <t>Piauí</t>
        </is>
      </c>
      <c r="E565" t="inlineStr">
        <is>
          <t>07_Maturidade</t>
        </is>
      </c>
      <c r="F565" t="inlineStr">
        <is>
          <t>Maturidade / bônus</t>
        </is>
      </c>
      <c r="G565" t="inlineStr">
        <is>
          <t>Bônus — Uso do canal Fala.BR</t>
        </is>
      </c>
      <c r="H565" t="inlineStr">
        <is>
          <t>M2-46</t>
        </is>
      </c>
      <c r="I565" t="inlineStr">
        <is>
          <t>07_Maturidade:M2-46</t>
        </is>
      </c>
      <c r="J565" t="inlineStr">
        <is>
          <t>Doc. SEI 37070578</t>
        </is>
      </c>
      <c r="K565" t="inlineStr">
        <is>
          <t>2026-09-23T11:46:31</t>
        </is>
      </c>
    </row>
    <row r="566">
      <c r="A566" t="n">
        <v>565</v>
      </c>
      <c r="B566" t="inlineStr">
        <is>
          <t>PI</t>
        </is>
      </c>
      <c r="C566" t="inlineStr">
        <is>
          <t>PI</t>
        </is>
      </c>
      <c r="D566" t="inlineStr">
        <is>
          <t>Piauí</t>
        </is>
      </c>
      <c r="E566" t="inlineStr">
        <is>
          <t>07_Maturidade</t>
        </is>
      </c>
      <c r="F566" t="inlineStr">
        <is>
          <t>Maturidade / bônus</t>
        </is>
      </c>
      <c r="G566" t="inlineStr">
        <is>
          <t>Bônus — Designação por mandato</t>
        </is>
      </c>
      <c r="H566" t="inlineStr">
        <is>
          <t>M0-08</t>
        </is>
      </c>
      <c r="I566" t="inlineStr">
        <is>
          <t>07_Maturidade:M0-08</t>
        </is>
      </c>
      <c r="J566" t="inlineStr">
        <is>
          <t>Doc. SEI 37070578</t>
        </is>
      </c>
      <c r="K566" t="inlineStr">
        <is>
          <t>2026-09-23T11:46:31</t>
        </is>
      </c>
    </row>
    <row r="567">
      <c r="A567" t="n">
        <v>566</v>
      </c>
      <c r="B567" t="inlineStr">
        <is>
          <t>PI</t>
        </is>
      </c>
      <c r="C567" t="inlineStr">
        <is>
          <t>PI</t>
        </is>
      </c>
      <c r="D567" t="inlineStr">
        <is>
          <t>Piauí</t>
        </is>
      </c>
      <c r="E567" t="inlineStr">
        <is>
          <t>07_Maturidade</t>
        </is>
      </c>
      <c r="F567" t="inlineStr">
        <is>
          <t>Maturidade / bônus</t>
        </is>
      </c>
      <c r="G567" t="inlineStr">
        <is>
          <t>Bônus — Dedicação da equipe</t>
        </is>
      </c>
      <c r="H567" t="inlineStr">
        <is>
          <t>M3-60</t>
        </is>
      </c>
      <c r="I567" t="inlineStr">
        <is>
          <t>07_Maturidade:M3-60</t>
        </is>
      </c>
      <c r="J567" t="inlineStr">
        <is>
          <t>Doc. SEI 37070578</t>
        </is>
      </c>
      <c r="K567" t="inlineStr">
        <is>
          <t>2026-09-23T11:46:31</t>
        </is>
      </c>
    </row>
    <row r="568">
      <c r="A568" t="n">
        <v>567</v>
      </c>
      <c r="B568" t="inlineStr">
        <is>
          <t>PI</t>
        </is>
      </c>
      <c r="C568" t="inlineStr">
        <is>
          <t>PI</t>
        </is>
      </c>
      <c r="D568" t="inlineStr">
        <is>
          <t>Piauí</t>
        </is>
      </c>
      <c r="E568" t="inlineStr">
        <is>
          <t>07_Maturidade</t>
        </is>
      </c>
      <c r="F568" t="inlineStr">
        <is>
          <t>Maturidade / bônus</t>
        </is>
      </c>
      <c r="G568" t="inlineStr">
        <is>
          <t>Bônus — Requisitos de perfil para o cargo de Ouvidor</t>
        </is>
      </c>
      <c r="H568" t="inlineStr">
        <is>
          <t>M3-58</t>
        </is>
      </c>
      <c r="I568" t="inlineStr">
        <is>
          <t>07_Maturidade:M3-58</t>
        </is>
      </c>
      <c r="J568" t="inlineStr">
        <is>
          <t>Doc. SEI 37070578</t>
        </is>
      </c>
      <c r="K568" t="inlineStr">
        <is>
          <t>2026-09-23T11:46:31</t>
        </is>
      </c>
    </row>
    <row r="569">
      <c r="A569" t="n">
        <v>568</v>
      </c>
      <c r="B569" t="inlineStr">
        <is>
          <t>PI</t>
        </is>
      </c>
      <c r="C569" t="inlineStr">
        <is>
          <t>PI</t>
        </is>
      </c>
      <c r="D569" t="inlineStr">
        <is>
          <t>Piauí</t>
        </is>
      </c>
      <c r="E569" t="inlineStr">
        <is>
          <t>07_Maturidade</t>
        </is>
      </c>
      <c r="F569" t="inlineStr">
        <is>
          <t>Maturidade / bônus</t>
        </is>
      </c>
      <c r="G569" t="inlineStr">
        <is>
          <t>Bônus — WhatsApp institucional</t>
        </is>
      </c>
      <c r="H569" t="inlineStr">
        <is>
          <t>M2-50</t>
        </is>
      </c>
      <c r="I569" t="inlineStr">
        <is>
          <t>07_Maturidade:M2-50</t>
        </is>
      </c>
      <c r="J569" t="inlineStr">
        <is>
          <t>Doc. SEI 37070578</t>
        </is>
      </c>
      <c r="K569" t="inlineStr">
        <is>
          <t>2026-09-23T11:46:31</t>
        </is>
      </c>
    </row>
    <row r="570">
      <c r="A570" t="n">
        <v>569</v>
      </c>
      <c r="B570" t="inlineStr">
        <is>
          <t>PI</t>
        </is>
      </c>
      <c r="C570" t="inlineStr">
        <is>
          <t>PI</t>
        </is>
      </c>
      <c r="D570" t="inlineStr">
        <is>
          <t>Piauí</t>
        </is>
      </c>
      <c r="E570" t="inlineStr">
        <is>
          <t>07_Maturidade</t>
        </is>
      </c>
      <c r="F570" t="inlineStr">
        <is>
          <t>Maturidade / bônus</t>
        </is>
      </c>
      <c r="G570" t="inlineStr">
        <is>
          <t>Bônus — Outros canais eletrônicos institucionais</t>
        </is>
      </c>
      <c r="H570" t="inlineStr">
        <is>
          <t>M2-49</t>
        </is>
      </c>
      <c r="I570" t="inlineStr">
        <is>
          <t>07_Maturidade:M2-49</t>
        </is>
      </c>
      <c r="J570" t="inlineStr">
        <is>
          <t>Doc. SEI 37070578</t>
        </is>
      </c>
      <c r="K570" t="inlineStr">
        <is>
          <t>2026-09-23T11:46:31</t>
        </is>
      </c>
    </row>
    <row r="571">
      <c r="A571" t="n">
        <v>570</v>
      </c>
      <c r="B571" t="inlineStr">
        <is>
          <t>PI</t>
        </is>
      </c>
      <c r="C571" t="inlineStr">
        <is>
          <t>PI</t>
        </is>
      </c>
      <c r="D571" t="inlineStr">
        <is>
          <t>Piauí</t>
        </is>
      </c>
      <c r="E571" t="inlineStr">
        <is>
          <t>07_Maturidade</t>
        </is>
      </c>
      <c r="F571" t="inlineStr">
        <is>
          <t>Maturidade / bônus</t>
        </is>
      </c>
      <c r="G571" t="inlineStr">
        <is>
          <t>Bônus — Materiais adicionais de divulgação e educação em direitos</t>
        </is>
      </c>
      <c r="H571" t="inlineStr">
        <is>
          <t>M2-36</t>
        </is>
      </c>
      <c r="I571" t="inlineStr">
        <is>
          <t>07_Maturidade:M2-36</t>
        </is>
      </c>
      <c r="J571" t="inlineStr">
        <is>
          <t>Doc. SEI 37070578</t>
        </is>
      </c>
      <c r="K571" t="inlineStr">
        <is>
          <t>2026-09-23T11:46:31</t>
        </is>
      </c>
    </row>
    <row r="572">
      <c r="A572" t="n">
        <v>571</v>
      </c>
      <c r="B572" t="inlineStr">
        <is>
          <t>RJ</t>
        </is>
      </c>
      <c r="C572" t="inlineStr">
        <is>
          <t>RJ</t>
        </is>
      </c>
      <c r="D572" t="inlineStr">
        <is>
          <t>Rio de Janeiro</t>
        </is>
      </c>
      <c r="E572" t="inlineStr">
        <is>
          <t>01_Institucionalização</t>
        </is>
      </c>
      <c r="F572" t="inlineStr">
        <is>
          <t>Institucionalização</t>
        </is>
      </c>
      <c r="G572" t="inlineStr">
        <is>
          <t>Item 1 — Instituição formal da Ouvidoria de Serviços Penais</t>
        </is>
      </c>
      <c r="H572" t="inlineStr">
        <is>
          <t>M1-11</t>
        </is>
      </c>
      <c r="I572" t="inlineStr">
        <is>
          <t>01_Institucionalização:M1-11</t>
        </is>
      </c>
      <c r="J572" t="inlineStr">
        <is>
          <t>Doc. SEI 37070578</t>
        </is>
      </c>
      <c r="K572" t="inlineStr">
        <is>
          <t>2026-09-23T11:46:31</t>
        </is>
      </c>
    </row>
    <row r="573">
      <c r="A573" t="n">
        <v>572</v>
      </c>
      <c r="B573" t="inlineStr">
        <is>
          <t>RJ</t>
        </is>
      </c>
      <c r="C573" t="inlineStr">
        <is>
          <t>RJ</t>
        </is>
      </c>
      <c r="D573" t="inlineStr">
        <is>
          <t>Rio de Janeiro</t>
        </is>
      </c>
      <c r="E573" t="inlineStr">
        <is>
          <t>02_Autonomia</t>
        </is>
      </c>
      <c r="F573" t="inlineStr">
        <is>
          <t>Autonomia técnica e funcional</t>
        </is>
      </c>
      <c r="G573" t="inlineStr">
        <is>
          <t>Item 1 — Garantia normativa de autonomia técnica/funcional</t>
        </is>
      </c>
      <c r="H573" t="inlineStr">
        <is>
          <t>M3-56</t>
        </is>
      </c>
      <c r="I573" t="inlineStr">
        <is>
          <t>02_Autonomia:M3-56</t>
        </is>
      </c>
      <c r="J573" t="inlineStr">
        <is>
          <t>Doc. SEI 37070578</t>
        </is>
      </c>
      <c r="K573" t="inlineStr">
        <is>
          <t>2026-09-23T11:46:31</t>
        </is>
      </c>
    </row>
    <row r="574">
      <c r="A574" t="n">
        <v>573</v>
      </c>
      <c r="B574" t="inlineStr">
        <is>
          <t>RJ</t>
        </is>
      </c>
      <c r="C574" t="inlineStr">
        <is>
          <t>RJ</t>
        </is>
      </c>
      <c r="D574" t="inlineStr">
        <is>
          <t>Rio de Janeiro</t>
        </is>
      </c>
      <c r="E574" t="inlineStr">
        <is>
          <t>02_Autonomia</t>
        </is>
      </c>
      <c r="F574" t="inlineStr">
        <is>
          <t>Autonomia técnica e funcional</t>
        </is>
      </c>
      <c r="G574" t="inlineStr">
        <is>
          <t>Item 1 — Garantia normativa de autonomia técnica/funcional</t>
        </is>
      </c>
      <c r="H574" t="inlineStr">
        <is>
          <t>M3-57</t>
        </is>
      </c>
      <c r="I574" t="inlineStr">
        <is>
          <t>02_Autonomia:M3-57</t>
        </is>
      </c>
      <c r="J574" t="inlineStr">
        <is>
          <t>Doc. SEI 37070578</t>
        </is>
      </c>
      <c r="K574" t="inlineStr">
        <is>
          <t>2026-09-23T11:46:31</t>
        </is>
      </c>
    </row>
    <row r="575">
      <c r="A575" t="n">
        <v>574</v>
      </c>
      <c r="B575" t="inlineStr">
        <is>
          <t>RJ</t>
        </is>
      </c>
      <c r="C575" t="inlineStr">
        <is>
          <t>RJ</t>
        </is>
      </c>
      <c r="D575" t="inlineStr">
        <is>
          <t>Rio de Janeiro</t>
        </is>
      </c>
      <c r="E575" t="inlineStr">
        <is>
          <t>02_Autonomia</t>
        </is>
      </c>
      <c r="F575" t="inlineStr">
        <is>
          <t>Autonomia técnica e funcional</t>
        </is>
      </c>
      <c r="G575" t="inlineStr">
        <is>
          <t>Item 2 — Condições institucionais de atuação sem interferência indevida</t>
        </is>
      </c>
      <c r="H575" t="inlineStr">
        <is>
          <t>M1-12</t>
        </is>
      </c>
      <c r="I575" t="inlineStr">
        <is>
          <t>02_Autonomia:M1-12</t>
        </is>
      </c>
      <c r="J575" t="inlineStr">
        <is>
          <t>Doc. SEI 37070578</t>
        </is>
      </c>
      <c r="K575" t="inlineStr">
        <is>
          <t>2026-09-23T11:46:31</t>
        </is>
      </c>
    </row>
    <row r="576">
      <c r="A576" t="n">
        <v>575</v>
      </c>
      <c r="B576" t="inlineStr">
        <is>
          <t>RJ</t>
        </is>
      </c>
      <c r="C576" t="inlineStr">
        <is>
          <t>RJ</t>
        </is>
      </c>
      <c r="D576" t="inlineStr">
        <is>
          <t>Rio de Janeiro</t>
        </is>
      </c>
      <c r="E576" t="inlineStr">
        <is>
          <t>02_Autonomia</t>
        </is>
      </c>
      <c r="F576" t="inlineStr">
        <is>
          <t>Autonomia técnica e funcional</t>
        </is>
      </c>
      <c r="G576" t="inlineStr">
        <is>
          <t>Item 2 — Condições institucionais de atuação sem interferência indevida</t>
        </is>
      </c>
      <c r="H576" t="inlineStr">
        <is>
          <t>M4-67</t>
        </is>
      </c>
      <c r="I576" t="inlineStr">
        <is>
          <t>02_Autonomia:M4-67</t>
        </is>
      </c>
      <c r="J576" t="inlineStr">
        <is>
          <t>Doc. SEI 37070578</t>
        </is>
      </c>
      <c r="K576" t="inlineStr">
        <is>
          <t>2026-09-23T11:46:31</t>
        </is>
      </c>
    </row>
    <row r="577">
      <c r="A577" t="n">
        <v>576</v>
      </c>
      <c r="B577" t="inlineStr">
        <is>
          <t>RJ</t>
        </is>
      </c>
      <c r="C577" t="inlineStr">
        <is>
          <t>RJ</t>
        </is>
      </c>
      <c r="D577" t="inlineStr">
        <is>
          <t>Rio de Janeiro</t>
        </is>
      </c>
      <c r="E577" t="inlineStr">
        <is>
          <t>02_Autonomia</t>
        </is>
      </c>
      <c r="F577" t="inlineStr">
        <is>
          <t>Autonomia técnica e funcional</t>
        </is>
      </c>
      <c r="G577" t="inlineStr">
        <is>
          <t>Item 2 — Condições institucionais de atuação sem interferência indevida</t>
        </is>
      </c>
      <c r="H577" t="inlineStr">
        <is>
          <t>M4-68</t>
        </is>
      </c>
      <c r="I577" t="inlineStr">
        <is>
          <t>02_Autonomia:M4-68</t>
        </is>
      </c>
      <c r="J577" t="inlineStr">
        <is>
          <t>Doc. SEI 37070578</t>
        </is>
      </c>
      <c r="K577" t="inlineStr">
        <is>
          <t>2026-09-23T11:46:31</t>
        </is>
      </c>
    </row>
    <row r="578">
      <c r="A578" t="n">
        <v>577</v>
      </c>
      <c r="B578" t="inlineStr">
        <is>
          <t>RJ</t>
        </is>
      </c>
      <c r="C578" t="inlineStr">
        <is>
          <t>RJ</t>
        </is>
      </c>
      <c r="D578" t="inlineStr">
        <is>
          <t>Rio de Janeiro</t>
        </is>
      </c>
      <c r="E578" t="inlineStr">
        <is>
          <t>03_Imparcialidade</t>
        </is>
      </c>
      <c r="F578" t="inlineStr">
        <is>
          <t>Imparcialidade, sigilo e proteção</t>
        </is>
      </c>
      <c r="G578" t="inlineStr">
        <is>
          <t>Item 1 — Proteção e tratamento de denúncias graves e sensíveis</t>
        </is>
      </c>
      <c r="H578" t="inlineStr">
        <is>
          <t>M4-69</t>
        </is>
      </c>
      <c r="I578" t="inlineStr">
        <is>
          <t>03_Imparcialidade:M4-69</t>
        </is>
      </c>
      <c r="J578" t="inlineStr">
        <is>
          <t>Doc. SEI 37070578</t>
        </is>
      </c>
      <c r="K578" t="inlineStr">
        <is>
          <t>2026-09-23T11:46:31</t>
        </is>
      </c>
    </row>
    <row r="579">
      <c r="A579" t="n">
        <v>578</v>
      </c>
      <c r="B579" t="inlineStr">
        <is>
          <t>RJ</t>
        </is>
      </c>
      <c r="C579" t="inlineStr">
        <is>
          <t>RJ</t>
        </is>
      </c>
      <c r="D579" t="inlineStr">
        <is>
          <t>Rio de Janeiro</t>
        </is>
      </c>
      <c r="E579" t="inlineStr">
        <is>
          <t>03_Imparcialidade</t>
        </is>
      </c>
      <c r="F579" t="inlineStr">
        <is>
          <t>Imparcialidade, sigilo e proteção</t>
        </is>
      </c>
      <c r="G579" t="inlineStr">
        <is>
          <t>Item 2 — Confidencialidade e sigilo da equipe</t>
        </is>
      </c>
      <c r="H579" t="inlineStr">
        <is>
          <t>M3-63</t>
        </is>
      </c>
      <c r="I579" t="inlineStr">
        <is>
          <t>03_Imparcialidade:M3-63</t>
        </is>
      </c>
      <c r="J579" t="inlineStr">
        <is>
          <t>Doc. SEI 37070578</t>
        </is>
      </c>
      <c r="K579" t="inlineStr">
        <is>
          <t>2026-09-23T11:46:31</t>
        </is>
      </c>
    </row>
    <row r="580">
      <c r="A580" t="n">
        <v>579</v>
      </c>
      <c r="B580" t="inlineStr">
        <is>
          <t>RJ</t>
        </is>
      </c>
      <c r="C580" t="inlineStr">
        <is>
          <t>RJ</t>
        </is>
      </c>
      <c r="D580" t="inlineStr">
        <is>
          <t>Rio de Janeiro</t>
        </is>
      </c>
      <c r="E580" t="inlineStr">
        <is>
          <t>04_Acessibilidade</t>
        </is>
      </c>
      <c r="F580" t="inlineStr">
        <is>
          <t>Acessibilidade e atendimento humanizado</t>
        </is>
      </c>
      <c r="G580" t="inlineStr">
        <is>
          <t>Item 1 — Canais institucionais acessíveis</t>
        </is>
      </c>
      <c r="H580" t="inlineStr">
        <is>
          <t>M2-41</t>
        </is>
      </c>
      <c r="I580" t="inlineStr">
        <is>
          <t>04_Acessibilidade:M2-41</t>
        </is>
      </c>
      <c r="J580" t="inlineStr">
        <is>
          <t>Doc. SEI 37070578</t>
        </is>
      </c>
      <c r="K580" t="inlineStr">
        <is>
          <t>2026-09-23T11:46:31</t>
        </is>
      </c>
    </row>
    <row r="581">
      <c r="A581" t="n">
        <v>580</v>
      </c>
      <c r="B581" t="inlineStr">
        <is>
          <t>RJ</t>
        </is>
      </c>
      <c r="C581" t="inlineStr">
        <is>
          <t>RJ</t>
        </is>
      </c>
      <c r="D581" t="inlineStr">
        <is>
          <t>Rio de Janeiro</t>
        </is>
      </c>
      <c r="E581" t="inlineStr">
        <is>
          <t>04_Acessibilidade</t>
        </is>
      </c>
      <c r="F581" t="inlineStr">
        <is>
          <t>Acessibilidade e atendimento humanizado</t>
        </is>
      </c>
      <c r="G581" t="inlineStr">
        <is>
          <t>Item 1 — Canais institucionais acessíveis</t>
        </is>
      </c>
      <c r="H581" t="inlineStr">
        <is>
          <t>M2-43</t>
        </is>
      </c>
      <c r="I581" t="inlineStr">
        <is>
          <t>04_Acessibilidade:M2-43</t>
        </is>
      </c>
      <c r="J581" t="inlineStr">
        <is>
          <t>Doc. SEI 37070578</t>
        </is>
      </c>
      <c r="K581" t="inlineStr">
        <is>
          <t>2026-09-23T11:46:31</t>
        </is>
      </c>
    </row>
    <row r="582">
      <c r="A582" t="n">
        <v>581</v>
      </c>
      <c r="B582" t="inlineStr">
        <is>
          <t>RJ</t>
        </is>
      </c>
      <c r="C582" t="inlineStr">
        <is>
          <t>RJ</t>
        </is>
      </c>
      <c r="D582" t="inlineStr">
        <is>
          <t>Rio de Janeiro</t>
        </is>
      </c>
      <c r="E582" t="inlineStr">
        <is>
          <t>04_Acessibilidade</t>
        </is>
      </c>
      <c r="F582" t="inlineStr">
        <is>
          <t>Acessibilidade e atendimento humanizado</t>
        </is>
      </c>
      <c r="G582" t="inlineStr">
        <is>
          <t>Item 1 — Canais institucionais acessíveis</t>
        </is>
      </c>
      <c r="H582" t="inlineStr">
        <is>
          <t>M2-47</t>
        </is>
      </c>
      <c r="I582" t="inlineStr">
        <is>
          <t>04_Acessibilidade:M2-47</t>
        </is>
      </c>
      <c r="J582" t="inlineStr">
        <is>
          <t>Doc. SEI 37070578</t>
        </is>
      </c>
      <c r="K582" t="inlineStr">
        <is>
          <t>2026-09-23T11:46:31</t>
        </is>
      </c>
    </row>
    <row r="583">
      <c r="A583" t="n">
        <v>582</v>
      </c>
      <c r="B583" t="inlineStr">
        <is>
          <t>RJ</t>
        </is>
      </c>
      <c r="C583" t="inlineStr">
        <is>
          <t>RJ</t>
        </is>
      </c>
      <c r="D583" t="inlineStr">
        <is>
          <t>Rio de Janeiro</t>
        </is>
      </c>
      <c r="E583" t="inlineStr">
        <is>
          <t>04_Acessibilidade</t>
        </is>
      </c>
      <c r="F583" t="inlineStr">
        <is>
          <t>Acessibilidade e atendimento humanizado</t>
        </is>
      </c>
      <c r="G583" t="inlineStr">
        <is>
          <t>Item 2 — Condições de atendimento reservado e acessível</t>
        </is>
      </c>
      <c r="H583" t="inlineStr">
        <is>
          <t>M2-16</t>
        </is>
      </c>
      <c r="I583" t="inlineStr">
        <is>
          <t>04_Acessibilidade:M2-16</t>
        </is>
      </c>
      <c r="J583" t="inlineStr">
        <is>
          <t>Doc. SEI 37070578</t>
        </is>
      </c>
      <c r="K583" t="inlineStr">
        <is>
          <t>2026-09-23T11:46:31</t>
        </is>
      </c>
    </row>
    <row r="584">
      <c r="A584" t="n">
        <v>583</v>
      </c>
      <c r="B584" t="inlineStr">
        <is>
          <t>RJ</t>
        </is>
      </c>
      <c r="C584" t="inlineStr">
        <is>
          <t>RJ</t>
        </is>
      </c>
      <c r="D584" t="inlineStr">
        <is>
          <t>Rio de Janeiro</t>
        </is>
      </c>
      <c r="E584" t="inlineStr">
        <is>
          <t>04_Acessibilidade</t>
        </is>
      </c>
      <c r="F584" t="inlineStr">
        <is>
          <t>Acessibilidade e atendimento humanizado</t>
        </is>
      </c>
      <c r="G584" t="inlineStr">
        <is>
          <t>Item 3 — Alcance dos públicos dos serviços penais</t>
        </is>
      </c>
      <c r="H584" t="inlineStr">
        <is>
          <t>M1-13</t>
        </is>
      </c>
      <c r="I584" t="inlineStr">
        <is>
          <t>04_Acessibilidade:M1-13</t>
        </is>
      </c>
      <c r="J584" t="inlineStr">
        <is>
          <t>Doc. SEI 37070578</t>
        </is>
      </c>
      <c r="K584" t="inlineStr">
        <is>
          <t>2026-09-23T11:46:31</t>
        </is>
      </c>
    </row>
    <row r="585">
      <c r="A585" t="n">
        <v>584</v>
      </c>
      <c r="B585" t="inlineStr">
        <is>
          <t>RJ</t>
        </is>
      </c>
      <c r="C585" t="inlineStr">
        <is>
          <t>RJ</t>
        </is>
      </c>
      <c r="D585" t="inlineStr">
        <is>
          <t>Rio de Janeiro</t>
        </is>
      </c>
      <c r="E585" t="inlineStr">
        <is>
          <t>04_Acessibilidade</t>
        </is>
      </c>
      <c r="F585" t="inlineStr">
        <is>
          <t>Acessibilidade e atendimento humanizado</t>
        </is>
      </c>
      <c r="G585" t="inlineStr">
        <is>
          <t>Item 3 — Alcance dos públicos dos serviços penais</t>
        </is>
      </c>
      <c r="H585" t="inlineStr">
        <is>
          <t>M4-64</t>
        </is>
      </c>
      <c r="I585" t="inlineStr">
        <is>
          <t>04_Acessibilidade:M4-64</t>
        </is>
      </c>
      <c r="J585" t="inlineStr">
        <is>
          <t>Doc. SEI 37070578</t>
        </is>
      </c>
      <c r="K585" t="inlineStr">
        <is>
          <t>2026-09-23T11:46:31</t>
        </is>
      </c>
    </row>
    <row r="586">
      <c r="A586" t="n">
        <v>585</v>
      </c>
      <c r="B586" t="inlineStr">
        <is>
          <t>RJ</t>
        </is>
      </c>
      <c r="C586" t="inlineStr">
        <is>
          <t>RJ</t>
        </is>
      </c>
      <c r="D586" t="inlineStr">
        <is>
          <t>Rio de Janeiro</t>
        </is>
      </c>
      <c r="E586" t="inlineStr">
        <is>
          <t>05_Transparência</t>
        </is>
      </c>
      <c r="F586" t="inlineStr">
        <is>
          <t>Transparência e publicidade</t>
        </is>
      </c>
      <c r="G586" t="inlineStr">
        <is>
          <t>Item 1 — Visibilidade institucional e divulgação dos canais</t>
        </is>
      </c>
      <c r="H586" t="inlineStr">
        <is>
          <t>M2-35</t>
        </is>
      </c>
      <c r="I586" t="inlineStr">
        <is>
          <t>05_Transparência:M2-35</t>
        </is>
      </c>
      <c r="J586" t="inlineStr">
        <is>
          <t>Doc. SEI 37070578</t>
        </is>
      </c>
      <c r="K586" t="inlineStr">
        <is>
          <t>2026-09-23T11:46:31</t>
        </is>
      </c>
    </row>
    <row r="587">
      <c r="A587" t="n">
        <v>586</v>
      </c>
      <c r="B587" t="inlineStr">
        <is>
          <t>RJ</t>
        </is>
      </c>
      <c r="C587" t="inlineStr">
        <is>
          <t>RJ</t>
        </is>
      </c>
      <c r="D587" t="inlineStr">
        <is>
          <t>Rio de Janeiro</t>
        </is>
      </c>
      <c r="E587" t="inlineStr">
        <is>
          <t>05_Transparência</t>
        </is>
      </c>
      <c r="F587" t="inlineStr">
        <is>
          <t>Transparência e publicidade</t>
        </is>
      </c>
      <c r="G587" t="inlineStr">
        <is>
          <t>Item 2 — Publicidade das ações e atividades</t>
        </is>
      </c>
      <c r="H587" t="inlineStr">
        <is>
          <t>M4-71</t>
        </is>
      </c>
      <c r="I587" t="inlineStr">
        <is>
          <t>05_Transparência:M4-71</t>
        </is>
      </c>
      <c r="J587" t="inlineStr">
        <is>
          <t>Doc. SEI 37070578</t>
        </is>
      </c>
      <c r="K587" t="inlineStr">
        <is>
          <t>2026-09-23T11:46:31</t>
        </is>
      </c>
    </row>
    <row r="588">
      <c r="A588" t="n">
        <v>587</v>
      </c>
      <c r="B588" t="inlineStr">
        <is>
          <t>RJ</t>
        </is>
      </c>
      <c r="C588" t="inlineStr">
        <is>
          <t>RJ</t>
        </is>
      </c>
      <c r="D588" t="inlineStr">
        <is>
          <t>Rio de Janeiro</t>
        </is>
      </c>
      <c r="E588" t="inlineStr">
        <is>
          <t>06_Integração Tec</t>
        </is>
      </c>
      <c r="F588" t="inlineStr">
        <is>
          <t>Integração tecnológica</t>
        </is>
      </c>
      <c r="G588" t="inlineStr">
        <is>
          <t>Item 1 — Canal eletrônico e solução para registro e gestão das manifestações</t>
        </is>
      </c>
      <c r="H588" t="inlineStr">
        <is>
          <t>M2-45</t>
        </is>
      </c>
      <c r="I588" t="inlineStr">
        <is>
          <t>06_Integração Tec:M2-45</t>
        </is>
      </c>
      <c r="J588" t="inlineStr">
        <is>
          <t>Doc. SEI 37070578</t>
        </is>
      </c>
      <c r="K588" t="inlineStr">
        <is>
          <t>2026-09-23T11:46:31</t>
        </is>
      </c>
    </row>
    <row r="589">
      <c r="A589" t="n">
        <v>588</v>
      </c>
      <c r="B589" t="inlineStr">
        <is>
          <t>RJ</t>
        </is>
      </c>
      <c r="C589" t="inlineStr">
        <is>
          <t>RJ</t>
        </is>
      </c>
      <c r="D589" t="inlineStr">
        <is>
          <t>Rio de Janeiro</t>
        </is>
      </c>
      <c r="E589" t="inlineStr">
        <is>
          <t>06_Integração Tec</t>
        </is>
      </c>
      <c r="F589" t="inlineStr">
        <is>
          <t>Integração tecnológica</t>
        </is>
      </c>
      <c r="G589" t="inlineStr">
        <is>
          <t>Item 2 — Registro, protocolo, rastreabilidade e acompanhamento</t>
        </is>
      </c>
      <c r="H589" t="inlineStr">
        <is>
          <t>M4-66</t>
        </is>
      </c>
      <c r="I589" t="inlineStr">
        <is>
          <t>06_Integração Tec:M4-66</t>
        </is>
      </c>
      <c r="J589" t="inlineStr">
        <is>
          <t>Doc. SEI 37070578</t>
        </is>
      </c>
      <c r="K589" t="inlineStr">
        <is>
          <t>2026-09-23T11:46:31</t>
        </is>
      </c>
    </row>
    <row r="590">
      <c r="A590" t="n">
        <v>589</v>
      </c>
      <c r="B590" t="inlineStr">
        <is>
          <t>RJ</t>
        </is>
      </c>
      <c r="C590" t="inlineStr">
        <is>
          <t>RJ</t>
        </is>
      </c>
      <c r="D590" t="inlineStr">
        <is>
          <t>Rio de Janeiro</t>
        </is>
      </c>
      <c r="E590" t="inlineStr">
        <is>
          <t>06_Integração Tec</t>
        </is>
      </c>
      <c r="F590" t="inlineStr">
        <is>
          <t>Integração tecnológica</t>
        </is>
      </c>
      <c r="G590" t="inlineStr">
        <is>
          <t>Item 3 — Sigilo, autenticação e controle de acesso</t>
        </is>
      </c>
      <c r="H590" t="inlineStr">
        <is>
          <t>M2-37</t>
        </is>
      </c>
      <c r="I590" t="inlineStr">
        <is>
          <t>06_Integração Tec:M2-37</t>
        </is>
      </c>
      <c r="J590" t="inlineStr">
        <is>
          <t>Doc. SEI 37070578</t>
        </is>
      </c>
      <c r="K590" t="inlineStr">
        <is>
          <t>2026-09-23T11:46:31</t>
        </is>
      </c>
    </row>
    <row r="591">
      <c r="A591" t="n">
        <v>590</v>
      </c>
      <c r="B591" t="inlineStr">
        <is>
          <t>RJ</t>
        </is>
      </c>
      <c r="C591" t="inlineStr">
        <is>
          <t>RJ</t>
        </is>
      </c>
      <c r="D591" t="inlineStr">
        <is>
          <t>Rio de Janeiro</t>
        </is>
      </c>
      <c r="E591" t="inlineStr">
        <is>
          <t>06_Integração Tec</t>
        </is>
      </c>
      <c r="F591" t="inlineStr">
        <is>
          <t>Integração tecnológica</t>
        </is>
      </c>
      <c r="G591" t="inlineStr">
        <is>
          <t>Item 4 — Computadores e acesso à internet</t>
        </is>
      </c>
      <c r="H591" t="inlineStr">
        <is>
          <t>M2-17</t>
        </is>
      </c>
      <c r="I591" t="inlineStr">
        <is>
          <t>06_Integração Tec:M2-17</t>
        </is>
      </c>
      <c r="J591" t="inlineStr">
        <is>
          <t>Doc. SEI 37070578</t>
        </is>
      </c>
      <c r="K591" t="inlineStr">
        <is>
          <t>2026-09-23T11:46:31</t>
        </is>
      </c>
    </row>
    <row r="592">
      <c r="A592" t="n">
        <v>591</v>
      </c>
      <c r="B592" t="inlineStr">
        <is>
          <t>RJ</t>
        </is>
      </c>
      <c r="C592" t="inlineStr">
        <is>
          <t>RJ</t>
        </is>
      </c>
      <c r="D592" t="inlineStr">
        <is>
          <t>Rio de Janeiro</t>
        </is>
      </c>
      <c r="E592" t="inlineStr">
        <is>
          <t>06_Integração Tec</t>
        </is>
      </c>
      <c r="F592" t="inlineStr">
        <is>
          <t>Integração tecnológica</t>
        </is>
      </c>
      <c r="G592" t="inlineStr">
        <is>
          <t>Item 5 — Impressoras e scanners</t>
        </is>
      </c>
      <c r="H592" t="inlineStr">
        <is>
          <t>M2-19</t>
        </is>
      </c>
      <c r="I592" t="inlineStr">
        <is>
          <t>06_Integração Tec:M2-19</t>
        </is>
      </c>
      <c r="J592" t="inlineStr">
        <is>
          <t>Doc. SEI 37070578</t>
        </is>
      </c>
      <c r="K592" t="inlineStr">
        <is>
          <t>2026-09-23T11:46:31</t>
        </is>
      </c>
    </row>
    <row r="593">
      <c r="A593" t="n">
        <v>592</v>
      </c>
      <c r="B593" t="inlineStr">
        <is>
          <t>RJ</t>
        </is>
      </c>
      <c r="C593" t="inlineStr">
        <is>
          <t>RJ</t>
        </is>
      </c>
      <c r="D593" t="inlineStr">
        <is>
          <t>Rio de Janeiro</t>
        </is>
      </c>
      <c r="E593" t="inlineStr">
        <is>
          <t>06_Integração Tec</t>
        </is>
      </c>
      <c r="F593" t="inlineStr">
        <is>
          <t>Integração tecnológica</t>
        </is>
      </c>
      <c r="G593" t="inlineStr">
        <is>
          <t>Item 5 — Impressoras e scanners</t>
        </is>
      </c>
      <c r="H593" t="inlineStr">
        <is>
          <t>M2-21</t>
        </is>
      </c>
      <c r="I593" t="inlineStr">
        <is>
          <t>06_Integração Tec:M2-21</t>
        </is>
      </c>
      <c r="J593" t="inlineStr">
        <is>
          <t>Doc. SEI 37070578</t>
        </is>
      </c>
      <c r="K593" t="inlineStr">
        <is>
          <t>2026-09-23T11:46:31</t>
        </is>
      </c>
    </row>
    <row r="594">
      <c r="A594" t="n">
        <v>593</v>
      </c>
      <c r="B594" t="inlineStr">
        <is>
          <t>RJ</t>
        </is>
      </c>
      <c r="C594" t="inlineStr">
        <is>
          <t>RJ</t>
        </is>
      </c>
      <c r="D594" t="inlineStr">
        <is>
          <t>Rio de Janeiro</t>
        </is>
      </c>
      <c r="E594" t="inlineStr">
        <is>
          <t>06_Integração Tec</t>
        </is>
      </c>
      <c r="F594" t="inlineStr">
        <is>
          <t>Integração tecnológica</t>
        </is>
      </c>
      <c r="G594" t="inlineStr">
        <is>
          <t>Item 6 — Aparelhos de telefone celular</t>
        </is>
      </c>
      <c r="H594" t="inlineStr">
        <is>
          <t>M2-27</t>
        </is>
      </c>
      <c r="I594" t="inlineStr">
        <is>
          <t>06_Integração Tec:M2-27</t>
        </is>
      </c>
      <c r="J594" t="inlineStr">
        <is>
          <t>Doc. SEI 37070578</t>
        </is>
      </c>
      <c r="K594" t="inlineStr">
        <is>
          <t>2026-09-23T11:46:31</t>
        </is>
      </c>
    </row>
    <row r="595">
      <c r="A595" t="n">
        <v>594</v>
      </c>
      <c r="B595" t="inlineStr">
        <is>
          <t>RJ</t>
        </is>
      </c>
      <c r="C595" t="inlineStr">
        <is>
          <t>RJ</t>
        </is>
      </c>
      <c r="D595" t="inlineStr">
        <is>
          <t>Rio de Janeiro</t>
        </is>
      </c>
      <c r="E595" t="inlineStr">
        <is>
          <t>07_Maturidade</t>
        </is>
      </c>
      <c r="F595" t="inlineStr">
        <is>
          <t>Maturidade / bônus</t>
        </is>
      </c>
      <c r="G595" t="inlineStr">
        <is>
          <t>Bônus — Uso do canal Fala.BR</t>
        </is>
      </c>
      <c r="H595" t="inlineStr">
        <is>
          <t>M2-46</t>
        </is>
      </c>
      <c r="I595" t="inlineStr">
        <is>
          <t>07_Maturidade:M2-46</t>
        </is>
      </c>
      <c r="J595" t="inlineStr">
        <is>
          <t>Doc. SEI 37070578</t>
        </is>
      </c>
      <c r="K595" t="inlineStr">
        <is>
          <t>2026-09-23T11:46:31</t>
        </is>
      </c>
    </row>
    <row r="596">
      <c r="A596" t="n">
        <v>595</v>
      </c>
      <c r="B596" t="inlineStr">
        <is>
          <t>RJ</t>
        </is>
      </c>
      <c r="C596" t="inlineStr">
        <is>
          <t>RJ</t>
        </is>
      </c>
      <c r="D596" t="inlineStr">
        <is>
          <t>Rio de Janeiro</t>
        </is>
      </c>
      <c r="E596" t="inlineStr">
        <is>
          <t>07_Maturidade</t>
        </is>
      </c>
      <c r="F596" t="inlineStr">
        <is>
          <t>Maturidade / bônus</t>
        </is>
      </c>
      <c r="G596" t="inlineStr">
        <is>
          <t>Bônus — Designação por mandato</t>
        </is>
      </c>
      <c r="H596" t="inlineStr">
        <is>
          <t>M0-08</t>
        </is>
      </c>
      <c r="I596" t="inlineStr">
        <is>
          <t>07_Maturidade:M0-08</t>
        </is>
      </c>
      <c r="J596" t="inlineStr">
        <is>
          <t>Doc. SEI 37070578</t>
        </is>
      </c>
      <c r="K596" t="inlineStr">
        <is>
          <t>2026-09-23T11:46:31</t>
        </is>
      </c>
    </row>
    <row r="597">
      <c r="A597" t="n">
        <v>596</v>
      </c>
      <c r="B597" t="inlineStr">
        <is>
          <t>RJ</t>
        </is>
      </c>
      <c r="C597" t="inlineStr">
        <is>
          <t>RJ</t>
        </is>
      </c>
      <c r="D597" t="inlineStr">
        <is>
          <t>Rio de Janeiro</t>
        </is>
      </c>
      <c r="E597" t="inlineStr">
        <is>
          <t>07_Maturidade</t>
        </is>
      </c>
      <c r="F597" t="inlineStr">
        <is>
          <t>Maturidade / bônus</t>
        </is>
      </c>
      <c r="G597" t="inlineStr">
        <is>
          <t>Bônus — Dedicação da equipe</t>
        </is>
      </c>
      <c r="H597" t="inlineStr">
        <is>
          <t>M3-60</t>
        </is>
      </c>
      <c r="I597" t="inlineStr">
        <is>
          <t>07_Maturidade:M3-60</t>
        </is>
      </c>
      <c r="J597" t="inlineStr">
        <is>
          <t>Doc. SEI 37070578</t>
        </is>
      </c>
      <c r="K597" t="inlineStr">
        <is>
          <t>2026-09-23T11:46:31</t>
        </is>
      </c>
    </row>
    <row r="598">
      <c r="A598" t="n">
        <v>597</v>
      </c>
      <c r="B598" t="inlineStr">
        <is>
          <t>RJ</t>
        </is>
      </c>
      <c r="C598" t="inlineStr">
        <is>
          <t>RJ</t>
        </is>
      </c>
      <c r="D598" t="inlineStr">
        <is>
          <t>Rio de Janeiro</t>
        </is>
      </c>
      <c r="E598" t="inlineStr">
        <is>
          <t>07_Maturidade</t>
        </is>
      </c>
      <c r="F598" t="inlineStr">
        <is>
          <t>Maturidade / bônus</t>
        </is>
      </c>
      <c r="G598" t="inlineStr">
        <is>
          <t>Bônus — Requisitos de perfil para o cargo de Ouvidor</t>
        </is>
      </c>
      <c r="H598" t="inlineStr">
        <is>
          <t>M3-58</t>
        </is>
      </c>
      <c r="I598" t="inlineStr">
        <is>
          <t>07_Maturidade:M3-58</t>
        </is>
      </c>
      <c r="J598" t="inlineStr">
        <is>
          <t>Doc. SEI 37070578</t>
        </is>
      </c>
      <c r="K598" t="inlineStr">
        <is>
          <t>2026-09-23T11:46:31</t>
        </is>
      </c>
    </row>
    <row r="599">
      <c r="A599" t="n">
        <v>598</v>
      </c>
      <c r="B599" t="inlineStr">
        <is>
          <t>RJ</t>
        </is>
      </c>
      <c r="C599" t="inlineStr">
        <is>
          <t>RJ</t>
        </is>
      </c>
      <c r="D599" t="inlineStr">
        <is>
          <t>Rio de Janeiro</t>
        </is>
      </c>
      <c r="E599" t="inlineStr">
        <is>
          <t>07_Maturidade</t>
        </is>
      </c>
      <c r="F599" t="inlineStr">
        <is>
          <t>Maturidade / bônus</t>
        </is>
      </c>
      <c r="G599" t="inlineStr">
        <is>
          <t>Bônus — WhatsApp institucional</t>
        </is>
      </c>
      <c r="H599" t="inlineStr">
        <is>
          <t>M2-50</t>
        </is>
      </c>
      <c r="I599" t="inlineStr">
        <is>
          <t>07_Maturidade:M2-50</t>
        </is>
      </c>
      <c r="J599" t="inlineStr">
        <is>
          <t>Doc. SEI 37070578</t>
        </is>
      </c>
      <c r="K599" t="inlineStr">
        <is>
          <t>2026-09-23T11:46:31</t>
        </is>
      </c>
    </row>
    <row r="600">
      <c r="A600" t="n">
        <v>599</v>
      </c>
      <c r="B600" t="inlineStr">
        <is>
          <t>RJ</t>
        </is>
      </c>
      <c r="C600" t="inlineStr">
        <is>
          <t>RJ</t>
        </is>
      </c>
      <c r="D600" t="inlineStr">
        <is>
          <t>Rio de Janeiro</t>
        </is>
      </c>
      <c r="E600" t="inlineStr">
        <is>
          <t>07_Maturidade</t>
        </is>
      </c>
      <c r="F600" t="inlineStr">
        <is>
          <t>Maturidade / bônus</t>
        </is>
      </c>
      <c r="G600" t="inlineStr">
        <is>
          <t>Bônus — Outros canais eletrônicos institucionais</t>
        </is>
      </c>
      <c r="H600" t="inlineStr">
        <is>
          <t>M2-49</t>
        </is>
      </c>
      <c r="I600" t="inlineStr">
        <is>
          <t>07_Maturidade:M2-49</t>
        </is>
      </c>
      <c r="J600" t="inlineStr">
        <is>
          <t>Doc. SEI 37070578</t>
        </is>
      </c>
      <c r="K600" t="inlineStr">
        <is>
          <t>2026-09-23T11:46:31</t>
        </is>
      </c>
    </row>
    <row r="601">
      <c r="A601" t="n">
        <v>600</v>
      </c>
      <c r="B601" t="inlineStr">
        <is>
          <t>RJ</t>
        </is>
      </c>
      <c r="C601" t="inlineStr">
        <is>
          <t>RJ</t>
        </is>
      </c>
      <c r="D601" t="inlineStr">
        <is>
          <t>Rio de Janeiro</t>
        </is>
      </c>
      <c r="E601" t="inlineStr">
        <is>
          <t>07_Maturidade</t>
        </is>
      </c>
      <c r="F601" t="inlineStr">
        <is>
          <t>Maturidade / bônus</t>
        </is>
      </c>
      <c r="G601" t="inlineStr">
        <is>
          <t>Bônus — Materiais adicionais de divulgação e educação em direitos</t>
        </is>
      </c>
      <c r="H601" t="inlineStr">
        <is>
          <t>M2-36</t>
        </is>
      </c>
      <c r="I601" t="inlineStr">
        <is>
          <t>07_Maturidade:M2-36</t>
        </is>
      </c>
      <c r="J601" t="inlineStr">
        <is>
          <t>Doc. SEI 37070578</t>
        </is>
      </c>
      <c r="K601" t="inlineStr">
        <is>
          <t>2026-09-23T11:46:31</t>
        </is>
      </c>
    </row>
    <row r="602">
      <c r="A602" t="n">
        <v>601</v>
      </c>
      <c r="B602" t="inlineStr">
        <is>
          <t>RN</t>
        </is>
      </c>
      <c r="C602" t="inlineStr">
        <is>
          <t>RN</t>
        </is>
      </c>
      <c r="D602" t="inlineStr">
        <is>
          <t>Rio Grande do Norte</t>
        </is>
      </c>
      <c r="E602" t="inlineStr">
        <is>
          <t>01_Institucionalização</t>
        </is>
      </c>
      <c r="F602" t="inlineStr">
        <is>
          <t>Institucionalização</t>
        </is>
      </c>
      <c r="G602" t="inlineStr">
        <is>
          <t>Item 1 — Instituição formal da Ouvidoria de Serviços Penais</t>
        </is>
      </c>
      <c r="H602" t="inlineStr">
        <is>
          <t>M1-11</t>
        </is>
      </c>
      <c r="I602" t="inlineStr">
        <is>
          <t>01_Institucionalização:M1-11</t>
        </is>
      </c>
      <c r="J602" t="inlineStr">
        <is>
          <t>Doc. SEI 37070578</t>
        </is>
      </c>
      <c r="K602" t="inlineStr">
        <is>
          <t>2026-09-23T11:46:31</t>
        </is>
      </c>
    </row>
    <row r="603">
      <c r="A603" t="n">
        <v>602</v>
      </c>
      <c r="B603" t="inlineStr">
        <is>
          <t>RN</t>
        </is>
      </c>
      <c r="C603" t="inlineStr">
        <is>
          <t>RN</t>
        </is>
      </c>
      <c r="D603" t="inlineStr">
        <is>
          <t>Rio Grande do Norte</t>
        </is>
      </c>
      <c r="E603" t="inlineStr">
        <is>
          <t>02_Autonomia</t>
        </is>
      </c>
      <c r="F603" t="inlineStr">
        <is>
          <t>Autonomia técnica e funcional</t>
        </is>
      </c>
      <c r="G603" t="inlineStr">
        <is>
          <t>Item 1 — Garantia normativa de autonomia técnica/funcional</t>
        </is>
      </c>
      <c r="H603" t="inlineStr">
        <is>
          <t>M3-56</t>
        </is>
      </c>
      <c r="I603" t="inlineStr">
        <is>
          <t>02_Autonomia:M3-56</t>
        </is>
      </c>
      <c r="J603" t="inlineStr">
        <is>
          <t>Doc. SEI 37070578</t>
        </is>
      </c>
      <c r="K603" t="inlineStr">
        <is>
          <t>2026-09-23T11:46:31</t>
        </is>
      </c>
    </row>
    <row r="604">
      <c r="A604" t="n">
        <v>603</v>
      </c>
      <c r="B604" t="inlineStr">
        <is>
          <t>RN</t>
        </is>
      </c>
      <c r="C604" t="inlineStr">
        <is>
          <t>RN</t>
        </is>
      </c>
      <c r="D604" t="inlineStr">
        <is>
          <t>Rio Grande do Norte</t>
        </is>
      </c>
      <c r="E604" t="inlineStr">
        <is>
          <t>02_Autonomia</t>
        </is>
      </c>
      <c r="F604" t="inlineStr">
        <is>
          <t>Autonomia técnica e funcional</t>
        </is>
      </c>
      <c r="G604" t="inlineStr">
        <is>
          <t>Item 1 — Garantia normativa de autonomia técnica/funcional</t>
        </is>
      </c>
      <c r="H604" t="inlineStr">
        <is>
          <t>M3-57</t>
        </is>
      </c>
      <c r="I604" t="inlineStr">
        <is>
          <t>02_Autonomia:M3-57</t>
        </is>
      </c>
      <c r="J604" t="inlineStr">
        <is>
          <t>Doc. SEI 37070578</t>
        </is>
      </c>
      <c r="K604" t="inlineStr">
        <is>
          <t>2026-09-23T11:46:31</t>
        </is>
      </c>
    </row>
    <row r="605">
      <c r="A605" t="n">
        <v>604</v>
      </c>
      <c r="B605" t="inlineStr">
        <is>
          <t>RN</t>
        </is>
      </c>
      <c r="C605" t="inlineStr">
        <is>
          <t>RN</t>
        </is>
      </c>
      <c r="D605" t="inlineStr">
        <is>
          <t>Rio Grande do Norte</t>
        </is>
      </c>
      <c r="E605" t="inlineStr">
        <is>
          <t>02_Autonomia</t>
        </is>
      </c>
      <c r="F605" t="inlineStr">
        <is>
          <t>Autonomia técnica e funcional</t>
        </is>
      </c>
      <c r="G605" t="inlineStr">
        <is>
          <t>Item 2 — Condições institucionais de atuação sem interferência indevida</t>
        </is>
      </c>
      <c r="H605" t="inlineStr">
        <is>
          <t>M1-12</t>
        </is>
      </c>
      <c r="I605" t="inlineStr">
        <is>
          <t>02_Autonomia:M1-12</t>
        </is>
      </c>
      <c r="J605" t="inlineStr">
        <is>
          <t>Doc. SEI 37070578</t>
        </is>
      </c>
      <c r="K605" t="inlineStr">
        <is>
          <t>2026-09-23T11:46:31</t>
        </is>
      </c>
    </row>
    <row r="606">
      <c r="A606" t="n">
        <v>605</v>
      </c>
      <c r="B606" t="inlineStr">
        <is>
          <t>RN</t>
        </is>
      </c>
      <c r="C606" t="inlineStr">
        <is>
          <t>RN</t>
        </is>
      </c>
      <c r="D606" t="inlineStr">
        <is>
          <t>Rio Grande do Norte</t>
        </is>
      </c>
      <c r="E606" t="inlineStr">
        <is>
          <t>02_Autonomia</t>
        </is>
      </c>
      <c r="F606" t="inlineStr">
        <is>
          <t>Autonomia técnica e funcional</t>
        </is>
      </c>
      <c r="G606" t="inlineStr">
        <is>
          <t>Item 2 — Condições institucionais de atuação sem interferência indevida</t>
        </is>
      </c>
      <c r="H606" t="inlineStr">
        <is>
          <t>M4-67</t>
        </is>
      </c>
      <c r="I606" t="inlineStr">
        <is>
          <t>02_Autonomia:M4-67</t>
        </is>
      </c>
      <c r="J606" t="inlineStr">
        <is>
          <t>Doc. SEI 37070578</t>
        </is>
      </c>
      <c r="K606" t="inlineStr">
        <is>
          <t>2026-09-23T11:46:31</t>
        </is>
      </c>
    </row>
    <row r="607">
      <c r="A607" t="n">
        <v>606</v>
      </c>
      <c r="B607" t="inlineStr">
        <is>
          <t>RN</t>
        </is>
      </c>
      <c r="C607" t="inlineStr">
        <is>
          <t>RN</t>
        </is>
      </c>
      <c r="D607" t="inlineStr">
        <is>
          <t>Rio Grande do Norte</t>
        </is>
      </c>
      <c r="E607" t="inlineStr">
        <is>
          <t>02_Autonomia</t>
        </is>
      </c>
      <c r="F607" t="inlineStr">
        <is>
          <t>Autonomia técnica e funcional</t>
        </is>
      </c>
      <c r="G607" t="inlineStr">
        <is>
          <t>Item 2 — Condições institucionais de atuação sem interferência indevida</t>
        </is>
      </c>
      <c r="H607" t="inlineStr">
        <is>
          <t>M4-68</t>
        </is>
      </c>
      <c r="I607" t="inlineStr">
        <is>
          <t>02_Autonomia:M4-68</t>
        </is>
      </c>
      <c r="J607" t="inlineStr">
        <is>
          <t>Doc. SEI 37070578</t>
        </is>
      </c>
      <c r="K607" t="inlineStr">
        <is>
          <t>2026-09-23T11:46:31</t>
        </is>
      </c>
    </row>
    <row r="608">
      <c r="A608" t="n">
        <v>607</v>
      </c>
      <c r="B608" t="inlineStr">
        <is>
          <t>RN</t>
        </is>
      </c>
      <c r="C608" t="inlineStr">
        <is>
          <t>RN</t>
        </is>
      </c>
      <c r="D608" t="inlineStr">
        <is>
          <t>Rio Grande do Norte</t>
        </is>
      </c>
      <c r="E608" t="inlineStr">
        <is>
          <t>03_Imparcialidade</t>
        </is>
      </c>
      <c r="F608" t="inlineStr">
        <is>
          <t>Imparcialidade, sigilo e proteção</t>
        </is>
      </c>
      <c r="G608" t="inlineStr">
        <is>
          <t>Item 1 — Proteção e tratamento de denúncias graves e sensíveis</t>
        </is>
      </c>
      <c r="H608" t="inlineStr">
        <is>
          <t>M4-69</t>
        </is>
      </c>
      <c r="I608" t="inlineStr">
        <is>
          <t>03_Imparcialidade:M4-69</t>
        </is>
      </c>
      <c r="J608" t="inlineStr">
        <is>
          <t>Doc. SEI 37070578</t>
        </is>
      </c>
      <c r="K608" t="inlineStr">
        <is>
          <t>2026-09-23T11:46:31</t>
        </is>
      </c>
    </row>
    <row r="609">
      <c r="A609" t="n">
        <v>608</v>
      </c>
      <c r="B609" t="inlineStr">
        <is>
          <t>RN</t>
        </is>
      </c>
      <c r="C609" t="inlineStr">
        <is>
          <t>RN</t>
        </is>
      </c>
      <c r="D609" t="inlineStr">
        <is>
          <t>Rio Grande do Norte</t>
        </is>
      </c>
      <c r="E609" t="inlineStr">
        <is>
          <t>03_Imparcialidade</t>
        </is>
      </c>
      <c r="F609" t="inlineStr">
        <is>
          <t>Imparcialidade, sigilo e proteção</t>
        </is>
      </c>
      <c r="G609" t="inlineStr">
        <is>
          <t>Item 2 — Confidencialidade e sigilo da equipe</t>
        </is>
      </c>
      <c r="H609" t="inlineStr">
        <is>
          <t>M3-63</t>
        </is>
      </c>
      <c r="I609" t="inlineStr">
        <is>
          <t>03_Imparcialidade:M3-63</t>
        </is>
      </c>
      <c r="J609" t="inlineStr">
        <is>
          <t>Doc. SEI 37070578</t>
        </is>
      </c>
      <c r="K609" t="inlineStr">
        <is>
          <t>2026-09-23T11:46:31</t>
        </is>
      </c>
    </row>
    <row r="610">
      <c r="A610" t="n">
        <v>609</v>
      </c>
      <c r="B610" t="inlineStr">
        <is>
          <t>RN</t>
        </is>
      </c>
      <c r="C610" t="inlineStr">
        <is>
          <t>RN</t>
        </is>
      </c>
      <c r="D610" t="inlineStr">
        <is>
          <t>Rio Grande do Norte</t>
        </is>
      </c>
      <c r="E610" t="inlineStr">
        <is>
          <t>04_Acessibilidade</t>
        </is>
      </c>
      <c r="F610" t="inlineStr">
        <is>
          <t>Acessibilidade e atendimento humanizado</t>
        </is>
      </c>
      <c r="G610" t="inlineStr">
        <is>
          <t>Item 1 — Canais institucionais acessíveis</t>
        </is>
      </c>
      <c r="H610" t="inlineStr">
        <is>
          <t>M2-41</t>
        </is>
      </c>
      <c r="I610" t="inlineStr">
        <is>
          <t>04_Acessibilidade:M2-41</t>
        </is>
      </c>
      <c r="J610" t="inlineStr">
        <is>
          <t>Doc. SEI 37070578</t>
        </is>
      </c>
      <c r="K610" t="inlineStr">
        <is>
          <t>2026-09-23T11:46:31</t>
        </is>
      </c>
    </row>
    <row r="611">
      <c r="A611" t="n">
        <v>610</v>
      </c>
      <c r="B611" t="inlineStr">
        <is>
          <t>RN</t>
        </is>
      </c>
      <c r="C611" t="inlineStr">
        <is>
          <t>RN</t>
        </is>
      </c>
      <c r="D611" t="inlineStr">
        <is>
          <t>Rio Grande do Norte</t>
        </is>
      </c>
      <c r="E611" t="inlineStr">
        <is>
          <t>04_Acessibilidade</t>
        </is>
      </c>
      <c r="F611" t="inlineStr">
        <is>
          <t>Acessibilidade e atendimento humanizado</t>
        </is>
      </c>
      <c r="G611" t="inlineStr">
        <is>
          <t>Item 1 — Canais institucionais acessíveis</t>
        </is>
      </c>
      <c r="H611" t="inlineStr">
        <is>
          <t>M2-43</t>
        </is>
      </c>
      <c r="I611" t="inlineStr">
        <is>
          <t>04_Acessibilidade:M2-43</t>
        </is>
      </c>
      <c r="J611" t="inlineStr">
        <is>
          <t>Doc. SEI 37070578</t>
        </is>
      </c>
      <c r="K611" t="inlineStr">
        <is>
          <t>2026-09-23T11:46:31</t>
        </is>
      </c>
    </row>
    <row r="612">
      <c r="A612" t="n">
        <v>611</v>
      </c>
      <c r="B612" t="inlineStr">
        <is>
          <t>RN</t>
        </is>
      </c>
      <c r="C612" t="inlineStr">
        <is>
          <t>RN</t>
        </is>
      </c>
      <c r="D612" t="inlineStr">
        <is>
          <t>Rio Grande do Norte</t>
        </is>
      </c>
      <c r="E612" t="inlineStr">
        <is>
          <t>04_Acessibilidade</t>
        </is>
      </c>
      <c r="F612" t="inlineStr">
        <is>
          <t>Acessibilidade e atendimento humanizado</t>
        </is>
      </c>
      <c r="G612" t="inlineStr">
        <is>
          <t>Item 1 — Canais institucionais acessíveis</t>
        </is>
      </c>
      <c r="H612" t="inlineStr">
        <is>
          <t>M2-47</t>
        </is>
      </c>
      <c r="I612" t="inlineStr">
        <is>
          <t>04_Acessibilidade:M2-47</t>
        </is>
      </c>
      <c r="J612" t="inlineStr">
        <is>
          <t>Doc. SEI 37070578</t>
        </is>
      </c>
      <c r="K612" t="inlineStr">
        <is>
          <t>2026-09-23T11:46:31</t>
        </is>
      </c>
    </row>
    <row r="613">
      <c r="A613" t="n">
        <v>612</v>
      </c>
      <c r="B613" t="inlineStr">
        <is>
          <t>RN</t>
        </is>
      </c>
      <c r="C613" t="inlineStr">
        <is>
          <t>RN</t>
        </is>
      </c>
      <c r="D613" t="inlineStr">
        <is>
          <t>Rio Grande do Norte</t>
        </is>
      </c>
      <c r="E613" t="inlineStr">
        <is>
          <t>04_Acessibilidade</t>
        </is>
      </c>
      <c r="F613" t="inlineStr">
        <is>
          <t>Acessibilidade e atendimento humanizado</t>
        </is>
      </c>
      <c r="G613" t="inlineStr">
        <is>
          <t>Item 2 — Condições de atendimento reservado e acessível</t>
        </is>
      </c>
      <c r="H613" t="inlineStr">
        <is>
          <t>M2-16</t>
        </is>
      </c>
      <c r="I613" t="inlineStr">
        <is>
          <t>04_Acessibilidade:M2-16</t>
        </is>
      </c>
      <c r="J613" t="inlineStr">
        <is>
          <t>Doc. SEI 37070578</t>
        </is>
      </c>
      <c r="K613" t="inlineStr">
        <is>
          <t>2026-09-23T11:46:31</t>
        </is>
      </c>
    </row>
    <row r="614">
      <c r="A614" t="n">
        <v>613</v>
      </c>
      <c r="B614" t="inlineStr">
        <is>
          <t>RN</t>
        </is>
      </c>
      <c r="C614" t="inlineStr">
        <is>
          <t>RN</t>
        </is>
      </c>
      <c r="D614" t="inlineStr">
        <is>
          <t>Rio Grande do Norte</t>
        </is>
      </c>
      <c r="E614" t="inlineStr">
        <is>
          <t>04_Acessibilidade</t>
        </is>
      </c>
      <c r="F614" t="inlineStr">
        <is>
          <t>Acessibilidade e atendimento humanizado</t>
        </is>
      </c>
      <c r="G614" t="inlineStr">
        <is>
          <t>Item 3 — Alcance dos públicos dos serviços penais</t>
        </is>
      </c>
      <c r="H614" t="inlineStr">
        <is>
          <t>M1-13</t>
        </is>
      </c>
      <c r="I614" t="inlineStr">
        <is>
          <t>04_Acessibilidade:M1-13</t>
        </is>
      </c>
      <c r="J614" t="inlineStr">
        <is>
          <t>Doc. SEI 37070578</t>
        </is>
      </c>
      <c r="K614" t="inlineStr">
        <is>
          <t>2026-09-23T11:46:31</t>
        </is>
      </c>
    </row>
    <row r="615">
      <c r="A615" t="n">
        <v>614</v>
      </c>
      <c r="B615" t="inlineStr">
        <is>
          <t>RN</t>
        </is>
      </c>
      <c r="C615" t="inlineStr">
        <is>
          <t>RN</t>
        </is>
      </c>
      <c r="D615" t="inlineStr">
        <is>
          <t>Rio Grande do Norte</t>
        </is>
      </c>
      <c r="E615" t="inlineStr">
        <is>
          <t>04_Acessibilidade</t>
        </is>
      </c>
      <c r="F615" t="inlineStr">
        <is>
          <t>Acessibilidade e atendimento humanizado</t>
        </is>
      </c>
      <c r="G615" t="inlineStr">
        <is>
          <t>Item 3 — Alcance dos públicos dos serviços penais</t>
        </is>
      </c>
      <c r="H615" t="inlineStr">
        <is>
          <t>M4-64</t>
        </is>
      </c>
      <c r="I615" t="inlineStr">
        <is>
          <t>04_Acessibilidade:M4-64</t>
        </is>
      </c>
      <c r="J615" t="inlineStr">
        <is>
          <t>Doc. SEI 37070578</t>
        </is>
      </c>
      <c r="K615" t="inlineStr">
        <is>
          <t>2026-09-23T11:46:31</t>
        </is>
      </c>
    </row>
    <row r="616">
      <c r="A616" t="n">
        <v>615</v>
      </c>
      <c r="B616" t="inlineStr">
        <is>
          <t>RN</t>
        </is>
      </c>
      <c r="C616" t="inlineStr">
        <is>
          <t>RN</t>
        </is>
      </c>
      <c r="D616" t="inlineStr">
        <is>
          <t>Rio Grande do Norte</t>
        </is>
      </c>
      <c r="E616" t="inlineStr">
        <is>
          <t>05_Transparência</t>
        </is>
      </c>
      <c r="F616" t="inlineStr">
        <is>
          <t>Transparência e publicidade</t>
        </is>
      </c>
      <c r="G616" t="inlineStr">
        <is>
          <t>Item 1 — Visibilidade institucional e divulgação dos canais</t>
        </is>
      </c>
      <c r="H616" t="inlineStr">
        <is>
          <t>M2-35</t>
        </is>
      </c>
      <c r="I616" t="inlineStr">
        <is>
          <t>05_Transparência:M2-35</t>
        </is>
      </c>
      <c r="J616" t="inlineStr">
        <is>
          <t>Doc. SEI 37070578</t>
        </is>
      </c>
      <c r="K616" t="inlineStr">
        <is>
          <t>2026-09-23T11:46:31</t>
        </is>
      </c>
    </row>
    <row r="617">
      <c r="A617" t="n">
        <v>616</v>
      </c>
      <c r="B617" t="inlineStr">
        <is>
          <t>RN</t>
        </is>
      </c>
      <c r="C617" t="inlineStr">
        <is>
          <t>RN</t>
        </is>
      </c>
      <c r="D617" t="inlineStr">
        <is>
          <t>Rio Grande do Norte</t>
        </is>
      </c>
      <c r="E617" t="inlineStr">
        <is>
          <t>05_Transparência</t>
        </is>
      </c>
      <c r="F617" t="inlineStr">
        <is>
          <t>Transparência e publicidade</t>
        </is>
      </c>
      <c r="G617" t="inlineStr">
        <is>
          <t>Item 2 — Publicidade das ações e atividades</t>
        </is>
      </c>
      <c r="H617" t="inlineStr">
        <is>
          <t>M4-71</t>
        </is>
      </c>
      <c r="I617" t="inlineStr">
        <is>
          <t>05_Transparência:M4-71</t>
        </is>
      </c>
      <c r="J617" t="inlineStr">
        <is>
          <t>Doc. SEI 37070578</t>
        </is>
      </c>
      <c r="K617" t="inlineStr">
        <is>
          <t>2026-09-23T11:46:31</t>
        </is>
      </c>
    </row>
    <row r="618">
      <c r="A618" t="n">
        <v>617</v>
      </c>
      <c r="B618" t="inlineStr">
        <is>
          <t>RN</t>
        </is>
      </c>
      <c r="C618" t="inlineStr">
        <is>
          <t>RN</t>
        </is>
      </c>
      <c r="D618" t="inlineStr">
        <is>
          <t>Rio Grande do Norte</t>
        </is>
      </c>
      <c r="E618" t="inlineStr">
        <is>
          <t>06_Integração Tec</t>
        </is>
      </c>
      <c r="F618" t="inlineStr">
        <is>
          <t>Integração tecnológica</t>
        </is>
      </c>
      <c r="G618" t="inlineStr">
        <is>
          <t>Item 1 — Canal eletrônico e solução para registro e gestão das manifestações</t>
        </is>
      </c>
      <c r="H618" t="inlineStr">
        <is>
          <t>M2-45</t>
        </is>
      </c>
      <c r="I618" t="inlineStr">
        <is>
          <t>06_Integração Tec:M2-45</t>
        </is>
      </c>
      <c r="J618" t="inlineStr">
        <is>
          <t>Doc. SEI 37070578</t>
        </is>
      </c>
      <c r="K618" t="inlineStr">
        <is>
          <t>2026-09-23T11:46:31</t>
        </is>
      </c>
    </row>
    <row r="619">
      <c r="A619" t="n">
        <v>618</v>
      </c>
      <c r="B619" t="inlineStr">
        <is>
          <t>RN</t>
        </is>
      </c>
      <c r="C619" t="inlineStr">
        <is>
          <t>RN</t>
        </is>
      </c>
      <c r="D619" t="inlineStr">
        <is>
          <t>Rio Grande do Norte</t>
        </is>
      </c>
      <c r="E619" t="inlineStr">
        <is>
          <t>06_Integração Tec</t>
        </is>
      </c>
      <c r="F619" t="inlineStr">
        <is>
          <t>Integração tecnológica</t>
        </is>
      </c>
      <c r="G619" t="inlineStr">
        <is>
          <t>Item 2 — Registro, protocolo, rastreabilidade e acompanhamento</t>
        </is>
      </c>
      <c r="H619" t="inlineStr">
        <is>
          <t>M4-66</t>
        </is>
      </c>
      <c r="I619" t="inlineStr">
        <is>
          <t>06_Integração Tec:M4-66</t>
        </is>
      </c>
      <c r="J619" t="inlineStr">
        <is>
          <t>Doc. SEI 37070578</t>
        </is>
      </c>
      <c r="K619" t="inlineStr">
        <is>
          <t>2026-09-23T11:46:31</t>
        </is>
      </c>
    </row>
    <row r="620">
      <c r="A620" t="n">
        <v>619</v>
      </c>
      <c r="B620" t="inlineStr">
        <is>
          <t>RN</t>
        </is>
      </c>
      <c r="C620" t="inlineStr">
        <is>
          <t>RN</t>
        </is>
      </c>
      <c r="D620" t="inlineStr">
        <is>
          <t>Rio Grande do Norte</t>
        </is>
      </c>
      <c r="E620" t="inlineStr">
        <is>
          <t>06_Integração Tec</t>
        </is>
      </c>
      <c r="F620" t="inlineStr">
        <is>
          <t>Integração tecnológica</t>
        </is>
      </c>
      <c r="G620" t="inlineStr">
        <is>
          <t>Item 3 — Sigilo, autenticação e controle de acesso</t>
        </is>
      </c>
      <c r="H620" t="inlineStr">
        <is>
          <t>M2-37</t>
        </is>
      </c>
      <c r="I620" t="inlineStr">
        <is>
          <t>06_Integração Tec:M2-37</t>
        </is>
      </c>
      <c r="J620" t="inlineStr">
        <is>
          <t>Doc. SEI 37070578</t>
        </is>
      </c>
      <c r="K620" t="inlineStr">
        <is>
          <t>2026-09-23T11:46:31</t>
        </is>
      </c>
    </row>
    <row r="621">
      <c r="A621" t="n">
        <v>620</v>
      </c>
      <c r="B621" t="inlineStr">
        <is>
          <t>RN</t>
        </is>
      </c>
      <c r="C621" t="inlineStr">
        <is>
          <t>RN</t>
        </is>
      </c>
      <c r="D621" t="inlineStr">
        <is>
          <t>Rio Grande do Norte</t>
        </is>
      </c>
      <c r="E621" t="inlineStr">
        <is>
          <t>06_Integração Tec</t>
        </is>
      </c>
      <c r="F621" t="inlineStr">
        <is>
          <t>Integração tecnológica</t>
        </is>
      </c>
      <c r="G621" t="inlineStr">
        <is>
          <t>Item 4 — Computadores e acesso à internet</t>
        </is>
      </c>
      <c r="H621" t="inlineStr">
        <is>
          <t>M2-17</t>
        </is>
      </c>
      <c r="I621" t="inlineStr">
        <is>
          <t>06_Integração Tec:M2-17</t>
        </is>
      </c>
      <c r="J621" t="inlineStr">
        <is>
          <t>Doc. SEI 37070578</t>
        </is>
      </c>
      <c r="K621" t="inlineStr">
        <is>
          <t>2026-09-23T11:46:31</t>
        </is>
      </c>
    </row>
    <row r="622">
      <c r="A622" t="n">
        <v>621</v>
      </c>
      <c r="B622" t="inlineStr">
        <is>
          <t>RN</t>
        </is>
      </c>
      <c r="C622" t="inlineStr">
        <is>
          <t>RN</t>
        </is>
      </c>
      <c r="D622" t="inlineStr">
        <is>
          <t>Rio Grande do Norte</t>
        </is>
      </c>
      <c r="E622" t="inlineStr">
        <is>
          <t>06_Integração Tec</t>
        </is>
      </c>
      <c r="F622" t="inlineStr">
        <is>
          <t>Integração tecnológica</t>
        </is>
      </c>
      <c r="G622" t="inlineStr">
        <is>
          <t>Item 5 — Impressoras e scanners</t>
        </is>
      </c>
      <c r="H622" t="inlineStr">
        <is>
          <t>M2-19</t>
        </is>
      </c>
      <c r="I622" t="inlineStr">
        <is>
          <t>06_Integração Tec:M2-19</t>
        </is>
      </c>
      <c r="J622" t="inlineStr">
        <is>
          <t>Doc. SEI 37070578</t>
        </is>
      </c>
      <c r="K622" t="inlineStr">
        <is>
          <t>2026-09-23T11:46:31</t>
        </is>
      </c>
    </row>
    <row r="623">
      <c r="A623" t="n">
        <v>622</v>
      </c>
      <c r="B623" t="inlineStr">
        <is>
          <t>RN</t>
        </is>
      </c>
      <c r="C623" t="inlineStr">
        <is>
          <t>RN</t>
        </is>
      </c>
      <c r="D623" t="inlineStr">
        <is>
          <t>Rio Grande do Norte</t>
        </is>
      </c>
      <c r="E623" t="inlineStr">
        <is>
          <t>06_Integração Tec</t>
        </is>
      </c>
      <c r="F623" t="inlineStr">
        <is>
          <t>Integração tecnológica</t>
        </is>
      </c>
      <c r="G623" t="inlineStr">
        <is>
          <t>Item 5 — Impressoras e scanners</t>
        </is>
      </c>
      <c r="H623" t="inlineStr">
        <is>
          <t>M2-21</t>
        </is>
      </c>
      <c r="I623" t="inlineStr">
        <is>
          <t>06_Integração Tec:M2-21</t>
        </is>
      </c>
      <c r="J623" t="inlineStr">
        <is>
          <t>Doc. SEI 37070578</t>
        </is>
      </c>
      <c r="K623" t="inlineStr">
        <is>
          <t>2026-09-23T11:46:31</t>
        </is>
      </c>
    </row>
    <row r="624">
      <c r="A624" t="n">
        <v>623</v>
      </c>
      <c r="B624" t="inlineStr">
        <is>
          <t>RN</t>
        </is>
      </c>
      <c r="C624" t="inlineStr">
        <is>
          <t>RN</t>
        </is>
      </c>
      <c r="D624" t="inlineStr">
        <is>
          <t>Rio Grande do Norte</t>
        </is>
      </c>
      <c r="E624" t="inlineStr">
        <is>
          <t>06_Integração Tec</t>
        </is>
      </c>
      <c r="F624" t="inlineStr">
        <is>
          <t>Integração tecnológica</t>
        </is>
      </c>
      <c r="G624" t="inlineStr">
        <is>
          <t>Item 6 — Aparelhos de telefone celular</t>
        </is>
      </c>
      <c r="H624" t="inlineStr">
        <is>
          <t>M2-27</t>
        </is>
      </c>
      <c r="I624" t="inlineStr">
        <is>
          <t>06_Integração Tec:M2-27</t>
        </is>
      </c>
      <c r="J624" t="inlineStr">
        <is>
          <t>Doc. SEI 37070578</t>
        </is>
      </c>
      <c r="K624" t="inlineStr">
        <is>
          <t>2026-09-23T11:46:31</t>
        </is>
      </c>
    </row>
    <row r="625">
      <c r="A625" t="n">
        <v>624</v>
      </c>
      <c r="B625" t="inlineStr">
        <is>
          <t>RN</t>
        </is>
      </c>
      <c r="C625" t="inlineStr">
        <is>
          <t>RN</t>
        </is>
      </c>
      <c r="D625" t="inlineStr">
        <is>
          <t>Rio Grande do Norte</t>
        </is>
      </c>
      <c r="E625" t="inlineStr">
        <is>
          <t>07_Maturidade</t>
        </is>
      </c>
      <c r="F625" t="inlineStr">
        <is>
          <t>Maturidade / bônus</t>
        </is>
      </c>
      <c r="G625" t="inlineStr">
        <is>
          <t>Bônus — Uso do canal Fala.BR</t>
        </is>
      </c>
      <c r="H625" t="inlineStr">
        <is>
          <t>M2-46</t>
        </is>
      </c>
      <c r="I625" t="inlineStr">
        <is>
          <t>07_Maturidade:M2-46</t>
        </is>
      </c>
      <c r="J625" t="inlineStr">
        <is>
          <t>Doc. SEI 37070578</t>
        </is>
      </c>
      <c r="K625" t="inlineStr">
        <is>
          <t>2026-09-23T11:46:31</t>
        </is>
      </c>
    </row>
    <row r="626">
      <c r="A626" t="n">
        <v>625</v>
      </c>
      <c r="B626" t="inlineStr">
        <is>
          <t>RN</t>
        </is>
      </c>
      <c r="C626" t="inlineStr">
        <is>
          <t>RN</t>
        </is>
      </c>
      <c r="D626" t="inlineStr">
        <is>
          <t>Rio Grande do Norte</t>
        </is>
      </c>
      <c r="E626" t="inlineStr">
        <is>
          <t>07_Maturidade</t>
        </is>
      </c>
      <c r="F626" t="inlineStr">
        <is>
          <t>Maturidade / bônus</t>
        </is>
      </c>
      <c r="G626" t="inlineStr">
        <is>
          <t>Bônus — Designação por mandato</t>
        </is>
      </c>
      <c r="H626" t="inlineStr">
        <is>
          <t>M0-08</t>
        </is>
      </c>
      <c r="I626" t="inlineStr">
        <is>
          <t>07_Maturidade:M0-08</t>
        </is>
      </c>
      <c r="J626" t="inlineStr">
        <is>
          <t>Doc. SEI 37070578</t>
        </is>
      </c>
      <c r="K626" t="inlineStr">
        <is>
          <t>2026-09-23T11:46:31</t>
        </is>
      </c>
    </row>
    <row r="627">
      <c r="A627" t="n">
        <v>626</v>
      </c>
      <c r="B627" t="inlineStr">
        <is>
          <t>RN</t>
        </is>
      </c>
      <c r="C627" t="inlineStr">
        <is>
          <t>RN</t>
        </is>
      </c>
      <c r="D627" t="inlineStr">
        <is>
          <t>Rio Grande do Norte</t>
        </is>
      </c>
      <c r="E627" t="inlineStr">
        <is>
          <t>07_Maturidade</t>
        </is>
      </c>
      <c r="F627" t="inlineStr">
        <is>
          <t>Maturidade / bônus</t>
        </is>
      </c>
      <c r="G627" t="inlineStr">
        <is>
          <t>Bônus — Dedicação da equipe</t>
        </is>
      </c>
      <c r="H627" t="inlineStr">
        <is>
          <t>M3-60</t>
        </is>
      </c>
      <c r="I627" t="inlineStr">
        <is>
          <t>07_Maturidade:M3-60</t>
        </is>
      </c>
      <c r="J627" t="inlineStr">
        <is>
          <t>Doc. SEI 37070578</t>
        </is>
      </c>
      <c r="K627" t="inlineStr">
        <is>
          <t>2026-09-23T11:46:31</t>
        </is>
      </c>
    </row>
    <row r="628">
      <c r="A628" t="n">
        <v>627</v>
      </c>
      <c r="B628" t="inlineStr">
        <is>
          <t>RN</t>
        </is>
      </c>
      <c r="C628" t="inlineStr">
        <is>
          <t>RN</t>
        </is>
      </c>
      <c r="D628" t="inlineStr">
        <is>
          <t>Rio Grande do Norte</t>
        </is>
      </c>
      <c r="E628" t="inlineStr">
        <is>
          <t>07_Maturidade</t>
        </is>
      </c>
      <c r="F628" t="inlineStr">
        <is>
          <t>Maturidade / bônus</t>
        </is>
      </c>
      <c r="G628" t="inlineStr">
        <is>
          <t>Bônus — Requisitos de perfil para o cargo de Ouvidor</t>
        </is>
      </c>
      <c r="H628" t="inlineStr">
        <is>
          <t>M3-58</t>
        </is>
      </c>
      <c r="I628" t="inlineStr">
        <is>
          <t>07_Maturidade:M3-58</t>
        </is>
      </c>
      <c r="J628" t="inlineStr">
        <is>
          <t>Doc. SEI 37070578</t>
        </is>
      </c>
      <c r="K628" t="inlineStr">
        <is>
          <t>2026-09-23T11:46:31</t>
        </is>
      </c>
    </row>
    <row r="629">
      <c r="A629" t="n">
        <v>628</v>
      </c>
      <c r="B629" t="inlineStr">
        <is>
          <t>RN</t>
        </is>
      </c>
      <c r="C629" t="inlineStr">
        <is>
          <t>RN</t>
        </is>
      </c>
      <c r="D629" t="inlineStr">
        <is>
          <t>Rio Grande do Norte</t>
        </is>
      </c>
      <c r="E629" t="inlineStr">
        <is>
          <t>07_Maturidade</t>
        </is>
      </c>
      <c r="F629" t="inlineStr">
        <is>
          <t>Maturidade / bônus</t>
        </is>
      </c>
      <c r="G629" t="inlineStr">
        <is>
          <t>Bônus — WhatsApp institucional</t>
        </is>
      </c>
      <c r="H629" t="inlineStr">
        <is>
          <t>M2-50</t>
        </is>
      </c>
      <c r="I629" t="inlineStr">
        <is>
          <t>07_Maturidade:M2-50</t>
        </is>
      </c>
      <c r="J629" t="inlineStr">
        <is>
          <t>Doc. SEI 37070578</t>
        </is>
      </c>
      <c r="K629" t="inlineStr">
        <is>
          <t>2026-09-23T11:46:31</t>
        </is>
      </c>
    </row>
    <row r="630">
      <c r="A630" t="n">
        <v>629</v>
      </c>
      <c r="B630" t="inlineStr">
        <is>
          <t>RN</t>
        </is>
      </c>
      <c r="C630" t="inlineStr">
        <is>
          <t>RN</t>
        </is>
      </c>
      <c r="D630" t="inlineStr">
        <is>
          <t>Rio Grande do Norte</t>
        </is>
      </c>
      <c r="E630" t="inlineStr">
        <is>
          <t>07_Maturidade</t>
        </is>
      </c>
      <c r="F630" t="inlineStr">
        <is>
          <t>Maturidade / bônus</t>
        </is>
      </c>
      <c r="G630" t="inlineStr">
        <is>
          <t>Bônus — Outros canais eletrônicos institucionais</t>
        </is>
      </c>
      <c r="H630" t="inlineStr">
        <is>
          <t>M2-49</t>
        </is>
      </c>
      <c r="I630" t="inlineStr">
        <is>
          <t>07_Maturidade:M2-49</t>
        </is>
      </c>
      <c r="J630" t="inlineStr">
        <is>
          <t>Doc. SEI 37070578</t>
        </is>
      </c>
      <c r="K630" t="inlineStr">
        <is>
          <t>2026-09-23T11:46:31</t>
        </is>
      </c>
    </row>
    <row r="631">
      <c r="A631" t="n">
        <v>630</v>
      </c>
      <c r="B631" t="inlineStr">
        <is>
          <t>RN</t>
        </is>
      </c>
      <c r="C631" t="inlineStr">
        <is>
          <t>RN</t>
        </is>
      </c>
      <c r="D631" t="inlineStr">
        <is>
          <t>Rio Grande do Norte</t>
        </is>
      </c>
      <c r="E631" t="inlineStr">
        <is>
          <t>07_Maturidade</t>
        </is>
      </c>
      <c r="F631" t="inlineStr">
        <is>
          <t>Maturidade / bônus</t>
        </is>
      </c>
      <c r="G631" t="inlineStr">
        <is>
          <t>Bônus — Materiais adicionais de divulgação e educação em direitos</t>
        </is>
      </c>
      <c r="H631" t="inlineStr">
        <is>
          <t>M2-36</t>
        </is>
      </c>
      <c r="I631" t="inlineStr">
        <is>
          <t>07_Maturidade:M2-36</t>
        </is>
      </c>
      <c r="J631" t="inlineStr">
        <is>
          <t>Doc. SEI 37070578</t>
        </is>
      </c>
      <c r="K631" t="inlineStr">
        <is>
          <t>2026-09-23T11:46:31</t>
        </is>
      </c>
    </row>
    <row r="632">
      <c r="A632" t="n">
        <v>631</v>
      </c>
      <c r="B632" t="inlineStr">
        <is>
          <t>RS</t>
        </is>
      </c>
      <c r="C632" t="inlineStr">
        <is>
          <t>RS</t>
        </is>
      </c>
      <c r="D632" t="inlineStr">
        <is>
          <t>Rio Grande do Sul</t>
        </is>
      </c>
      <c r="E632" t="inlineStr">
        <is>
          <t>01_Institucionalização</t>
        </is>
      </c>
      <c r="F632" t="inlineStr">
        <is>
          <t>Institucionalização</t>
        </is>
      </c>
      <c r="G632" t="inlineStr">
        <is>
          <t>Item 1 — Instituição formal da Ouvidoria de Serviços Penais</t>
        </is>
      </c>
      <c r="H632" t="inlineStr">
        <is>
          <t>M1-11</t>
        </is>
      </c>
      <c r="I632" t="inlineStr">
        <is>
          <t>01_Institucionalização:M1-11</t>
        </is>
      </c>
      <c r="J632" t="inlineStr">
        <is>
          <t>Doc. SEI 37070578</t>
        </is>
      </c>
      <c r="K632" t="inlineStr">
        <is>
          <t>2026-09-23T11:46:31</t>
        </is>
      </c>
    </row>
    <row r="633">
      <c r="A633" t="n">
        <v>632</v>
      </c>
      <c r="B633" t="inlineStr">
        <is>
          <t>RS</t>
        </is>
      </c>
      <c r="C633" t="inlineStr">
        <is>
          <t>RS</t>
        </is>
      </c>
      <c r="D633" t="inlineStr">
        <is>
          <t>Rio Grande do Sul</t>
        </is>
      </c>
      <c r="E633" t="inlineStr">
        <is>
          <t>02_Autonomia</t>
        </is>
      </c>
      <c r="F633" t="inlineStr">
        <is>
          <t>Autonomia técnica e funcional</t>
        </is>
      </c>
      <c r="G633" t="inlineStr">
        <is>
          <t>Item 1 — Garantia normativa de autonomia técnica/funcional</t>
        </is>
      </c>
      <c r="H633" t="inlineStr">
        <is>
          <t>M3-56</t>
        </is>
      </c>
      <c r="I633" t="inlineStr">
        <is>
          <t>02_Autonomia:M3-56</t>
        </is>
      </c>
      <c r="J633" t="inlineStr">
        <is>
          <t>Doc. SEI 37070578</t>
        </is>
      </c>
      <c r="K633" t="inlineStr">
        <is>
          <t>2026-09-23T11:46:31</t>
        </is>
      </c>
    </row>
    <row r="634">
      <c r="A634" t="n">
        <v>633</v>
      </c>
      <c r="B634" t="inlineStr">
        <is>
          <t>RS</t>
        </is>
      </c>
      <c r="C634" t="inlineStr">
        <is>
          <t>RS</t>
        </is>
      </c>
      <c r="D634" t="inlineStr">
        <is>
          <t>Rio Grande do Sul</t>
        </is>
      </c>
      <c r="E634" t="inlineStr">
        <is>
          <t>02_Autonomia</t>
        </is>
      </c>
      <c r="F634" t="inlineStr">
        <is>
          <t>Autonomia técnica e funcional</t>
        </is>
      </c>
      <c r="G634" t="inlineStr">
        <is>
          <t>Item 1 — Garantia normativa de autonomia técnica/funcional</t>
        </is>
      </c>
      <c r="H634" t="inlineStr">
        <is>
          <t>M3-57</t>
        </is>
      </c>
      <c r="I634" t="inlineStr">
        <is>
          <t>02_Autonomia:M3-57</t>
        </is>
      </c>
      <c r="J634" t="inlineStr">
        <is>
          <t>Doc. SEI 37070578</t>
        </is>
      </c>
      <c r="K634" t="inlineStr">
        <is>
          <t>2026-09-23T11:46:31</t>
        </is>
      </c>
    </row>
    <row r="635">
      <c r="A635" t="n">
        <v>634</v>
      </c>
      <c r="B635" t="inlineStr">
        <is>
          <t>RS</t>
        </is>
      </c>
      <c r="C635" t="inlineStr">
        <is>
          <t>RS</t>
        </is>
      </c>
      <c r="D635" t="inlineStr">
        <is>
          <t>Rio Grande do Sul</t>
        </is>
      </c>
      <c r="E635" t="inlineStr">
        <is>
          <t>02_Autonomia</t>
        </is>
      </c>
      <c r="F635" t="inlineStr">
        <is>
          <t>Autonomia técnica e funcional</t>
        </is>
      </c>
      <c r="G635" t="inlineStr">
        <is>
          <t>Item 2 — Condições institucionais de atuação sem interferência indevida</t>
        </is>
      </c>
      <c r="H635" t="inlineStr">
        <is>
          <t>M1-12</t>
        </is>
      </c>
      <c r="I635" t="inlineStr">
        <is>
          <t>02_Autonomia:M1-12</t>
        </is>
      </c>
      <c r="J635" t="inlineStr">
        <is>
          <t>Doc. SEI 37070578</t>
        </is>
      </c>
      <c r="K635" t="inlineStr">
        <is>
          <t>2026-09-23T11:46:31</t>
        </is>
      </c>
    </row>
    <row r="636">
      <c r="A636" t="n">
        <v>635</v>
      </c>
      <c r="B636" t="inlineStr">
        <is>
          <t>RS</t>
        </is>
      </c>
      <c r="C636" t="inlineStr">
        <is>
          <t>RS</t>
        </is>
      </c>
      <c r="D636" t="inlineStr">
        <is>
          <t>Rio Grande do Sul</t>
        </is>
      </c>
      <c r="E636" t="inlineStr">
        <is>
          <t>02_Autonomia</t>
        </is>
      </c>
      <c r="F636" t="inlineStr">
        <is>
          <t>Autonomia técnica e funcional</t>
        </is>
      </c>
      <c r="G636" t="inlineStr">
        <is>
          <t>Item 2 — Condições institucionais de atuação sem interferência indevida</t>
        </is>
      </c>
      <c r="H636" t="inlineStr">
        <is>
          <t>M4-67</t>
        </is>
      </c>
      <c r="I636" t="inlineStr">
        <is>
          <t>02_Autonomia:M4-67</t>
        </is>
      </c>
      <c r="J636" t="inlineStr">
        <is>
          <t>Doc. SEI 37070578</t>
        </is>
      </c>
      <c r="K636" t="inlineStr">
        <is>
          <t>2026-09-23T11:46:31</t>
        </is>
      </c>
    </row>
    <row r="637">
      <c r="A637" t="n">
        <v>636</v>
      </c>
      <c r="B637" t="inlineStr">
        <is>
          <t>RS</t>
        </is>
      </c>
      <c r="C637" t="inlineStr">
        <is>
          <t>RS</t>
        </is>
      </c>
      <c r="D637" t="inlineStr">
        <is>
          <t>Rio Grande do Sul</t>
        </is>
      </c>
      <c r="E637" t="inlineStr">
        <is>
          <t>02_Autonomia</t>
        </is>
      </c>
      <c r="F637" t="inlineStr">
        <is>
          <t>Autonomia técnica e funcional</t>
        </is>
      </c>
      <c r="G637" t="inlineStr">
        <is>
          <t>Item 2 — Condições institucionais de atuação sem interferência indevida</t>
        </is>
      </c>
      <c r="H637" t="inlineStr">
        <is>
          <t>M4-68</t>
        </is>
      </c>
      <c r="I637" t="inlineStr">
        <is>
          <t>02_Autonomia:M4-68</t>
        </is>
      </c>
      <c r="J637" t="inlineStr">
        <is>
          <t>Doc. SEI 37070578</t>
        </is>
      </c>
      <c r="K637" t="inlineStr">
        <is>
          <t>2026-09-23T11:46:31</t>
        </is>
      </c>
    </row>
    <row r="638">
      <c r="A638" t="n">
        <v>637</v>
      </c>
      <c r="B638" t="inlineStr">
        <is>
          <t>RS</t>
        </is>
      </c>
      <c r="C638" t="inlineStr">
        <is>
          <t>RS</t>
        </is>
      </c>
      <c r="D638" t="inlineStr">
        <is>
          <t>Rio Grande do Sul</t>
        </is>
      </c>
      <c r="E638" t="inlineStr">
        <is>
          <t>03_Imparcialidade</t>
        </is>
      </c>
      <c r="F638" t="inlineStr">
        <is>
          <t>Imparcialidade, sigilo e proteção</t>
        </is>
      </c>
      <c r="G638" t="inlineStr">
        <is>
          <t>Item 1 — Proteção e tratamento de denúncias graves e sensíveis</t>
        </is>
      </c>
      <c r="H638" t="inlineStr">
        <is>
          <t>M4-69</t>
        </is>
      </c>
      <c r="I638" t="inlineStr">
        <is>
          <t>03_Imparcialidade:M4-69</t>
        </is>
      </c>
      <c r="J638" t="inlineStr">
        <is>
          <t>Doc. SEI 37070578</t>
        </is>
      </c>
      <c r="K638" t="inlineStr">
        <is>
          <t>2026-09-23T11:46:31</t>
        </is>
      </c>
    </row>
    <row r="639">
      <c r="A639" t="n">
        <v>638</v>
      </c>
      <c r="B639" t="inlineStr">
        <is>
          <t>RS</t>
        </is>
      </c>
      <c r="C639" t="inlineStr">
        <is>
          <t>RS</t>
        </is>
      </c>
      <c r="D639" t="inlineStr">
        <is>
          <t>Rio Grande do Sul</t>
        </is>
      </c>
      <c r="E639" t="inlineStr">
        <is>
          <t>03_Imparcialidade</t>
        </is>
      </c>
      <c r="F639" t="inlineStr">
        <is>
          <t>Imparcialidade, sigilo e proteção</t>
        </is>
      </c>
      <c r="G639" t="inlineStr">
        <is>
          <t>Item 2 — Confidencialidade e sigilo da equipe</t>
        </is>
      </c>
      <c r="H639" t="inlineStr">
        <is>
          <t>M3-63</t>
        </is>
      </c>
      <c r="I639" t="inlineStr">
        <is>
          <t>03_Imparcialidade:M3-63</t>
        </is>
      </c>
      <c r="J639" t="inlineStr">
        <is>
          <t>Doc. SEI 37070578</t>
        </is>
      </c>
      <c r="K639" t="inlineStr">
        <is>
          <t>2026-09-23T11:46:31</t>
        </is>
      </c>
    </row>
    <row r="640">
      <c r="A640" t="n">
        <v>639</v>
      </c>
      <c r="B640" t="inlineStr">
        <is>
          <t>RS</t>
        </is>
      </c>
      <c r="C640" t="inlineStr">
        <is>
          <t>RS</t>
        </is>
      </c>
      <c r="D640" t="inlineStr">
        <is>
          <t>Rio Grande do Sul</t>
        </is>
      </c>
      <c r="E640" t="inlineStr">
        <is>
          <t>04_Acessibilidade</t>
        </is>
      </c>
      <c r="F640" t="inlineStr">
        <is>
          <t>Acessibilidade e atendimento humanizado</t>
        </is>
      </c>
      <c r="G640" t="inlineStr">
        <is>
          <t>Item 1 — Canais institucionais acessíveis</t>
        </is>
      </c>
      <c r="H640" t="inlineStr">
        <is>
          <t>M2-41</t>
        </is>
      </c>
      <c r="I640" t="inlineStr">
        <is>
          <t>04_Acessibilidade:M2-41</t>
        </is>
      </c>
      <c r="J640" t="inlineStr">
        <is>
          <t>Doc. SEI 37070578</t>
        </is>
      </c>
      <c r="K640" t="inlineStr">
        <is>
          <t>2026-09-23T11:46:31</t>
        </is>
      </c>
    </row>
    <row r="641">
      <c r="A641" t="n">
        <v>640</v>
      </c>
      <c r="B641" t="inlineStr">
        <is>
          <t>RS</t>
        </is>
      </c>
      <c r="C641" t="inlineStr">
        <is>
          <t>RS</t>
        </is>
      </c>
      <c r="D641" t="inlineStr">
        <is>
          <t>Rio Grande do Sul</t>
        </is>
      </c>
      <c r="E641" t="inlineStr">
        <is>
          <t>04_Acessibilidade</t>
        </is>
      </c>
      <c r="F641" t="inlineStr">
        <is>
          <t>Acessibilidade e atendimento humanizado</t>
        </is>
      </c>
      <c r="G641" t="inlineStr">
        <is>
          <t>Item 1 — Canais institucionais acessíveis</t>
        </is>
      </c>
      <c r="H641" t="inlineStr">
        <is>
          <t>M2-43</t>
        </is>
      </c>
      <c r="I641" t="inlineStr">
        <is>
          <t>04_Acessibilidade:M2-43</t>
        </is>
      </c>
      <c r="J641" t="inlineStr">
        <is>
          <t>Doc. SEI 37070578</t>
        </is>
      </c>
      <c r="K641" t="inlineStr">
        <is>
          <t>2026-09-23T11:46:31</t>
        </is>
      </c>
    </row>
    <row r="642">
      <c r="A642" t="n">
        <v>641</v>
      </c>
      <c r="B642" t="inlineStr">
        <is>
          <t>RS</t>
        </is>
      </c>
      <c r="C642" t="inlineStr">
        <is>
          <t>RS</t>
        </is>
      </c>
      <c r="D642" t="inlineStr">
        <is>
          <t>Rio Grande do Sul</t>
        </is>
      </c>
      <c r="E642" t="inlineStr">
        <is>
          <t>04_Acessibilidade</t>
        </is>
      </c>
      <c r="F642" t="inlineStr">
        <is>
          <t>Acessibilidade e atendimento humanizado</t>
        </is>
      </c>
      <c r="G642" t="inlineStr">
        <is>
          <t>Item 1 — Canais institucionais acessíveis</t>
        </is>
      </c>
      <c r="H642" t="inlineStr">
        <is>
          <t>M2-47</t>
        </is>
      </c>
      <c r="I642" t="inlineStr">
        <is>
          <t>04_Acessibilidade:M2-47</t>
        </is>
      </c>
      <c r="J642" t="inlineStr">
        <is>
          <t>Doc. SEI 37070578</t>
        </is>
      </c>
      <c r="K642" t="inlineStr">
        <is>
          <t>2026-09-23T11:46:31</t>
        </is>
      </c>
    </row>
    <row r="643">
      <c r="A643" t="n">
        <v>642</v>
      </c>
      <c r="B643" t="inlineStr">
        <is>
          <t>RS</t>
        </is>
      </c>
      <c r="C643" t="inlineStr">
        <is>
          <t>RS</t>
        </is>
      </c>
      <c r="D643" t="inlineStr">
        <is>
          <t>Rio Grande do Sul</t>
        </is>
      </c>
      <c r="E643" t="inlineStr">
        <is>
          <t>04_Acessibilidade</t>
        </is>
      </c>
      <c r="F643" t="inlineStr">
        <is>
          <t>Acessibilidade e atendimento humanizado</t>
        </is>
      </c>
      <c r="G643" t="inlineStr">
        <is>
          <t>Item 2 — Condições de atendimento reservado e acessível</t>
        </is>
      </c>
      <c r="H643" t="inlineStr">
        <is>
          <t>M2-16</t>
        </is>
      </c>
      <c r="I643" t="inlineStr">
        <is>
          <t>04_Acessibilidade:M2-16</t>
        </is>
      </c>
      <c r="J643" t="inlineStr">
        <is>
          <t>Doc. SEI 37070578</t>
        </is>
      </c>
      <c r="K643" t="inlineStr">
        <is>
          <t>2026-09-23T11:46:31</t>
        </is>
      </c>
    </row>
    <row r="644">
      <c r="A644" t="n">
        <v>643</v>
      </c>
      <c r="B644" t="inlineStr">
        <is>
          <t>RS</t>
        </is>
      </c>
      <c r="C644" t="inlineStr">
        <is>
          <t>RS</t>
        </is>
      </c>
      <c r="D644" t="inlineStr">
        <is>
          <t>Rio Grande do Sul</t>
        </is>
      </c>
      <c r="E644" t="inlineStr">
        <is>
          <t>04_Acessibilidade</t>
        </is>
      </c>
      <c r="F644" t="inlineStr">
        <is>
          <t>Acessibilidade e atendimento humanizado</t>
        </is>
      </c>
      <c r="G644" t="inlineStr">
        <is>
          <t>Item 3 — Alcance dos públicos dos serviços penais</t>
        </is>
      </c>
      <c r="H644" t="inlineStr">
        <is>
          <t>M1-13</t>
        </is>
      </c>
      <c r="I644" t="inlineStr">
        <is>
          <t>04_Acessibilidade:M1-13</t>
        </is>
      </c>
      <c r="J644" t="inlineStr">
        <is>
          <t>Doc. SEI 37070578</t>
        </is>
      </c>
      <c r="K644" t="inlineStr">
        <is>
          <t>2026-09-23T11:46:31</t>
        </is>
      </c>
    </row>
    <row r="645">
      <c r="A645" t="n">
        <v>644</v>
      </c>
      <c r="B645" t="inlineStr">
        <is>
          <t>RS</t>
        </is>
      </c>
      <c r="C645" t="inlineStr">
        <is>
          <t>RS</t>
        </is>
      </c>
      <c r="D645" t="inlineStr">
        <is>
          <t>Rio Grande do Sul</t>
        </is>
      </c>
      <c r="E645" t="inlineStr">
        <is>
          <t>04_Acessibilidade</t>
        </is>
      </c>
      <c r="F645" t="inlineStr">
        <is>
          <t>Acessibilidade e atendimento humanizado</t>
        </is>
      </c>
      <c r="G645" t="inlineStr">
        <is>
          <t>Item 3 — Alcance dos públicos dos serviços penais</t>
        </is>
      </c>
      <c r="H645" t="inlineStr">
        <is>
          <t>M4-64</t>
        </is>
      </c>
      <c r="I645" t="inlineStr">
        <is>
          <t>04_Acessibilidade:M4-64</t>
        </is>
      </c>
      <c r="J645" t="inlineStr">
        <is>
          <t>Doc. SEI 37070578</t>
        </is>
      </c>
      <c r="K645" t="inlineStr">
        <is>
          <t>2026-09-23T11:46:31</t>
        </is>
      </c>
    </row>
    <row r="646">
      <c r="A646" t="n">
        <v>645</v>
      </c>
      <c r="B646" t="inlineStr">
        <is>
          <t>RS</t>
        </is>
      </c>
      <c r="C646" t="inlineStr">
        <is>
          <t>RS</t>
        </is>
      </c>
      <c r="D646" t="inlineStr">
        <is>
          <t>Rio Grande do Sul</t>
        </is>
      </c>
      <c r="E646" t="inlineStr">
        <is>
          <t>05_Transparência</t>
        </is>
      </c>
      <c r="F646" t="inlineStr">
        <is>
          <t>Transparência e publicidade</t>
        </is>
      </c>
      <c r="G646" t="inlineStr">
        <is>
          <t>Item 1 — Visibilidade institucional e divulgação dos canais</t>
        </is>
      </c>
      <c r="H646" t="inlineStr">
        <is>
          <t>M2-35</t>
        </is>
      </c>
      <c r="I646" t="inlineStr">
        <is>
          <t>05_Transparência:M2-35</t>
        </is>
      </c>
      <c r="J646" t="inlineStr">
        <is>
          <t>Doc. SEI 37070578</t>
        </is>
      </c>
      <c r="K646" t="inlineStr">
        <is>
          <t>2026-09-23T11:46:31</t>
        </is>
      </c>
    </row>
    <row r="647">
      <c r="A647" t="n">
        <v>646</v>
      </c>
      <c r="B647" t="inlineStr">
        <is>
          <t>RS</t>
        </is>
      </c>
      <c r="C647" t="inlineStr">
        <is>
          <t>RS</t>
        </is>
      </c>
      <c r="D647" t="inlineStr">
        <is>
          <t>Rio Grande do Sul</t>
        </is>
      </c>
      <c r="E647" t="inlineStr">
        <is>
          <t>05_Transparência</t>
        </is>
      </c>
      <c r="F647" t="inlineStr">
        <is>
          <t>Transparência e publicidade</t>
        </is>
      </c>
      <c r="G647" t="inlineStr">
        <is>
          <t>Item 2 — Publicidade das ações e atividades</t>
        </is>
      </c>
      <c r="H647" t="inlineStr">
        <is>
          <t>M4-71</t>
        </is>
      </c>
      <c r="I647" t="inlineStr">
        <is>
          <t>05_Transparência:M4-71</t>
        </is>
      </c>
      <c r="J647" t="inlineStr">
        <is>
          <t>Doc. SEI 37070578</t>
        </is>
      </c>
      <c r="K647" t="inlineStr">
        <is>
          <t>2026-09-23T11:46:31</t>
        </is>
      </c>
    </row>
    <row r="648">
      <c r="A648" t="n">
        <v>647</v>
      </c>
      <c r="B648" t="inlineStr">
        <is>
          <t>RS</t>
        </is>
      </c>
      <c r="C648" t="inlineStr">
        <is>
          <t>RS</t>
        </is>
      </c>
      <c r="D648" t="inlineStr">
        <is>
          <t>Rio Grande do Sul</t>
        </is>
      </c>
      <c r="E648" t="inlineStr">
        <is>
          <t>06_Integração Tec</t>
        </is>
      </c>
      <c r="F648" t="inlineStr">
        <is>
          <t>Integração tecnológica</t>
        </is>
      </c>
      <c r="G648" t="inlineStr">
        <is>
          <t>Item 1 — Canal eletrônico e solução para registro e gestão das manifestações</t>
        </is>
      </c>
      <c r="H648" t="inlineStr">
        <is>
          <t>M2-45</t>
        </is>
      </c>
      <c r="I648" t="inlineStr">
        <is>
          <t>06_Integração Tec:M2-45</t>
        </is>
      </c>
      <c r="J648" t="inlineStr">
        <is>
          <t>Doc. SEI 37070578</t>
        </is>
      </c>
      <c r="K648" t="inlineStr">
        <is>
          <t>2026-09-23T11:46:31</t>
        </is>
      </c>
    </row>
    <row r="649">
      <c r="A649" t="n">
        <v>648</v>
      </c>
      <c r="B649" t="inlineStr">
        <is>
          <t>RS</t>
        </is>
      </c>
      <c r="C649" t="inlineStr">
        <is>
          <t>RS</t>
        </is>
      </c>
      <c r="D649" t="inlineStr">
        <is>
          <t>Rio Grande do Sul</t>
        </is>
      </c>
      <c r="E649" t="inlineStr">
        <is>
          <t>06_Integração Tec</t>
        </is>
      </c>
      <c r="F649" t="inlineStr">
        <is>
          <t>Integração tecnológica</t>
        </is>
      </c>
      <c r="G649" t="inlineStr">
        <is>
          <t>Item 2 — Registro, protocolo, rastreabilidade e acompanhamento</t>
        </is>
      </c>
      <c r="H649" t="inlineStr">
        <is>
          <t>M4-66</t>
        </is>
      </c>
      <c r="I649" t="inlineStr">
        <is>
          <t>06_Integração Tec:M4-66</t>
        </is>
      </c>
      <c r="J649" t="inlineStr">
        <is>
          <t>Doc. SEI 37070578</t>
        </is>
      </c>
      <c r="K649" t="inlineStr">
        <is>
          <t>2026-09-23T11:46:31</t>
        </is>
      </c>
    </row>
    <row r="650">
      <c r="A650" t="n">
        <v>649</v>
      </c>
      <c r="B650" t="inlineStr">
        <is>
          <t>RS</t>
        </is>
      </c>
      <c r="C650" t="inlineStr">
        <is>
          <t>RS</t>
        </is>
      </c>
      <c r="D650" t="inlineStr">
        <is>
          <t>Rio Grande do Sul</t>
        </is>
      </c>
      <c r="E650" t="inlineStr">
        <is>
          <t>06_Integração Tec</t>
        </is>
      </c>
      <c r="F650" t="inlineStr">
        <is>
          <t>Integração tecnológica</t>
        </is>
      </c>
      <c r="G650" t="inlineStr">
        <is>
          <t>Item 3 — Sigilo, autenticação e controle de acesso</t>
        </is>
      </c>
      <c r="H650" t="inlineStr">
        <is>
          <t>M2-37</t>
        </is>
      </c>
      <c r="I650" t="inlineStr">
        <is>
          <t>06_Integração Tec:M2-37</t>
        </is>
      </c>
      <c r="J650" t="inlineStr">
        <is>
          <t>Doc. SEI 37070578</t>
        </is>
      </c>
      <c r="K650" t="inlineStr">
        <is>
          <t>2026-09-23T11:46:31</t>
        </is>
      </c>
    </row>
    <row r="651">
      <c r="A651" t="n">
        <v>650</v>
      </c>
      <c r="B651" t="inlineStr">
        <is>
          <t>RS</t>
        </is>
      </c>
      <c r="C651" t="inlineStr">
        <is>
          <t>RS</t>
        </is>
      </c>
      <c r="D651" t="inlineStr">
        <is>
          <t>Rio Grande do Sul</t>
        </is>
      </c>
      <c r="E651" t="inlineStr">
        <is>
          <t>06_Integração Tec</t>
        </is>
      </c>
      <c r="F651" t="inlineStr">
        <is>
          <t>Integração tecnológica</t>
        </is>
      </c>
      <c r="G651" t="inlineStr">
        <is>
          <t>Item 4 — Computadores e acesso à internet</t>
        </is>
      </c>
      <c r="H651" t="inlineStr">
        <is>
          <t>M2-17</t>
        </is>
      </c>
      <c r="I651" t="inlineStr">
        <is>
          <t>06_Integração Tec:M2-17</t>
        </is>
      </c>
      <c r="J651" t="inlineStr">
        <is>
          <t>Doc. SEI 37070578</t>
        </is>
      </c>
      <c r="K651" t="inlineStr">
        <is>
          <t>2026-09-23T11:46:31</t>
        </is>
      </c>
    </row>
    <row r="652">
      <c r="A652" t="n">
        <v>651</v>
      </c>
      <c r="B652" t="inlineStr">
        <is>
          <t>RS</t>
        </is>
      </c>
      <c r="C652" t="inlineStr">
        <is>
          <t>RS</t>
        </is>
      </c>
      <c r="D652" t="inlineStr">
        <is>
          <t>Rio Grande do Sul</t>
        </is>
      </c>
      <c r="E652" t="inlineStr">
        <is>
          <t>06_Integração Tec</t>
        </is>
      </c>
      <c r="F652" t="inlineStr">
        <is>
          <t>Integração tecnológica</t>
        </is>
      </c>
      <c r="G652" t="inlineStr">
        <is>
          <t>Item 5 — Impressoras e scanners</t>
        </is>
      </c>
      <c r="H652" t="inlineStr">
        <is>
          <t>M2-19</t>
        </is>
      </c>
      <c r="I652" t="inlineStr">
        <is>
          <t>06_Integração Tec:M2-19</t>
        </is>
      </c>
      <c r="J652" t="inlineStr">
        <is>
          <t>Doc. SEI 37070578</t>
        </is>
      </c>
      <c r="K652" t="inlineStr">
        <is>
          <t>2026-09-23T11:46:31</t>
        </is>
      </c>
    </row>
    <row r="653">
      <c r="A653" t="n">
        <v>652</v>
      </c>
      <c r="B653" t="inlineStr">
        <is>
          <t>RS</t>
        </is>
      </c>
      <c r="C653" t="inlineStr">
        <is>
          <t>RS</t>
        </is>
      </c>
      <c r="D653" t="inlineStr">
        <is>
          <t>Rio Grande do Sul</t>
        </is>
      </c>
      <c r="E653" t="inlineStr">
        <is>
          <t>06_Integração Tec</t>
        </is>
      </c>
      <c r="F653" t="inlineStr">
        <is>
          <t>Integração tecnológica</t>
        </is>
      </c>
      <c r="G653" t="inlineStr">
        <is>
          <t>Item 5 — Impressoras e scanners</t>
        </is>
      </c>
      <c r="H653" t="inlineStr">
        <is>
          <t>M2-21</t>
        </is>
      </c>
      <c r="I653" t="inlineStr">
        <is>
          <t>06_Integração Tec:M2-21</t>
        </is>
      </c>
      <c r="J653" t="inlineStr">
        <is>
          <t>Doc. SEI 37070578</t>
        </is>
      </c>
      <c r="K653" t="inlineStr">
        <is>
          <t>2026-09-23T11:46:31</t>
        </is>
      </c>
    </row>
    <row r="654">
      <c r="A654" t="n">
        <v>653</v>
      </c>
      <c r="B654" t="inlineStr">
        <is>
          <t>RS</t>
        </is>
      </c>
      <c r="C654" t="inlineStr">
        <is>
          <t>RS</t>
        </is>
      </c>
      <c r="D654" t="inlineStr">
        <is>
          <t>Rio Grande do Sul</t>
        </is>
      </c>
      <c r="E654" t="inlineStr">
        <is>
          <t>06_Integração Tec</t>
        </is>
      </c>
      <c r="F654" t="inlineStr">
        <is>
          <t>Integração tecnológica</t>
        </is>
      </c>
      <c r="G654" t="inlineStr">
        <is>
          <t>Item 6 — Aparelhos de telefone celular</t>
        </is>
      </c>
      <c r="H654" t="inlineStr">
        <is>
          <t>M2-27</t>
        </is>
      </c>
      <c r="I654" t="inlineStr">
        <is>
          <t>06_Integração Tec:M2-27</t>
        </is>
      </c>
      <c r="J654" t="inlineStr">
        <is>
          <t>Doc. SEI 37070578</t>
        </is>
      </c>
      <c r="K654" t="inlineStr">
        <is>
          <t>2026-09-23T11:46:31</t>
        </is>
      </c>
    </row>
    <row r="655">
      <c r="A655" t="n">
        <v>654</v>
      </c>
      <c r="B655" t="inlineStr">
        <is>
          <t>RS</t>
        </is>
      </c>
      <c r="C655" t="inlineStr">
        <is>
          <t>RS</t>
        </is>
      </c>
      <c r="D655" t="inlineStr">
        <is>
          <t>Rio Grande do Sul</t>
        </is>
      </c>
      <c r="E655" t="inlineStr">
        <is>
          <t>07_Maturidade</t>
        </is>
      </c>
      <c r="F655" t="inlineStr">
        <is>
          <t>Maturidade / bônus</t>
        </is>
      </c>
      <c r="G655" t="inlineStr">
        <is>
          <t>Bônus — Uso do canal Fala.BR</t>
        </is>
      </c>
      <c r="H655" t="inlineStr">
        <is>
          <t>M2-46</t>
        </is>
      </c>
      <c r="I655" t="inlineStr">
        <is>
          <t>07_Maturidade:M2-46</t>
        </is>
      </c>
      <c r="J655" t="inlineStr">
        <is>
          <t>Doc. SEI 37070578</t>
        </is>
      </c>
      <c r="K655" t="inlineStr">
        <is>
          <t>2026-09-23T11:46:31</t>
        </is>
      </c>
    </row>
    <row r="656">
      <c r="A656" t="n">
        <v>655</v>
      </c>
      <c r="B656" t="inlineStr">
        <is>
          <t>RS</t>
        </is>
      </c>
      <c r="C656" t="inlineStr">
        <is>
          <t>RS</t>
        </is>
      </c>
      <c r="D656" t="inlineStr">
        <is>
          <t>Rio Grande do Sul</t>
        </is>
      </c>
      <c r="E656" t="inlineStr">
        <is>
          <t>07_Maturidade</t>
        </is>
      </c>
      <c r="F656" t="inlineStr">
        <is>
          <t>Maturidade / bônus</t>
        </is>
      </c>
      <c r="G656" t="inlineStr">
        <is>
          <t>Bônus — Designação por mandato</t>
        </is>
      </c>
      <c r="H656" t="inlineStr">
        <is>
          <t>M0-08</t>
        </is>
      </c>
      <c r="I656" t="inlineStr">
        <is>
          <t>07_Maturidade:M0-08</t>
        </is>
      </c>
      <c r="J656" t="inlineStr">
        <is>
          <t>Doc. SEI 37070578</t>
        </is>
      </c>
      <c r="K656" t="inlineStr">
        <is>
          <t>2026-09-23T11:46:31</t>
        </is>
      </c>
    </row>
    <row r="657">
      <c r="A657" t="n">
        <v>656</v>
      </c>
      <c r="B657" t="inlineStr">
        <is>
          <t>RS</t>
        </is>
      </c>
      <c r="C657" t="inlineStr">
        <is>
          <t>RS</t>
        </is>
      </c>
      <c r="D657" t="inlineStr">
        <is>
          <t>Rio Grande do Sul</t>
        </is>
      </c>
      <c r="E657" t="inlineStr">
        <is>
          <t>07_Maturidade</t>
        </is>
      </c>
      <c r="F657" t="inlineStr">
        <is>
          <t>Maturidade / bônus</t>
        </is>
      </c>
      <c r="G657" t="inlineStr">
        <is>
          <t>Bônus — Dedicação da equipe</t>
        </is>
      </c>
      <c r="H657" t="inlineStr">
        <is>
          <t>M3-60</t>
        </is>
      </c>
      <c r="I657" t="inlineStr">
        <is>
          <t>07_Maturidade:M3-60</t>
        </is>
      </c>
      <c r="J657" t="inlineStr">
        <is>
          <t>Doc. SEI 37070578</t>
        </is>
      </c>
      <c r="K657" t="inlineStr">
        <is>
          <t>2026-09-23T11:46:31</t>
        </is>
      </c>
    </row>
    <row r="658">
      <c r="A658" t="n">
        <v>657</v>
      </c>
      <c r="B658" t="inlineStr">
        <is>
          <t>RS</t>
        </is>
      </c>
      <c r="C658" t="inlineStr">
        <is>
          <t>RS</t>
        </is>
      </c>
      <c r="D658" t="inlineStr">
        <is>
          <t>Rio Grande do Sul</t>
        </is>
      </c>
      <c r="E658" t="inlineStr">
        <is>
          <t>07_Maturidade</t>
        </is>
      </c>
      <c r="F658" t="inlineStr">
        <is>
          <t>Maturidade / bônus</t>
        </is>
      </c>
      <c r="G658" t="inlineStr">
        <is>
          <t>Bônus — Requisitos de perfil para o cargo de Ouvidor</t>
        </is>
      </c>
      <c r="H658" t="inlineStr">
        <is>
          <t>M3-58</t>
        </is>
      </c>
      <c r="I658" t="inlineStr">
        <is>
          <t>07_Maturidade:M3-58</t>
        </is>
      </c>
      <c r="J658" t="inlineStr">
        <is>
          <t>Doc. SEI 37070578</t>
        </is>
      </c>
      <c r="K658" t="inlineStr">
        <is>
          <t>2026-09-23T11:46:31</t>
        </is>
      </c>
    </row>
    <row r="659">
      <c r="A659" t="n">
        <v>658</v>
      </c>
      <c r="B659" t="inlineStr">
        <is>
          <t>RS</t>
        </is>
      </c>
      <c r="C659" t="inlineStr">
        <is>
          <t>RS</t>
        </is>
      </c>
      <c r="D659" t="inlineStr">
        <is>
          <t>Rio Grande do Sul</t>
        </is>
      </c>
      <c r="E659" t="inlineStr">
        <is>
          <t>07_Maturidade</t>
        </is>
      </c>
      <c r="F659" t="inlineStr">
        <is>
          <t>Maturidade / bônus</t>
        </is>
      </c>
      <c r="G659" t="inlineStr">
        <is>
          <t>Bônus — WhatsApp institucional</t>
        </is>
      </c>
      <c r="H659" t="inlineStr">
        <is>
          <t>M2-50</t>
        </is>
      </c>
      <c r="I659" t="inlineStr">
        <is>
          <t>07_Maturidade:M2-50</t>
        </is>
      </c>
      <c r="J659" t="inlineStr">
        <is>
          <t>Doc. SEI 37070578</t>
        </is>
      </c>
      <c r="K659" t="inlineStr">
        <is>
          <t>2026-09-23T11:46:31</t>
        </is>
      </c>
    </row>
    <row r="660">
      <c r="A660" t="n">
        <v>659</v>
      </c>
      <c r="B660" t="inlineStr">
        <is>
          <t>RS</t>
        </is>
      </c>
      <c r="C660" t="inlineStr">
        <is>
          <t>RS</t>
        </is>
      </c>
      <c r="D660" t="inlineStr">
        <is>
          <t>Rio Grande do Sul</t>
        </is>
      </c>
      <c r="E660" t="inlineStr">
        <is>
          <t>07_Maturidade</t>
        </is>
      </c>
      <c r="F660" t="inlineStr">
        <is>
          <t>Maturidade / bônus</t>
        </is>
      </c>
      <c r="G660" t="inlineStr">
        <is>
          <t>Bônus — Outros canais eletrônicos institucionais</t>
        </is>
      </c>
      <c r="H660" t="inlineStr">
        <is>
          <t>M2-49</t>
        </is>
      </c>
      <c r="I660" t="inlineStr">
        <is>
          <t>07_Maturidade:M2-49</t>
        </is>
      </c>
      <c r="J660" t="inlineStr">
        <is>
          <t>Doc. SEI 37070578</t>
        </is>
      </c>
      <c r="K660" t="inlineStr">
        <is>
          <t>2026-09-23T11:46:31</t>
        </is>
      </c>
    </row>
    <row r="661">
      <c r="A661" t="n">
        <v>660</v>
      </c>
      <c r="B661" t="inlineStr">
        <is>
          <t>RS</t>
        </is>
      </c>
      <c r="C661" t="inlineStr">
        <is>
          <t>RS</t>
        </is>
      </c>
      <c r="D661" t="inlineStr">
        <is>
          <t>Rio Grande do Sul</t>
        </is>
      </c>
      <c r="E661" t="inlineStr">
        <is>
          <t>07_Maturidade</t>
        </is>
      </c>
      <c r="F661" t="inlineStr">
        <is>
          <t>Maturidade / bônus</t>
        </is>
      </c>
      <c r="G661" t="inlineStr">
        <is>
          <t>Bônus — Materiais adicionais de divulgação e educação em direitos</t>
        </is>
      </c>
      <c r="H661" t="inlineStr">
        <is>
          <t>M2-36</t>
        </is>
      </c>
      <c r="I661" t="inlineStr">
        <is>
          <t>07_Maturidade:M2-36</t>
        </is>
      </c>
      <c r="J661" t="inlineStr">
        <is>
          <t>Doc. SEI 37070578</t>
        </is>
      </c>
      <c r="K661" t="inlineStr">
        <is>
          <t>2026-09-23T11:46:31</t>
        </is>
      </c>
    </row>
    <row r="662">
      <c r="A662" t="n">
        <v>661</v>
      </c>
      <c r="B662" t="inlineStr">
        <is>
          <t>RO</t>
        </is>
      </c>
      <c r="C662" t="inlineStr">
        <is>
          <t>RO</t>
        </is>
      </c>
      <c r="D662" t="inlineStr">
        <is>
          <t>Rondônia</t>
        </is>
      </c>
      <c r="E662" t="inlineStr">
        <is>
          <t>01_Institucionalização</t>
        </is>
      </c>
      <c r="F662" t="inlineStr">
        <is>
          <t>Institucionalização</t>
        </is>
      </c>
      <c r="G662" t="inlineStr">
        <is>
          <t>Item 1 — Instituição formal da Ouvidoria de Serviços Penais</t>
        </is>
      </c>
      <c r="H662" t="inlineStr">
        <is>
          <t>M1-11</t>
        </is>
      </c>
      <c r="I662" t="inlineStr">
        <is>
          <t>01_Institucionalização:M1-11</t>
        </is>
      </c>
      <c r="J662" t="inlineStr">
        <is>
          <t>Doc. SEI 37070578</t>
        </is>
      </c>
      <c r="K662" t="inlineStr">
        <is>
          <t>2026-09-23T11:46:31</t>
        </is>
      </c>
    </row>
    <row r="663">
      <c r="A663" t="n">
        <v>662</v>
      </c>
      <c r="B663" t="inlineStr">
        <is>
          <t>RO</t>
        </is>
      </c>
      <c r="C663" t="inlineStr">
        <is>
          <t>RO</t>
        </is>
      </c>
      <c r="D663" t="inlineStr">
        <is>
          <t>Rondônia</t>
        </is>
      </c>
      <c r="E663" t="inlineStr">
        <is>
          <t>02_Autonomia</t>
        </is>
      </c>
      <c r="F663" t="inlineStr">
        <is>
          <t>Autonomia técnica e funcional</t>
        </is>
      </c>
      <c r="G663" t="inlineStr">
        <is>
          <t>Item 1 — Garantia normativa de autonomia técnica/funcional</t>
        </is>
      </c>
      <c r="H663" t="inlineStr">
        <is>
          <t>M3-56</t>
        </is>
      </c>
      <c r="I663" t="inlineStr">
        <is>
          <t>02_Autonomia:M3-56</t>
        </is>
      </c>
      <c r="J663" t="inlineStr">
        <is>
          <t>Doc. SEI 37070578</t>
        </is>
      </c>
      <c r="K663" t="inlineStr">
        <is>
          <t>2026-09-23T11:46:31</t>
        </is>
      </c>
    </row>
    <row r="664">
      <c r="A664" t="n">
        <v>663</v>
      </c>
      <c r="B664" t="inlineStr">
        <is>
          <t>RO</t>
        </is>
      </c>
      <c r="C664" t="inlineStr">
        <is>
          <t>RO</t>
        </is>
      </c>
      <c r="D664" t="inlineStr">
        <is>
          <t>Rondônia</t>
        </is>
      </c>
      <c r="E664" t="inlineStr">
        <is>
          <t>02_Autonomia</t>
        </is>
      </c>
      <c r="F664" t="inlineStr">
        <is>
          <t>Autonomia técnica e funcional</t>
        </is>
      </c>
      <c r="G664" t="inlineStr">
        <is>
          <t>Item 1 — Garantia normativa de autonomia técnica/funcional</t>
        </is>
      </c>
      <c r="H664" t="inlineStr">
        <is>
          <t>M3-57</t>
        </is>
      </c>
      <c r="I664" t="inlineStr">
        <is>
          <t>02_Autonomia:M3-57</t>
        </is>
      </c>
      <c r="J664" t="inlineStr">
        <is>
          <t>Doc. SEI 37070578</t>
        </is>
      </c>
      <c r="K664" t="inlineStr">
        <is>
          <t>2026-09-23T11:46:31</t>
        </is>
      </c>
    </row>
    <row r="665">
      <c r="A665" t="n">
        <v>664</v>
      </c>
      <c r="B665" t="inlineStr">
        <is>
          <t>RO</t>
        </is>
      </c>
      <c r="C665" t="inlineStr">
        <is>
          <t>RO</t>
        </is>
      </c>
      <c r="D665" t="inlineStr">
        <is>
          <t>Rondônia</t>
        </is>
      </c>
      <c r="E665" t="inlineStr">
        <is>
          <t>02_Autonomia</t>
        </is>
      </c>
      <c r="F665" t="inlineStr">
        <is>
          <t>Autonomia técnica e funcional</t>
        </is>
      </c>
      <c r="G665" t="inlineStr">
        <is>
          <t>Item 2 — Condições institucionais de atuação sem interferência indevida</t>
        </is>
      </c>
      <c r="H665" t="inlineStr">
        <is>
          <t>M1-12</t>
        </is>
      </c>
      <c r="I665" t="inlineStr">
        <is>
          <t>02_Autonomia:M1-12</t>
        </is>
      </c>
      <c r="J665" t="inlineStr">
        <is>
          <t>Doc. SEI 37070578</t>
        </is>
      </c>
      <c r="K665" t="inlineStr">
        <is>
          <t>2026-09-23T11:46:31</t>
        </is>
      </c>
    </row>
    <row r="666">
      <c r="A666" t="n">
        <v>665</v>
      </c>
      <c r="B666" t="inlineStr">
        <is>
          <t>RO</t>
        </is>
      </c>
      <c r="C666" t="inlineStr">
        <is>
          <t>RO</t>
        </is>
      </c>
      <c r="D666" t="inlineStr">
        <is>
          <t>Rondônia</t>
        </is>
      </c>
      <c r="E666" t="inlineStr">
        <is>
          <t>02_Autonomia</t>
        </is>
      </c>
      <c r="F666" t="inlineStr">
        <is>
          <t>Autonomia técnica e funcional</t>
        </is>
      </c>
      <c r="G666" t="inlineStr">
        <is>
          <t>Item 2 — Condições institucionais de atuação sem interferência indevida</t>
        </is>
      </c>
      <c r="H666" t="inlineStr">
        <is>
          <t>M4-67</t>
        </is>
      </c>
      <c r="I666" t="inlineStr">
        <is>
          <t>02_Autonomia:M4-67</t>
        </is>
      </c>
      <c r="J666" t="inlineStr">
        <is>
          <t>Doc. SEI 37070578</t>
        </is>
      </c>
      <c r="K666" t="inlineStr">
        <is>
          <t>2026-09-23T11:46:31</t>
        </is>
      </c>
    </row>
    <row r="667">
      <c r="A667" t="n">
        <v>666</v>
      </c>
      <c r="B667" t="inlineStr">
        <is>
          <t>RO</t>
        </is>
      </c>
      <c r="C667" t="inlineStr">
        <is>
          <t>RO</t>
        </is>
      </c>
      <c r="D667" t="inlineStr">
        <is>
          <t>Rondônia</t>
        </is>
      </c>
      <c r="E667" t="inlineStr">
        <is>
          <t>02_Autonomia</t>
        </is>
      </c>
      <c r="F667" t="inlineStr">
        <is>
          <t>Autonomia técnica e funcional</t>
        </is>
      </c>
      <c r="G667" t="inlineStr">
        <is>
          <t>Item 2 — Condições institucionais de atuação sem interferência indevida</t>
        </is>
      </c>
      <c r="H667" t="inlineStr">
        <is>
          <t>M4-68</t>
        </is>
      </c>
      <c r="I667" t="inlineStr">
        <is>
          <t>02_Autonomia:M4-68</t>
        </is>
      </c>
      <c r="J667" t="inlineStr">
        <is>
          <t>Doc. SEI 37070578</t>
        </is>
      </c>
      <c r="K667" t="inlineStr">
        <is>
          <t>2026-09-23T11:46:31</t>
        </is>
      </c>
    </row>
    <row r="668">
      <c r="A668" t="n">
        <v>667</v>
      </c>
      <c r="B668" t="inlineStr">
        <is>
          <t>RO</t>
        </is>
      </c>
      <c r="C668" t="inlineStr">
        <is>
          <t>RO</t>
        </is>
      </c>
      <c r="D668" t="inlineStr">
        <is>
          <t>Rondônia</t>
        </is>
      </c>
      <c r="E668" t="inlineStr">
        <is>
          <t>03_Imparcialidade</t>
        </is>
      </c>
      <c r="F668" t="inlineStr">
        <is>
          <t>Imparcialidade, sigilo e proteção</t>
        </is>
      </c>
      <c r="G668" t="inlineStr">
        <is>
          <t>Item 1 — Proteção e tratamento de denúncias graves e sensíveis</t>
        </is>
      </c>
      <c r="H668" t="inlineStr">
        <is>
          <t>M4-69</t>
        </is>
      </c>
      <c r="I668" t="inlineStr">
        <is>
          <t>03_Imparcialidade:M4-69</t>
        </is>
      </c>
      <c r="J668" t="inlineStr">
        <is>
          <t>Doc. SEI 37070578</t>
        </is>
      </c>
      <c r="K668" t="inlineStr">
        <is>
          <t>2026-09-23T11:46:31</t>
        </is>
      </c>
    </row>
    <row r="669">
      <c r="A669" t="n">
        <v>668</v>
      </c>
      <c r="B669" t="inlineStr">
        <is>
          <t>RO</t>
        </is>
      </c>
      <c r="C669" t="inlineStr">
        <is>
          <t>RO</t>
        </is>
      </c>
      <c r="D669" t="inlineStr">
        <is>
          <t>Rondônia</t>
        </is>
      </c>
      <c r="E669" t="inlineStr">
        <is>
          <t>03_Imparcialidade</t>
        </is>
      </c>
      <c r="F669" t="inlineStr">
        <is>
          <t>Imparcialidade, sigilo e proteção</t>
        </is>
      </c>
      <c r="G669" t="inlineStr">
        <is>
          <t>Item 2 — Confidencialidade e sigilo da equipe</t>
        </is>
      </c>
      <c r="H669" t="inlineStr">
        <is>
          <t>M3-63</t>
        </is>
      </c>
      <c r="I669" t="inlineStr">
        <is>
          <t>03_Imparcialidade:M3-63</t>
        </is>
      </c>
      <c r="J669" t="inlineStr">
        <is>
          <t>Doc. SEI 37070578</t>
        </is>
      </c>
      <c r="K669" t="inlineStr">
        <is>
          <t>2026-09-23T11:46:31</t>
        </is>
      </c>
    </row>
    <row r="670">
      <c r="A670" t="n">
        <v>669</v>
      </c>
      <c r="B670" t="inlineStr">
        <is>
          <t>RO</t>
        </is>
      </c>
      <c r="C670" t="inlineStr">
        <is>
          <t>RO</t>
        </is>
      </c>
      <c r="D670" t="inlineStr">
        <is>
          <t>Rondônia</t>
        </is>
      </c>
      <c r="E670" t="inlineStr">
        <is>
          <t>04_Acessibilidade</t>
        </is>
      </c>
      <c r="F670" t="inlineStr">
        <is>
          <t>Acessibilidade e atendimento humanizado</t>
        </is>
      </c>
      <c r="G670" t="inlineStr">
        <is>
          <t>Item 1 — Canais institucionais acessíveis</t>
        </is>
      </c>
      <c r="H670" t="inlineStr">
        <is>
          <t>M2-41</t>
        </is>
      </c>
      <c r="I670" t="inlineStr">
        <is>
          <t>04_Acessibilidade:M2-41</t>
        </is>
      </c>
      <c r="J670" t="inlineStr">
        <is>
          <t>Doc. SEI 37070578</t>
        </is>
      </c>
      <c r="K670" t="inlineStr">
        <is>
          <t>2026-09-23T11:46:31</t>
        </is>
      </c>
    </row>
    <row r="671">
      <c r="A671" t="n">
        <v>670</v>
      </c>
      <c r="B671" t="inlineStr">
        <is>
          <t>RO</t>
        </is>
      </c>
      <c r="C671" t="inlineStr">
        <is>
          <t>RO</t>
        </is>
      </c>
      <c r="D671" t="inlineStr">
        <is>
          <t>Rondônia</t>
        </is>
      </c>
      <c r="E671" t="inlineStr">
        <is>
          <t>04_Acessibilidade</t>
        </is>
      </c>
      <c r="F671" t="inlineStr">
        <is>
          <t>Acessibilidade e atendimento humanizado</t>
        </is>
      </c>
      <c r="G671" t="inlineStr">
        <is>
          <t>Item 1 — Canais institucionais acessíveis</t>
        </is>
      </c>
      <c r="H671" t="inlineStr">
        <is>
          <t>M2-43</t>
        </is>
      </c>
      <c r="I671" t="inlineStr">
        <is>
          <t>04_Acessibilidade:M2-43</t>
        </is>
      </c>
      <c r="J671" t="inlineStr">
        <is>
          <t>Doc. SEI 37070578</t>
        </is>
      </c>
      <c r="K671" t="inlineStr">
        <is>
          <t>2026-09-23T11:46:31</t>
        </is>
      </c>
    </row>
    <row r="672">
      <c r="A672" t="n">
        <v>671</v>
      </c>
      <c r="B672" t="inlineStr">
        <is>
          <t>RO</t>
        </is>
      </c>
      <c r="C672" t="inlineStr">
        <is>
          <t>RO</t>
        </is>
      </c>
      <c r="D672" t="inlineStr">
        <is>
          <t>Rondônia</t>
        </is>
      </c>
      <c r="E672" t="inlineStr">
        <is>
          <t>04_Acessibilidade</t>
        </is>
      </c>
      <c r="F672" t="inlineStr">
        <is>
          <t>Acessibilidade e atendimento humanizado</t>
        </is>
      </c>
      <c r="G672" t="inlineStr">
        <is>
          <t>Item 1 — Canais institucionais acessíveis</t>
        </is>
      </c>
      <c r="H672" t="inlineStr">
        <is>
          <t>M2-47</t>
        </is>
      </c>
      <c r="I672" t="inlineStr">
        <is>
          <t>04_Acessibilidade:M2-47</t>
        </is>
      </c>
      <c r="J672" t="inlineStr">
        <is>
          <t>Doc. SEI 37070578</t>
        </is>
      </c>
      <c r="K672" t="inlineStr">
        <is>
          <t>2026-09-23T11:46:31</t>
        </is>
      </c>
    </row>
    <row r="673">
      <c r="A673" t="n">
        <v>672</v>
      </c>
      <c r="B673" t="inlineStr">
        <is>
          <t>RO</t>
        </is>
      </c>
      <c r="C673" t="inlineStr">
        <is>
          <t>RO</t>
        </is>
      </c>
      <c r="D673" t="inlineStr">
        <is>
          <t>Rondônia</t>
        </is>
      </c>
      <c r="E673" t="inlineStr">
        <is>
          <t>04_Acessibilidade</t>
        </is>
      </c>
      <c r="F673" t="inlineStr">
        <is>
          <t>Acessibilidade e atendimento humanizado</t>
        </is>
      </c>
      <c r="G673" t="inlineStr">
        <is>
          <t>Item 2 — Condições de atendimento reservado e acessível</t>
        </is>
      </c>
      <c r="H673" t="inlineStr">
        <is>
          <t>M2-16</t>
        </is>
      </c>
      <c r="I673" t="inlineStr">
        <is>
          <t>04_Acessibilidade:M2-16</t>
        </is>
      </c>
      <c r="J673" t="inlineStr">
        <is>
          <t>Doc. SEI 37070578</t>
        </is>
      </c>
      <c r="K673" t="inlineStr">
        <is>
          <t>2026-09-23T11:46:31</t>
        </is>
      </c>
    </row>
    <row r="674">
      <c r="A674" t="n">
        <v>673</v>
      </c>
      <c r="B674" t="inlineStr">
        <is>
          <t>RO</t>
        </is>
      </c>
      <c r="C674" t="inlineStr">
        <is>
          <t>RO</t>
        </is>
      </c>
      <c r="D674" t="inlineStr">
        <is>
          <t>Rondônia</t>
        </is>
      </c>
      <c r="E674" t="inlineStr">
        <is>
          <t>04_Acessibilidade</t>
        </is>
      </c>
      <c r="F674" t="inlineStr">
        <is>
          <t>Acessibilidade e atendimento humanizado</t>
        </is>
      </c>
      <c r="G674" t="inlineStr">
        <is>
          <t>Item 3 — Alcance dos públicos dos serviços penais</t>
        </is>
      </c>
      <c r="H674" t="inlineStr">
        <is>
          <t>M1-13</t>
        </is>
      </c>
      <c r="I674" t="inlineStr">
        <is>
          <t>04_Acessibilidade:M1-13</t>
        </is>
      </c>
      <c r="J674" t="inlineStr">
        <is>
          <t>Doc. SEI 37070578</t>
        </is>
      </c>
      <c r="K674" t="inlineStr">
        <is>
          <t>2026-09-23T11:46:31</t>
        </is>
      </c>
    </row>
    <row r="675">
      <c r="A675" t="n">
        <v>674</v>
      </c>
      <c r="B675" t="inlineStr">
        <is>
          <t>RO</t>
        </is>
      </c>
      <c r="C675" t="inlineStr">
        <is>
          <t>RO</t>
        </is>
      </c>
      <c r="D675" t="inlineStr">
        <is>
          <t>Rondônia</t>
        </is>
      </c>
      <c r="E675" t="inlineStr">
        <is>
          <t>04_Acessibilidade</t>
        </is>
      </c>
      <c r="F675" t="inlineStr">
        <is>
          <t>Acessibilidade e atendimento humanizado</t>
        </is>
      </c>
      <c r="G675" t="inlineStr">
        <is>
          <t>Item 3 — Alcance dos públicos dos serviços penais</t>
        </is>
      </c>
      <c r="H675" t="inlineStr">
        <is>
          <t>M4-64</t>
        </is>
      </c>
      <c r="I675" t="inlineStr">
        <is>
          <t>04_Acessibilidade:M4-64</t>
        </is>
      </c>
      <c r="J675" t="inlineStr">
        <is>
          <t>Doc. SEI 37070578</t>
        </is>
      </c>
      <c r="K675" t="inlineStr">
        <is>
          <t>2026-09-23T11:46:31</t>
        </is>
      </c>
    </row>
    <row r="676">
      <c r="A676" t="n">
        <v>675</v>
      </c>
      <c r="B676" t="inlineStr">
        <is>
          <t>RO</t>
        </is>
      </c>
      <c r="C676" t="inlineStr">
        <is>
          <t>RO</t>
        </is>
      </c>
      <c r="D676" t="inlineStr">
        <is>
          <t>Rondônia</t>
        </is>
      </c>
      <c r="E676" t="inlineStr">
        <is>
          <t>05_Transparência</t>
        </is>
      </c>
      <c r="F676" t="inlineStr">
        <is>
          <t>Transparência e publicidade</t>
        </is>
      </c>
      <c r="G676" t="inlineStr">
        <is>
          <t>Item 1 — Visibilidade institucional e divulgação dos canais</t>
        </is>
      </c>
      <c r="H676" t="inlineStr">
        <is>
          <t>M2-35</t>
        </is>
      </c>
      <c r="I676" t="inlineStr">
        <is>
          <t>05_Transparência:M2-35</t>
        </is>
      </c>
      <c r="J676" t="inlineStr">
        <is>
          <t>Doc. SEI 37070578</t>
        </is>
      </c>
      <c r="K676" t="inlineStr">
        <is>
          <t>2026-09-23T11:46:31</t>
        </is>
      </c>
    </row>
    <row r="677">
      <c r="A677" t="n">
        <v>676</v>
      </c>
      <c r="B677" t="inlineStr">
        <is>
          <t>RO</t>
        </is>
      </c>
      <c r="C677" t="inlineStr">
        <is>
          <t>RO</t>
        </is>
      </c>
      <c r="D677" t="inlineStr">
        <is>
          <t>Rondônia</t>
        </is>
      </c>
      <c r="E677" t="inlineStr">
        <is>
          <t>05_Transparência</t>
        </is>
      </c>
      <c r="F677" t="inlineStr">
        <is>
          <t>Transparência e publicidade</t>
        </is>
      </c>
      <c r="G677" t="inlineStr">
        <is>
          <t>Item 2 — Publicidade das ações e atividades</t>
        </is>
      </c>
      <c r="H677" t="inlineStr">
        <is>
          <t>M4-71</t>
        </is>
      </c>
      <c r="I677" t="inlineStr">
        <is>
          <t>05_Transparência:M4-71</t>
        </is>
      </c>
      <c r="J677" t="inlineStr">
        <is>
          <t>Doc. SEI 37070578</t>
        </is>
      </c>
      <c r="K677" t="inlineStr">
        <is>
          <t>2026-09-23T11:46:31</t>
        </is>
      </c>
    </row>
    <row r="678">
      <c r="A678" t="n">
        <v>677</v>
      </c>
      <c r="B678" t="inlineStr">
        <is>
          <t>RO</t>
        </is>
      </c>
      <c r="C678" t="inlineStr">
        <is>
          <t>RO</t>
        </is>
      </c>
      <c r="D678" t="inlineStr">
        <is>
          <t>Rondônia</t>
        </is>
      </c>
      <c r="E678" t="inlineStr">
        <is>
          <t>06_Integração Tec</t>
        </is>
      </c>
      <c r="F678" t="inlineStr">
        <is>
          <t>Integração tecnológica</t>
        </is>
      </c>
      <c r="G678" t="inlineStr">
        <is>
          <t>Item 1 — Canal eletrônico e solução para registro e gestão das manifestações</t>
        </is>
      </c>
      <c r="H678" t="inlineStr">
        <is>
          <t>M2-45</t>
        </is>
      </c>
      <c r="I678" t="inlineStr">
        <is>
          <t>06_Integração Tec:M2-45</t>
        </is>
      </c>
      <c r="J678" t="inlineStr">
        <is>
          <t>Doc. SEI 37070578</t>
        </is>
      </c>
      <c r="K678" t="inlineStr">
        <is>
          <t>2026-09-23T11:46:31</t>
        </is>
      </c>
    </row>
    <row r="679">
      <c r="A679" t="n">
        <v>678</v>
      </c>
      <c r="B679" t="inlineStr">
        <is>
          <t>RO</t>
        </is>
      </c>
      <c r="C679" t="inlineStr">
        <is>
          <t>RO</t>
        </is>
      </c>
      <c r="D679" t="inlineStr">
        <is>
          <t>Rondônia</t>
        </is>
      </c>
      <c r="E679" t="inlineStr">
        <is>
          <t>06_Integração Tec</t>
        </is>
      </c>
      <c r="F679" t="inlineStr">
        <is>
          <t>Integração tecnológica</t>
        </is>
      </c>
      <c r="G679" t="inlineStr">
        <is>
          <t>Item 2 — Registro, protocolo, rastreabilidade e acompanhamento</t>
        </is>
      </c>
      <c r="H679" t="inlineStr">
        <is>
          <t>M4-66</t>
        </is>
      </c>
      <c r="I679" t="inlineStr">
        <is>
          <t>06_Integração Tec:M4-66</t>
        </is>
      </c>
      <c r="J679" t="inlineStr">
        <is>
          <t>Doc. SEI 37070578</t>
        </is>
      </c>
      <c r="K679" t="inlineStr">
        <is>
          <t>2026-09-23T11:46:31</t>
        </is>
      </c>
    </row>
    <row r="680">
      <c r="A680" t="n">
        <v>679</v>
      </c>
      <c r="B680" t="inlineStr">
        <is>
          <t>RO</t>
        </is>
      </c>
      <c r="C680" t="inlineStr">
        <is>
          <t>RO</t>
        </is>
      </c>
      <c r="D680" t="inlineStr">
        <is>
          <t>Rondônia</t>
        </is>
      </c>
      <c r="E680" t="inlineStr">
        <is>
          <t>06_Integração Tec</t>
        </is>
      </c>
      <c r="F680" t="inlineStr">
        <is>
          <t>Integração tecnológica</t>
        </is>
      </c>
      <c r="G680" t="inlineStr">
        <is>
          <t>Item 3 — Sigilo, autenticação e controle de acesso</t>
        </is>
      </c>
      <c r="H680" t="inlineStr">
        <is>
          <t>M2-37</t>
        </is>
      </c>
      <c r="I680" t="inlineStr">
        <is>
          <t>06_Integração Tec:M2-37</t>
        </is>
      </c>
      <c r="J680" t="inlineStr">
        <is>
          <t>Doc. SEI 37070578</t>
        </is>
      </c>
      <c r="K680" t="inlineStr">
        <is>
          <t>2026-09-23T11:46:31</t>
        </is>
      </c>
    </row>
    <row r="681">
      <c r="A681" t="n">
        <v>680</v>
      </c>
      <c r="B681" t="inlineStr">
        <is>
          <t>RO</t>
        </is>
      </c>
      <c r="C681" t="inlineStr">
        <is>
          <t>RO</t>
        </is>
      </c>
      <c r="D681" t="inlineStr">
        <is>
          <t>Rondônia</t>
        </is>
      </c>
      <c r="E681" t="inlineStr">
        <is>
          <t>06_Integração Tec</t>
        </is>
      </c>
      <c r="F681" t="inlineStr">
        <is>
          <t>Integração tecnológica</t>
        </is>
      </c>
      <c r="G681" t="inlineStr">
        <is>
          <t>Item 4 — Computadores e acesso à internet</t>
        </is>
      </c>
      <c r="H681" t="inlineStr">
        <is>
          <t>M2-17</t>
        </is>
      </c>
      <c r="I681" t="inlineStr">
        <is>
          <t>06_Integração Tec:M2-17</t>
        </is>
      </c>
      <c r="J681" t="inlineStr">
        <is>
          <t>Doc. SEI 37070578</t>
        </is>
      </c>
      <c r="K681" t="inlineStr">
        <is>
          <t>2026-09-23T11:46:31</t>
        </is>
      </c>
    </row>
    <row r="682">
      <c r="A682" t="n">
        <v>681</v>
      </c>
      <c r="B682" t="inlineStr">
        <is>
          <t>RO</t>
        </is>
      </c>
      <c r="C682" t="inlineStr">
        <is>
          <t>RO</t>
        </is>
      </c>
      <c r="D682" t="inlineStr">
        <is>
          <t>Rondônia</t>
        </is>
      </c>
      <c r="E682" t="inlineStr">
        <is>
          <t>06_Integração Tec</t>
        </is>
      </c>
      <c r="F682" t="inlineStr">
        <is>
          <t>Integração tecnológica</t>
        </is>
      </c>
      <c r="G682" t="inlineStr">
        <is>
          <t>Item 5 — Impressoras e scanners</t>
        </is>
      </c>
      <c r="H682" t="inlineStr">
        <is>
          <t>M2-19</t>
        </is>
      </c>
      <c r="I682" t="inlineStr">
        <is>
          <t>06_Integração Tec:M2-19</t>
        </is>
      </c>
      <c r="J682" t="inlineStr">
        <is>
          <t>Doc. SEI 37070578</t>
        </is>
      </c>
      <c r="K682" t="inlineStr">
        <is>
          <t>2026-09-23T11:46:31</t>
        </is>
      </c>
    </row>
    <row r="683">
      <c r="A683" t="n">
        <v>682</v>
      </c>
      <c r="B683" t="inlineStr">
        <is>
          <t>RO</t>
        </is>
      </c>
      <c r="C683" t="inlineStr">
        <is>
          <t>RO</t>
        </is>
      </c>
      <c r="D683" t="inlineStr">
        <is>
          <t>Rondônia</t>
        </is>
      </c>
      <c r="E683" t="inlineStr">
        <is>
          <t>06_Integração Tec</t>
        </is>
      </c>
      <c r="F683" t="inlineStr">
        <is>
          <t>Integração tecnológica</t>
        </is>
      </c>
      <c r="G683" t="inlineStr">
        <is>
          <t>Item 5 — Impressoras e scanners</t>
        </is>
      </c>
      <c r="H683" t="inlineStr">
        <is>
          <t>M2-21</t>
        </is>
      </c>
      <c r="I683" t="inlineStr">
        <is>
          <t>06_Integração Tec:M2-21</t>
        </is>
      </c>
      <c r="J683" t="inlineStr">
        <is>
          <t>Doc. SEI 37070578</t>
        </is>
      </c>
      <c r="K683" t="inlineStr">
        <is>
          <t>2026-09-23T11:46:31</t>
        </is>
      </c>
    </row>
    <row r="684">
      <c r="A684" t="n">
        <v>683</v>
      </c>
      <c r="B684" t="inlineStr">
        <is>
          <t>RO</t>
        </is>
      </c>
      <c r="C684" t="inlineStr">
        <is>
          <t>RO</t>
        </is>
      </c>
      <c r="D684" t="inlineStr">
        <is>
          <t>Rondônia</t>
        </is>
      </c>
      <c r="E684" t="inlineStr">
        <is>
          <t>06_Integração Tec</t>
        </is>
      </c>
      <c r="F684" t="inlineStr">
        <is>
          <t>Integração tecnológica</t>
        </is>
      </c>
      <c r="G684" t="inlineStr">
        <is>
          <t>Item 6 — Aparelhos de telefone celular</t>
        </is>
      </c>
      <c r="H684" t="inlineStr">
        <is>
          <t>M2-27</t>
        </is>
      </c>
      <c r="I684" t="inlineStr">
        <is>
          <t>06_Integração Tec:M2-27</t>
        </is>
      </c>
      <c r="J684" t="inlineStr">
        <is>
          <t>Doc. SEI 37070578</t>
        </is>
      </c>
      <c r="K684" t="inlineStr">
        <is>
          <t>2026-09-23T11:46:31</t>
        </is>
      </c>
    </row>
    <row r="685">
      <c r="A685" t="n">
        <v>684</v>
      </c>
      <c r="B685" t="inlineStr">
        <is>
          <t>RO</t>
        </is>
      </c>
      <c r="C685" t="inlineStr">
        <is>
          <t>RO</t>
        </is>
      </c>
      <c r="D685" t="inlineStr">
        <is>
          <t>Rondônia</t>
        </is>
      </c>
      <c r="E685" t="inlineStr">
        <is>
          <t>07_Maturidade</t>
        </is>
      </c>
      <c r="F685" t="inlineStr">
        <is>
          <t>Maturidade / bônus</t>
        </is>
      </c>
      <c r="G685" t="inlineStr">
        <is>
          <t>Bônus — Uso do canal Fala.BR</t>
        </is>
      </c>
      <c r="H685" t="inlineStr">
        <is>
          <t>M2-46</t>
        </is>
      </c>
      <c r="I685" t="inlineStr">
        <is>
          <t>07_Maturidade:M2-46</t>
        </is>
      </c>
      <c r="J685" t="inlineStr">
        <is>
          <t>Doc. SEI 37070578</t>
        </is>
      </c>
      <c r="K685" t="inlineStr">
        <is>
          <t>2026-09-23T11:46:31</t>
        </is>
      </c>
    </row>
    <row r="686">
      <c r="A686" t="n">
        <v>685</v>
      </c>
      <c r="B686" t="inlineStr">
        <is>
          <t>RO</t>
        </is>
      </c>
      <c r="C686" t="inlineStr">
        <is>
          <t>RO</t>
        </is>
      </c>
      <c r="D686" t="inlineStr">
        <is>
          <t>Rondônia</t>
        </is>
      </c>
      <c r="E686" t="inlineStr">
        <is>
          <t>07_Maturidade</t>
        </is>
      </c>
      <c r="F686" t="inlineStr">
        <is>
          <t>Maturidade / bônus</t>
        </is>
      </c>
      <c r="G686" t="inlineStr">
        <is>
          <t>Bônus — Designação por mandato</t>
        </is>
      </c>
      <c r="H686" t="inlineStr">
        <is>
          <t>M0-08</t>
        </is>
      </c>
      <c r="I686" t="inlineStr">
        <is>
          <t>07_Maturidade:M0-08</t>
        </is>
      </c>
      <c r="J686" t="inlineStr">
        <is>
          <t>Doc. SEI 37070578</t>
        </is>
      </c>
      <c r="K686" t="inlineStr">
        <is>
          <t>2026-09-23T11:46:31</t>
        </is>
      </c>
    </row>
    <row r="687">
      <c r="A687" t="n">
        <v>686</v>
      </c>
      <c r="B687" t="inlineStr">
        <is>
          <t>RO</t>
        </is>
      </c>
      <c r="C687" t="inlineStr">
        <is>
          <t>RO</t>
        </is>
      </c>
      <c r="D687" t="inlineStr">
        <is>
          <t>Rondônia</t>
        </is>
      </c>
      <c r="E687" t="inlineStr">
        <is>
          <t>07_Maturidade</t>
        </is>
      </c>
      <c r="F687" t="inlineStr">
        <is>
          <t>Maturidade / bônus</t>
        </is>
      </c>
      <c r="G687" t="inlineStr">
        <is>
          <t>Bônus — Dedicação da equipe</t>
        </is>
      </c>
      <c r="H687" t="inlineStr">
        <is>
          <t>M3-60</t>
        </is>
      </c>
      <c r="I687" t="inlineStr">
        <is>
          <t>07_Maturidade:M3-60</t>
        </is>
      </c>
      <c r="J687" t="inlineStr">
        <is>
          <t>Doc. SEI 37070578</t>
        </is>
      </c>
      <c r="K687" t="inlineStr">
        <is>
          <t>2026-09-23T11:46:31</t>
        </is>
      </c>
    </row>
    <row r="688">
      <c r="A688" t="n">
        <v>687</v>
      </c>
      <c r="B688" t="inlineStr">
        <is>
          <t>RO</t>
        </is>
      </c>
      <c r="C688" t="inlineStr">
        <is>
          <t>RO</t>
        </is>
      </c>
      <c r="D688" t="inlineStr">
        <is>
          <t>Rondônia</t>
        </is>
      </c>
      <c r="E688" t="inlineStr">
        <is>
          <t>07_Maturidade</t>
        </is>
      </c>
      <c r="F688" t="inlineStr">
        <is>
          <t>Maturidade / bônus</t>
        </is>
      </c>
      <c r="G688" t="inlineStr">
        <is>
          <t>Bônus — Requisitos de perfil para o cargo de Ouvidor</t>
        </is>
      </c>
      <c r="H688" t="inlineStr">
        <is>
          <t>M3-58</t>
        </is>
      </c>
      <c r="I688" t="inlineStr">
        <is>
          <t>07_Maturidade:M3-58</t>
        </is>
      </c>
      <c r="J688" t="inlineStr">
        <is>
          <t>Doc. SEI 37070578</t>
        </is>
      </c>
      <c r="K688" t="inlineStr">
        <is>
          <t>2026-09-23T11:46:31</t>
        </is>
      </c>
    </row>
    <row r="689">
      <c r="A689" t="n">
        <v>688</v>
      </c>
      <c r="B689" t="inlineStr">
        <is>
          <t>RO</t>
        </is>
      </c>
      <c r="C689" t="inlineStr">
        <is>
          <t>RO</t>
        </is>
      </c>
      <c r="D689" t="inlineStr">
        <is>
          <t>Rondônia</t>
        </is>
      </c>
      <c r="E689" t="inlineStr">
        <is>
          <t>07_Maturidade</t>
        </is>
      </c>
      <c r="F689" t="inlineStr">
        <is>
          <t>Maturidade / bônus</t>
        </is>
      </c>
      <c r="G689" t="inlineStr">
        <is>
          <t>Bônus — WhatsApp institucional</t>
        </is>
      </c>
      <c r="H689" t="inlineStr">
        <is>
          <t>M2-50</t>
        </is>
      </c>
      <c r="I689" t="inlineStr">
        <is>
          <t>07_Maturidade:M2-50</t>
        </is>
      </c>
      <c r="J689" t="inlineStr">
        <is>
          <t>Doc. SEI 37070578</t>
        </is>
      </c>
      <c r="K689" t="inlineStr">
        <is>
          <t>2026-09-23T11:46:31</t>
        </is>
      </c>
    </row>
    <row r="690">
      <c r="A690" t="n">
        <v>689</v>
      </c>
      <c r="B690" t="inlineStr">
        <is>
          <t>RO</t>
        </is>
      </c>
      <c r="C690" t="inlineStr">
        <is>
          <t>RO</t>
        </is>
      </c>
      <c r="D690" t="inlineStr">
        <is>
          <t>Rondônia</t>
        </is>
      </c>
      <c r="E690" t="inlineStr">
        <is>
          <t>07_Maturidade</t>
        </is>
      </c>
      <c r="F690" t="inlineStr">
        <is>
          <t>Maturidade / bônus</t>
        </is>
      </c>
      <c r="G690" t="inlineStr">
        <is>
          <t>Bônus — Outros canais eletrônicos institucionais</t>
        </is>
      </c>
      <c r="H690" t="inlineStr">
        <is>
          <t>M2-49</t>
        </is>
      </c>
      <c r="I690" t="inlineStr">
        <is>
          <t>07_Maturidade:M2-49</t>
        </is>
      </c>
      <c r="J690" t="inlineStr">
        <is>
          <t>Doc. SEI 37070578</t>
        </is>
      </c>
      <c r="K690" t="inlineStr">
        <is>
          <t>2026-09-23T11:46:31</t>
        </is>
      </c>
    </row>
    <row r="691">
      <c r="A691" t="n">
        <v>690</v>
      </c>
      <c r="B691" t="inlineStr">
        <is>
          <t>RO</t>
        </is>
      </c>
      <c r="C691" t="inlineStr">
        <is>
          <t>RO</t>
        </is>
      </c>
      <c r="D691" t="inlineStr">
        <is>
          <t>Rondônia</t>
        </is>
      </c>
      <c r="E691" t="inlineStr">
        <is>
          <t>07_Maturidade</t>
        </is>
      </c>
      <c r="F691" t="inlineStr">
        <is>
          <t>Maturidade / bônus</t>
        </is>
      </c>
      <c r="G691" t="inlineStr">
        <is>
          <t>Bônus — Materiais adicionais de divulgação e educação em direitos</t>
        </is>
      </c>
      <c r="H691" t="inlineStr">
        <is>
          <t>M2-36</t>
        </is>
      </c>
      <c r="I691" t="inlineStr">
        <is>
          <t>07_Maturidade:M2-36</t>
        </is>
      </c>
      <c r="J691" t="inlineStr">
        <is>
          <t>Doc. SEI 37070578</t>
        </is>
      </c>
      <c r="K691" t="inlineStr">
        <is>
          <t>2026-09-23T11:46:31</t>
        </is>
      </c>
    </row>
    <row r="692">
      <c r="A692" t="n">
        <v>691</v>
      </c>
      <c r="B692" t="inlineStr">
        <is>
          <t>RR</t>
        </is>
      </c>
      <c r="C692" t="inlineStr">
        <is>
          <t>RR</t>
        </is>
      </c>
      <c r="D692" t="inlineStr">
        <is>
          <t>Roraima</t>
        </is>
      </c>
      <c r="E692" t="inlineStr">
        <is>
          <t>01_Institucionalização</t>
        </is>
      </c>
      <c r="F692" t="inlineStr">
        <is>
          <t>Institucionalização</t>
        </is>
      </c>
      <c r="G692" t="inlineStr">
        <is>
          <t>Item 1 — Instituição formal da Ouvidoria de Serviços Penais</t>
        </is>
      </c>
      <c r="H692" t="inlineStr">
        <is>
          <t>M1-11</t>
        </is>
      </c>
      <c r="I692" t="inlineStr">
        <is>
          <t>01_Institucionalização:M1-11</t>
        </is>
      </c>
      <c r="J692" t="inlineStr">
        <is>
          <t>Doc. SEI 37070578</t>
        </is>
      </c>
      <c r="K692" t="inlineStr">
        <is>
          <t>2026-09-23T11:46:31</t>
        </is>
      </c>
    </row>
    <row r="693">
      <c r="A693" t="n">
        <v>692</v>
      </c>
      <c r="B693" t="inlineStr">
        <is>
          <t>RR</t>
        </is>
      </c>
      <c r="C693" t="inlineStr">
        <is>
          <t>RR</t>
        </is>
      </c>
      <c r="D693" t="inlineStr">
        <is>
          <t>Roraima</t>
        </is>
      </c>
      <c r="E693" t="inlineStr">
        <is>
          <t>02_Autonomia</t>
        </is>
      </c>
      <c r="F693" t="inlineStr">
        <is>
          <t>Autonomia técnica e funcional</t>
        </is>
      </c>
      <c r="G693" t="inlineStr">
        <is>
          <t>Item 1 — Garantia normativa de autonomia técnica/funcional</t>
        </is>
      </c>
      <c r="H693" t="inlineStr">
        <is>
          <t>M3-56</t>
        </is>
      </c>
      <c r="I693" t="inlineStr">
        <is>
          <t>02_Autonomia:M3-56</t>
        </is>
      </c>
      <c r="J693" t="inlineStr">
        <is>
          <t>Doc. SEI 37070578</t>
        </is>
      </c>
      <c r="K693" t="inlineStr">
        <is>
          <t>2026-09-23T11:46:31</t>
        </is>
      </c>
    </row>
    <row r="694">
      <c r="A694" t="n">
        <v>693</v>
      </c>
      <c r="B694" t="inlineStr">
        <is>
          <t>RR</t>
        </is>
      </c>
      <c r="C694" t="inlineStr">
        <is>
          <t>RR</t>
        </is>
      </c>
      <c r="D694" t="inlineStr">
        <is>
          <t>Roraima</t>
        </is>
      </c>
      <c r="E694" t="inlineStr">
        <is>
          <t>02_Autonomia</t>
        </is>
      </c>
      <c r="F694" t="inlineStr">
        <is>
          <t>Autonomia técnica e funcional</t>
        </is>
      </c>
      <c r="G694" t="inlineStr">
        <is>
          <t>Item 1 — Garantia normativa de autonomia técnica/funcional</t>
        </is>
      </c>
      <c r="H694" t="inlineStr">
        <is>
          <t>M3-57</t>
        </is>
      </c>
      <c r="I694" t="inlineStr">
        <is>
          <t>02_Autonomia:M3-57</t>
        </is>
      </c>
      <c r="J694" t="inlineStr">
        <is>
          <t>Doc. SEI 37070578</t>
        </is>
      </c>
      <c r="K694" t="inlineStr">
        <is>
          <t>2026-09-23T11:46:31</t>
        </is>
      </c>
    </row>
    <row r="695">
      <c r="A695" t="n">
        <v>694</v>
      </c>
      <c r="B695" t="inlineStr">
        <is>
          <t>RR</t>
        </is>
      </c>
      <c r="C695" t="inlineStr">
        <is>
          <t>RR</t>
        </is>
      </c>
      <c r="D695" t="inlineStr">
        <is>
          <t>Roraima</t>
        </is>
      </c>
      <c r="E695" t="inlineStr">
        <is>
          <t>02_Autonomia</t>
        </is>
      </c>
      <c r="F695" t="inlineStr">
        <is>
          <t>Autonomia técnica e funcional</t>
        </is>
      </c>
      <c r="G695" t="inlineStr">
        <is>
          <t>Item 2 — Condições institucionais de atuação sem interferência indevida</t>
        </is>
      </c>
      <c r="H695" t="inlineStr">
        <is>
          <t>M1-12</t>
        </is>
      </c>
      <c r="I695" t="inlineStr">
        <is>
          <t>02_Autonomia:M1-12</t>
        </is>
      </c>
      <c r="J695" t="inlineStr">
        <is>
          <t>Doc. SEI 37070578</t>
        </is>
      </c>
      <c r="K695" t="inlineStr">
        <is>
          <t>2026-09-23T11:46:31</t>
        </is>
      </c>
    </row>
    <row r="696">
      <c r="A696" t="n">
        <v>695</v>
      </c>
      <c r="B696" t="inlineStr">
        <is>
          <t>RR</t>
        </is>
      </c>
      <c r="C696" t="inlineStr">
        <is>
          <t>RR</t>
        </is>
      </c>
      <c r="D696" t="inlineStr">
        <is>
          <t>Roraima</t>
        </is>
      </c>
      <c r="E696" t="inlineStr">
        <is>
          <t>02_Autonomia</t>
        </is>
      </c>
      <c r="F696" t="inlineStr">
        <is>
          <t>Autonomia técnica e funcional</t>
        </is>
      </c>
      <c r="G696" t="inlineStr">
        <is>
          <t>Item 2 — Condições institucionais de atuação sem interferência indevida</t>
        </is>
      </c>
      <c r="H696" t="inlineStr">
        <is>
          <t>M4-67</t>
        </is>
      </c>
      <c r="I696" t="inlineStr">
        <is>
          <t>02_Autonomia:M4-67</t>
        </is>
      </c>
      <c r="J696" t="inlineStr">
        <is>
          <t>Doc. SEI 37070578</t>
        </is>
      </c>
      <c r="K696" t="inlineStr">
        <is>
          <t>2026-09-23T11:46:31</t>
        </is>
      </c>
    </row>
    <row r="697">
      <c r="A697" t="n">
        <v>696</v>
      </c>
      <c r="B697" t="inlineStr">
        <is>
          <t>RR</t>
        </is>
      </c>
      <c r="C697" t="inlineStr">
        <is>
          <t>RR</t>
        </is>
      </c>
      <c r="D697" t="inlineStr">
        <is>
          <t>Roraima</t>
        </is>
      </c>
      <c r="E697" t="inlineStr">
        <is>
          <t>02_Autonomia</t>
        </is>
      </c>
      <c r="F697" t="inlineStr">
        <is>
          <t>Autonomia técnica e funcional</t>
        </is>
      </c>
      <c r="G697" t="inlineStr">
        <is>
          <t>Item 2 — Condições institucionais de atuação sem interferência indevida</t>
        </is>
      </c>
      <c r="H697" t="inlineStr">
        <is>
          <t>M4-68</t>
        </is>
      </c>
      <c r="I697" t="inlineStr">
        <is>
          <t>02_Autonomia:M4-68</t>
        </is>
      </c>
      <c r="J697" t="inlineStr">
        <is>
          <t>Doc. SEI 37070578</t>
        </is>
      </c>
      <c r="K697" t="inlineStr">
        <is>
          <t>2026-09-23T11:46:31</t>
        </is>
      </c>
    </row>
    <row r="698">
      <c r="A698" t="n">
        <v>697</v>
      </c>
      <c r="B698" t="inlineStr">
        <is>
          <t>RR</t>
        </is>
      </c>
      <c r="C698" t="inlineStr">
        <is>
          <t>RR</t>
        </is>
      </c>
      <c r="D698" t="inlineStr">
        <is>
          <t>Roraima</t>
        </is>
      </c>
      <c r="E698" t="inlineStr">
        <is>
          <t>03_Imparcialidade</t>
        </is>
      </c>
      <c r="F698" t="inlineStr">
        <is>
          <t>Imparcialidade, sigilo e proteção</t>
        </is>
      </c>
      <c r="G698" t="inlineStr">
        <is>
          <t>Item 1 — Proteção e tratamento de denúncias graves e sensíveis</t>
        </is>
      </c>
      <c r="H698" t="inlineStr">
        <is>
          <t>M4-69</t>
        </is>
      </c>
      <c r="I698" t="inlineStr">
        <is>
          <t>03_Imparcialidade:M4-69</t>
        </is>
      </c>
      <c r="J698" t="inlineStr">
        <is>
          <t>Doc. SEI 37070578</t>
        </is>
      </c>
      <c r="K698" t="inlineStr">
        <is>
          <t>2026-09-23T11:46:31</t>
        </is>
      </c>
    </row>
    <row r="699">
      <c r="A699" t="n">
        <v>698</v>
      </c>
      <c r="B699" t="inlineStr">
        <is>
          <t>RR</t>
        </is>
      </c>
      <c r="C699" t="inlineStr">
        <is>
          <t>RR</t>
        </is>
      </c>
      <c r="D699" t="inlineStr">
        <is>
          <t>Roraima</t>
        </is>
      </c>
      <c r="E699" t="inlineStr">
        <is>
          <t>03_Imparcialidade</t>
        </is>
      </c>
      <c r="F699" t="inlineStr">
        <is>
          <t>Imparcialidade, sigilo e proteção</t>
        </is>
      </c>
      <c r="G699" t="inlineStr">
        <is>
          <t>Item 2 — Confidencialidade e sigilo da equipe</t>
        </is>
      </c>
      <c r="H699" t="inlineStr">
        <is>
          <t>M3-63</t>
        </is>
      </c>
      <c r="I699" t="inlineStr">
        <is>
          <t>03_Imparcialidade:M3-63</t>
        </is>
      </c>
      <c r="J699" t="inlineStr">
        <is>
          <t>Doc. SEI 37070578</t>
        </is>
      </c>
      <c r="K699" t="inlineStr">
        <is>
          <t>2026-09-23T11:46:31</t>
        </is>
      </c>
    </row>
    <row r="700">
      <c r="A700" t="n">
        <v>699</v>
      </c>
      <c r="B700" t="inlineStr">
        <is>
          <t>RR</t>
        </is>
      </c>
      <c r="C700" t="inlineStr">
        <is>
          <t>RR</t>
        </is>
      </c>
      <c r="D700" t="inlineStr">
        <is>
          <t>Roraima</t>
        </is>
      </c>
      <c r="E700" t="inlineStr">
        <is>
          <t>04_Acessibilidade</t>
        </is>
      </c>
      <c r="F700" t="inlineStr">
        <is>
          <t>Acessibilidade e atendimento humanizado</t>
        </is>
      </c>
      <c r="G700" t="inlineStr">
        <is>
          <t>Item 1 — Canais institucionais acessíveis</t>
        </is>
      </c>
      <c r="H700" t="inlineStr">
        <is>
          <t>M2-41</t>
        </is>
      </c>
      <c r="I700" t="inlineStr">
        <is>
          <t>04_Acessibilidade:M2-41</t>
        </is>
      </c>
      <c r="J700" t="inlineStr">
        <is>
          <t>Doc. SEI 37070578</t>
        </is>
      </c>
      <c r="K700" t="inlineStr">
        <is>
          <t>2026-09-23T11:46:31</t>
        </is>
      </c>
    </row>
    <row r="701">
      <c r="A701" t="n">
        <v>700</v>
      </c>
      <c r="B701" t="inlineStr">
        <is>
          <t>RR</t>
        </is>
      </c>
      <c r="C701" t="inlineStr">
        <is>
          <t>RR</t>
        </is>
      </c>
      <c r="D701" t="inlineStr">
        <is>
          <t>Roraima</t>
        </is>
      </c>
      <c r="E701" t="inlineStr">
        <is>
          <t>04_Acessibilidade</t>
        </is>
      </c>
      <c r="F701" t="inlineStr">
        <is>
          <t>Acessibilidade e atendimento humanizado</t>
        </is>
      </c>
      <c r="G701" t="inlineStr">
        <is>
          <t>Item 1 — Canais institucionais acessíveis</t>
        </is>
      </c>
      <c r="H701" t="inlineStr">
        <is>
          <t>M2-43</t>
        </is>
      </c>
      <c r="I701" t="inlineStr">
        <is>
          <t>04_Acessibilidade:M2-43</t>
        </is>
      </c>
      <c r="J701" t="inlineStr">
        <is>
          <t>Doc. SEI 37070578</t>
        </is>
      </c>
      <c r="K701" t="inlineStr">
        <is>
          <t>2026-09-23T11:46:31</t>
        </is>
      </c>
    </row>
    <row r="702">
      <c r="A702" t="n">
        <v>701</v>
      </c>
      <c r="B702" t="inlineStr">
        <is>
          <t>RR</t>
        </is>
      </c>
      <c r="C702" t="inlineStr">
        <is>
          <t>RR</t>
        </is>
      </c>
      <c r="D702" t="inlineStr">
        <is>
          <t>Roraima</t>
        </is>
      </c>
      <c r="E702" t="inlineStr">
        <is>
          <t>04_Acessibilidade</t>
        </is>
      </c>
      <c r="F702" t="inlineStr">
        <is>
          <t>Acessibilidade e atendimento humanizado</t>
        </is>
      </c>
      <c r="G702" t="inlineStr">
        <is>
          <t>Item 1 — Canais institucionais acessíveis</t>
        </is>
      </c>
      <c r="H702" t="inlineStr">
        <is>
          <t>M2-47</t>
        </is>
      </c>
      <c r="I702" t="inlineStr">
        <is>
          <t>04_Acessibilidade:M2-47</t>
        </is>
      </c>
      <c r="J702" t="inlineStr">
        <is>
          <t>Doc. SEI 37070578</t>
        </is>
      </c>
      <c r="K702" t="inlineStr">
        <is>
          <t>2026-09-23T11:46:31</t>
        </is>
      </c>
    </row>
    <row r="703">
      <c r="A703" t="n">
        <v>702</v>
      </c>
      <c r="B703" t="inlineStr">
        <is>
          <t>RR</t>
        </is>
      </c>
      <c r="C703" t="inlineStr">
        <is>
          <t>RR</t>
        </is>
      </c>
      <c r="D703" t="inlineStr">
        <is>
          <t>Roraima</t>
        </is>
      </c>
      <c r="E703" t="inlineStr">
        <is>
          <t>04_Acessibilidade</t>
        </is>
      </c>
      <c r="F703" t="inlineStr">
        <is>
          <t>Acessibilidade e atendimento humanizado</t>
        </is>
      </c>
      <c r="G703" t="inlineStr">
        <is>
          <t>Item 2 — Condições de atendimento reservado e acessível</t>
        </is>
      </c>
      <c r="H703" t="inlineStr">
        <is>
          <t>M2-16</t>
        </is>
      </c>
      <c r="I703" t="inlineStr">
        <is>
          <t>04_Acessibilidade:M2-16</t>
        </is>
      </c>
      <c r="J703" t="inlineStr">
        <is>
          <t>Doc. SEI 37070578</t>
        </is>
      </c>
      <c r="K703" t="inlineStr">
        <is>
          <t>2026-09-23T11:46:31</t>
        </is>
      </c>
    </row>
    <row r="704">
      <c r="A704" t="n">
        <v>703</v>
      </c>
      <c r="B704" t="inlineStr">
        <is>
          <t>RR</t>
        </is>
      </c>
      <c r="C704" t="inlineStr">
        <is>
          <t>RR</t>
        </is>
      </c>
      <c r="D704" t="inlineStr">
        <is>
          <t>Roraima</t>
        </is>
      </c>
      <c r="E704" t="inlineStr">
        <is>
          <t>04_Acessibilidade</t>
        </is>
      </c>
      <c r="F704" t="inlineStr">
        <is>
          <t>Acessibilidade e atendimento humanizado</t>
        </is>
      </c>
      <c r="G704" t="inlineStr">
        <is>
          <t>Item 3 — Alcance dos públicos dos serviços penais</t>
        </is>
      </c>
      <c r="H704" t="inlineStr">
        <is>
          <t>M1-13</t>
        </is>
      </c>
      <c r="I704" t="inlineStr">
        <is>
          <t>04_Acessibilidade:M1-13</t>
        </is>
      </c>
      <c r="J704" t="inlineStr">
        <is>
          <t>Doc. SEI 37070578</t>
        </is>
      </c>
      <c r="K704" t="inlineStr">
        <is>
          <t>2026-09-23T11:46:31</t>
        </is>
      </c>
    </row>
    <row r="705">
      <c r="A705" t="n">
        <v>704</v>
      </c>
      <c r="B705" t="inlineStr">
        <is>
          <t>RR</t>
        </is>
      </c>
      <c r="C705" t="inlineStr">
        <is>
          <t>RR</t>
        </is>
      </c>
      <c r="D705" t="inlineStr">
        <is>
          <t>Roraima</t>
        </is>
      </c>
      <c r="E705" t="inlineStr">
        <is>
          <t>04_Acessibilidade</t>
        </is>
      </c>
      <c r="F705" t="inlineStr">
        <is>
          <t>Acessibilidade e atendimento humanizado</t>
        </is>
      </c>
      <c r="G705" t="inlineStr">
        <is>
          <t>Item 3 — Alcance dos públicos dos serviços penais</t>
        </is>
      </c>
      <c r="H705" t="inlineStr">
        <is>
          <t>M4-64</t>
        </is>
      </c>
      <c r="I705" t="inlineStr">
        <is>
          <t>04_Acessibilidade:M4-64</t>
        </is>
      </c>
      <c r="J705" t="inlineStr">
        <is>
          <t>Doc. SEI 37070578</t>
        </is>
      </c>
      <c r="K705" t="inlineStr">
        <is>
          <t>2026-09-23T11:46:31</t>
        </is>
      </c>
    </row>
    <row r="706">
      <c r="A706" t="n">
        <v>705</v>
      </c>
      <c r="B706" t="inlineStr">
        <is>
          <t>RR</t>
        </is>
      </c>
      <c r="C706" t="inlineStr">
        <is>
          <t>RR</t>
        </is>
      </c>
      <c r="D706" t="inlineStr">
        <is>
          <t>Roraima</t>
        </is>
      </c>
      <c r="E706" t="inlineStr">
        <is>
          <t>05_Transparência</t>
        </is>
      </c>
      <c r="F706" t="inlineStr">
        <is>
          <t>Transparência e publicidade</t>
        </is>
      </c>
      <c r="G706" t="inlineStr">
        <is>
          <t>Item 1 — Visibilidade institucional e divulgação dos canais</t>
        </is>
      </c>
      <c r="H706" t="inlineStr">
        <is>
          <t>M2-35</t>
        </is>
      </c>
      <c r="I706" t="inlineStr">
        <is>
          <t>05_Transparência:M2-35</t>
        </is>
      </c>
      <c r="J706" t="inlineStr">
        <is>
          <t>Doc. SEI 37070578</t>
        </is>
      </c>
      <c r="K706" t="inlineStr">
        <is>
          <t>2026-09-23T11:46:31</t>
        </is>
      </c>
    </row>
    <row r="707">
      <c r="A707" t="n">
        <v>706</v>
      </c>
      <c r="B707" t="inlineStr">
        <is>
          <t>RR</t>
        </is>
      </c>
      <c r="C707" t="inlineStr">
        <is>
          <t>RR</t>
        </is>
      </c>
      <c r="D707" t="inlineStr">
        <is>
          <t>Roraima</t>
        </is>
      </c>
      <c r="E707" t="inlineStr">
        <is>
          <t>05_Transparência</t>
        </is>
      </c>
      <c r="F707" t="inlineStr">
        <is>
          <t>Transparência e publicidade</t>
        </is>
      </c>
      <c r="G707" t="inlineStr">
        <is>
          <t>Item 2 — Publicidade das ações e atividades</t>
        </is>
      </c>
      <c r="H707" t="inlineStr">
        <is>
          <t>M4-71</t>
        </is>
      </c>
      <c r="I707" t="inlineStr">
        <is>
          <t>05_Transparência:M4-71</t>
        </is>
      </c>
      <c r="J707" t="inlineStr">
        <is>
          <t>Doc. SEI 37070578</t>
        </is>
      </c>
      <c r="K707" t="inlineStr">
        <is>
          <t>2026-09-23T11:46:31</t>
        </is>
      </c>
    </row>
    <row r="708">
      <c r="A708" t="n">
        <v>707</v>
      </c>
      <c r="B708" t="inlineStr">
        <is>
          <t>RR</t>
        </is>
      </c>
      <c r="C708" t="inlineStr">
        <is>
          <t>RR</t>
        </is>
      </c>
      <c r="D708" t="inlineStr">
        <is>
          <t>Roraima</t>
        </is>
      </c>
      <c r="E708" t="inlineStr">
        <is>
          <t>06_Integração Tec</t>
        </is>
      </c>
      <c r="F708" t="inlineStr">
        <is>
          <t>Integração tecnológica</t>
        </is>
      </c>
      <c r="G708" t="inlineStr">
        <is>
          <t>Item 1 — Canal eletrônico e solução para registro e gestão das manifestações</t>
        </is>
      </c>
      <c r="H708" t="inlineStr">
        <is>
          <t>M2-45</t>
        </is>
      </c>
      <c r="I708" t="inlineStr">
        <is>
          <t>06_Integração Tec:M2-45</t>
        </is>
      </c>
      <c r="J708" t="inlineStr">
        <is>
          <t>Doc. SEI 37070578</t>
        </is>
      </c>
      <c r="K708" t="inlineStr">
        <is>
          <t>2026-09-23T11:46:31</t>
        </is>
      </c>
    </row>
    <row r="709">
      <c r="A709" t="n">
        <v>708</v>
      </c>
      <c r="B709" t="inlineStr">
        <is>
          <t>RR</t>
        </is>
      </c>
      <c r="C709" t="inlineStr">
        <is>
          <t>RR</t>
        </is>
      </c>
      <c r="D709" t="inlineStr">
        <is>
          <t>Roraima</t>
        </is>
      </c>
      <c r="E709" t="inlineStr">
        <is>
          <t>06_Integração Tec</t>
        </is>
      </c>
      <c r="F709" t="inlineStr">
        <is>
          <t>Integração tecnológica</t>
        </is>
      </c>
      <c r="G709" t="inlineStr">
        <is>
          <t>Item 2 — Registro, protocolo, rastreabilidade e acompanhamento</t>
        </is>
      </c>
      <c r="H709" t="inlineStr">
        <is>
          <t>M4-66</t>
        </is>
      </c>
      <c r="I709" t="inlineStr">
        <is>
          <t>06_Integração Tec:M4-66</t>
        </is>
      </c>
      <c r="J709" t="inlineStr">
        <is>
          <t>Doc. SEI 37070578</t>
        </is>
      </c>
      <c r="K709" t="inlineStr">
        <is>
          <t>2026-09-23T11:46:31</t>
        </is>
      </c>
    </row>
    <row r="710">
      <c r="A710" t="n">
        <v>709</v>
      </c>
      <c r="B710" t="inlineStr">
        <is>
          <t>RR</t>
        </is>
      </c>
      <c r="C710" t="inlineStr">
        <is>
          <t>RR</t>
        </is>
      </c>
      <c r="D710" t="inlineStr">
        <is>
          <t>Roraima</t>
        </is>
      </c>
      <c r="E710" t="inlineStr">
        <is>
          <t>06_Integração Tec</t>
        </is>
      </c>
      <c r="F710" t="inlineStr">
        <is>
          <t>Integração tecnológica</t>
        </is>
      </c>
      <c r="G710" t="inlineStr">
        <is>
          <t>Item 3 — Sigilo, autenticação e controle de acesso</t>
        </is>
      </c>
      <c r="H710" t="inlineStr">
        <is>
          <t>M2-37</t>
        </is>
      </c>
      <c r="I710" t="inlineStr">
        <is>
          <t>06_Integração Tec:M2-37</t>
        </is>
      </c>
      <c r="J710" t="inlineStr">
        <is>
          <t>Doc. SEI 37070578</t>
        </is>
      </c>
      <c r="K710" t="inlineStr">
        <is>
          <t>2026-09-23T11:46:31</t>
        </is>
      </c>
    </row>
    <row r="711">
      <c r="A711" t="n">
        <v>710</v>
      </c>
      <c r="B711" t="inlineStr">
        <is>
          <t>RR</t>
        </is>
      </c>
      <c r="C711" t="inlineStr">
        <is>
          <t>RR</t>
        </is>
      </c>
      <c r="D711" t="inlineStr">
        <is>
          <t>Roraima</t>
        </is>
      </c>
      <c r="E711" t="inlineStr">
        <is>
          <t>06_Integração Tec</t>
        </is>
      </c>
      <c r="F711" t="inlineStr">
        <is>
          <t>Integração tecnológica</t>
        </is>
      </c>
      <c r="G711" t="inlineStr">
        <is>
          <t>Item 4 — Computadores e acesso à internet</t>
        </is>
      </c>
      <c r="H711" t="inlineStr">
        <is>
          <t>M2-17</t>
        </is>
      </c>
      <c r="I711" t="inlineStr">
        <is>
          <t>06_Integração Tec:M2-17</t>
        </is>
      </c>
      <c r="J711" t="inlineStr">
        <is>
          <t>Doc. SEI 37070578</t>
        </is>
      </c>
      <c r="K711" t="inlineStr">
        <is>
          <t>2026-09-23T11:46:31</t>
        </is>
      </c>
    </row>
    <row r="712">
      <c r="A712" t="n">
        <v>711</v>
      </c>
      <c r="B712" t="inlineStr">
        <is>
          <t>RR</t>
        </is>
      </c>
      <c r="C712" t="inlineStr">
        <is>
          <t>RR</t>
        </is>
      </c>
      <c r="D712" t="inlineStr">
        <is>
          <t>Roraima</t>
        </is>
      </c>
      <c r="E712" t="inlineStr">
        <is>
          <t>06_Integração Tec</t>
        </is>
      </c>
      <c r="F712" t="inlineStr">
        <is>
          <t>Integração tecnológica</t>
        </is>
      </c>
      <c r="G712" t="inlineStr">
        <is>
          <t>Item 5 — Impressoras e scanners</t>
        </is>
      </c>
      <c r="H712" t="inlineStr">
        <is>
          <t>M2-19</t>
        </is>
      </c>
      <c r="I712" t="inlineStr">
        <is>
          <t>06_Integração Tec:M2-19</t>
        </is>
      </c>
      <c r="J712" t="inlineStr">
        <is>
          <t>Doc. SEI 37070578</t>
        </is>
      </c>
      <c r="K712" t="inlineStr">
        <is>
          <t>2026-09-23T11:46:31</t>
        </is>
      </c>
    </row>
    <row r="713">
      <c r="A713" t="n">
        <v>712</v>
      </c>
      <c r="B713" t="inlineStr">
        <is>
          <t>RR</t>
        </is>
      </c>
      <c r="C713" t="inlineStr">
        <is>
          <t>RR</t>
        </is>
      </c>
      <c r="D713" t="inlineStr">
        <is>
          <t>Roraima</t>
        </is>
      </c>
      <c r="E713" t="inlineStr">
        <is>
          <t>06_Integração Tec</t>
        </is>
      </c>
      <c r="F713" t="inlineStr">
        <is>
          <t>Integração tecnológica</t>
        </is>
      </c>
      <c r="G713" t="inlineStr">
        <is>
          <t>Item 5 — Impressoras e scanners</t>
        </is>
      </c>
      <c r="H713" t="inlineStr">
        <is>
          <t>M2-21</t>
        </is>
      </c>
      <c r="I713" t="inlineStr">
        <is>
          <t>06_Integração Tec:M2-21</t>
        </is>
      </c>
      <c r="J713" t="inlineStr">
        <is>
          <t>Doc. SEI 37070578</t>
        </is>
      </c>
      <c r="K713" t="inlineStr">
        <is>
          <t>2026-09-23T11:46:31</t>
        </is>
      </c>
    </row>
    <row r="714">
      <c r="A714" t="n">
        <v>713</v>
      </c>
      <c r="B714" t="inlineStr">
        <is>
          <t>RR</t>
        </is>
      </c>
      <c r="C714" t="inlineStr">
        <is>
          <t>RR</t>
        </is>
      </c>
      <c r="D714" t="inlineStr">
        <is>
          <t>Roraima</t>
        </is>
      </c>
      <c r="E714" t="inlineStr">
        <is>
          <t>06_Integração Tec</t>
        </is>
      </c>
      <c r="F714" t="inlineStr">
        <is>
          <t>Integração tecnológica</t>
        </is>
      </c>
      <c r="G714" t="inlineStr">
        <is>
          <t>Item 6 — Aparelhos de telefone celular</t>
        </is>
      </c>
      <c r="H714" t="inlineStr">
        <is>
          <t>M2-27</t>
        </is>
      </c>
      <c r="I714" t="inlineStr">
        <is>
          <t>06_Integração Tec:M2-27</t>
        </is>
      </c>
      <c r="J714" t="inlineStr">
        <is>
          <t>Doc. SEI 37070578</t>
        </is>
      </c>
      <c r="K714" t="inlineStr">
        <is>
          <t>2026-09-23T11:46:31</t>
        </is>
      </c>
    </row>
    <row r="715">
      <c r="A715" t="n">
        <v>714</v>
      </c>
      <c r="B715" t="inlineStr">
        <is>
          <t>RR</t>
        </is>
      </c>
      <c r="C715" t="inlineStr">
        <is>
          <t>RR</t>
        </is>
      </c>
      <c r="D715" t="inlineStr">
        <is>
          <t>Roraima</t>
        </is>
      </c>
      <c r="E715" t="inlineStr">
        <is>
          <t>07_Maturidade</t>
        </is>
      </c>
      <c r="F715" t="inlineStr">
        <is>
          <t>Maturidade / bônus</t>
        </is>
      </c>
      <c r="G715" t="inlineStr">
        <is>
          <t>Bônus — Uso do canal Fala.BR</t>
        </is>
      </c>
      <c r="H715" t="inlineStr">
        <is>
          <t>M2-46</t>
        </is>
      </c>
      <c r="I715" t="inlineStr">
        <is>
          <t>07_Maturidade:M2-46</t>
        </is>
      </c>
      <c r="J715" t="inlineStr">
        <is>
          <t>Doc. SEI 37070578</t>
        </is>
      </c>
      <c r="K715" t="inlineStr">
        <is>
          <t>2026-09-23T11:46:31</t>
        </is>
      </c>
    </row>
    <row r="716">
      <c r="A716" t="n">
        <v>715</v>
      </c>
      <c r="B716" t="inlineStr">
        <is>
          <t>RR</t>
        </is>
      </c>
      <c r="C716" t="inlineStr">
        <is>
          <t>RR</t>
        </is>
      </c>
      <c r="D716" t="inlineStr">
        <is>
          <t>Roraima</t>
        </is>
      </c>
      <c r="E716" t="inlineStr">
        <is>
          <t>07_Maturidade</t>
        </is>
      </c>
      <c r="F716" t="inlineStr">
        <is>
          <t>Maturidade / bônus</t>
        </is>
      </c>
      <c r="G716" t="inlineStr">
        <is>
          <t>Bônus — Designação por mandato</t>
        </is>
      </c>
      <c r="H716" t="inlineStr">
        <is>
          <t>M0-08</t>
        </is>
      </c>
      <c r="I716" t="inlineStr">
        <is>
          <t>07_Maturidade:M0-08</t>
        </is>
      </c>
      <c r="J716" t="inlineStr">
        <is>
          <t>Doc. SEI 37070578</t>
        </is>
      </c>
      <c r="K716" t="inlineStr">
        <is>
          <t>2026-09-23T11:46:31</t>
        </is>
      </c>
    </row>
    <row r="717">
      <c r="A717" t="n">
        <v>716</v>
      </c>
      <c r="B717" t="inlineStr">
        <is>
          <t>RR</t>
        </is>
      </c>
      <c r="C717" t="inlineStr">
        <is>
          <t>RR</t>
        </is>
      </c>
      <c r="D717" t="inlineStr">
        <is>
          <t>Roraima</t>
        </is>
      </c>
      <c r="E717" t="inlineStr">
        <is>
          <t>07_Maturidade</t>
        </is>
      </c>
      <c r="F717" t="inlineStr">
        <is>
          <t>Maturidade / bônus</t>
        </is>
      </c>
      <c r="G717" t="inlineStr">
        <is>
          <t>Bônus — Dedicação da equipe</t>
        </is>
      </c>
      <c r="H717" t="inlineStr">
        <is>
          <t>M3-60</t>
        </is>
      </c>
      <c r="I717" t="inlineStr">
        <is>
          <t>07_Maturidade:M3-60</t>
        </is>
      </c>
      <c r="J717" t="inlineStr">
        <is>
          <t>Doc. SEI 37070578</t>
        </is>
      </c>
      <c r="K717" t="inlineStr">
        <is>
          <t>2026-09-23T11:46:31</t>
        </is>
      </c>
    </row>
    <row r="718">
      <c r="A718" t="n">
        <v>717</v>
      </c>
      <c r="B718" t="inlineStr">
        <is>
          <t>RR</t>
        </is>
      </c>
      <c r="C718" t="inlineStr">
        <is>
          <t>RR</t>
        </is>
      </c>
      <c r="D718" t="inlineStr">
        <is>
          <t>Roraima</t>
        </is>
      </c>
      <c r="E718" t="inlineStr">
        <is>
          <t>07_Maturidade</t>
        </is>
      </c>
      <c r="F718" t="inlineStr">
        <is>
          <t>Maturidade / bônus</t>
        </is>
      </c>
      <c r="G718" t="inlineStr">
        <is>
          <t>Bônus — Requisitos de perfil para o cargo de Ouvidor</t>
        </is>
      </c>
      <c r="H718" t="inlineStr">
        <is>
          <t>M3-58</t>
        </is>
      </c>
      <c r="I718" t="inlineStr">
        <is>
          <t>07_Maturidade:M3-58</t>
        </is>
      </c>
      <c r="J718" t="inlineStr">
        <is>
          <t>Doc. SEI 37070578</t>
        </is>
      </c>
      <c r="K718" t="inlineStr">
        <is>
          <t>2026-09-23T11:46:31</t>
        </is>
      </c>
    </row>
    <row r="719">
      <c r="A719" t="n">
        <v>718</v>
      </c>
      <c r="B719" t="inlineStr">
        <is>
          <t>RR</t>
        </is>
      </c>
      <c r="C719" t="inlineStr">
        <is>
          <t>RR</t>
        </is>
      </c>
      <c r="D719" t="inlineStr">
        <is>
          <t>Roraima</t>
        </is>
      </c>
      <c r="E719" t="inlineStr">
        <is>
          <t>07_Maturidade</t>
        </is>
      </c>
      <c r="F719" t="inlineStr">
        <is>
          <t>Maturidade / bônus</t>
        </is>
      </c>
      <c r="G719" t="inlineStr">
        <is>
          <t>Bônus — WhatsApp institucional</t>
        </is>
      </c>
      <c r="H719" t="inlineStr">
        <is>
          <t>M2-50</t>
        </is>
      </c>
      <c r="I719" t="inlineStr">
        <is>
          <t>07_Maturidade:M2-50</t>
        </is>
      </c>
      <c r="J719" t="inlineStr">
        <is>
          <t>Doc. SEI 37070578</t>
        </is>
      </c>
      <c r="K719" t="inlineStr">
        <is>
          <t>2026-09-23T11:46:31</t>
        </is>
      </c>
    </row>
    <row r="720">
      <c r="A720" t="n">
        <v>719</v>
      </c>
      <c r="B720" t="inlineStr">
        <is>
          <t>RR</t>
        </is>
      </c>
      <c r="C720" t="inlineStr">
        <is>
          <t>RR</t>
        </is>
      </c>
      <c r="D720" t="inlineStr">
        <is>
          <t>Roraima</t>
        </is>
      </c>
      <c r="E720" t="inlineStr">
        <is>
          <t>07_Maturidade</t>
        </is>
      </c>
      <c r="F720" t="inlineStr">
        <is>
          <t>Maturidade / bônus</t>
        </is>
      </c>
      <c r="G720" t="inlineStr">
        <is>
          <t>Bônus — Outros canais eletrônicos institucionais</t>
        </is>
      </c>
      <c r="H720" t="inlineStr">
        <is>
          <t>M2-49</t>
        </is>
      </c>
      <c r="I720" t="inlineStr">
        <is>
          <t>07_Maturidade:M2-49</t>
        </is>
      </c>
      <c r="J720" t="inlineStr">
        <is>
          <t>Doc. SEI 37070578</t>
        </is>
      </c>
      <c r="K720" t="inlineStr">
        <is>
          <t>2026-09-23T11:46:31</t>
        </is>
      </c>
    </row>
    <row r="721">
      <c r="A721" t="n">
        <v>720</v>
      </c>
      <c r="B721" t="inlineStr">
        <is>
          <t>RR</t>
        </is>
      </c>
      <c r="C721" t="inlineStr">
        <is>
          <t>RR</t>
        </is>
      </c>
      <c r="D721" t="inlineStr">
        <is>
          <t>Roraima</t>
        </is>
      </c>
      <c r="E721" t="inlineStr">
        <is>
          <t>07_Maturidade</t>
        </is>
      </c>
      <c r="F721" t="inlineStr">
        <is>
          <t>Maturidade / bônus</t>
        </is>
      </c>
      <c r="G721" t="inlineStr">
        <is>
          <t>Bônus — Materiais adicionais de divulgação e educação em direitos</t>
        </is>
      </c>
      <c r="H721" t="inlineStr">
        <is>
          <t>M2-36</t>
        </is>
      </c>
      <c r="I721" t="inlineStr">
        <is>
          <t>07_Maturidade:M2-36</t>
        </is>
      </c>
      <c r="J721" t="inlineStr">
        <is>
          <t>Doc. SEI 37070578</t>
        </is>
      </c>
      <c r="K721" t="inlineStr">
        <is>
          <t>2026-09-23T11:46:31</t>
        </is>
      </c>
    </row>
    <row r="722">
      <c r="A722" t="n">
        <v>721</v>
      </c>
      <c r="B722" t="inlineStr">
        <is>
          <t>SC</t>
        </is>
      </c>
      <c r="C722" t="inlineStr">
        <is>
          <t>SC</t>
        </is>
      </c>
      <c r="D722" t="inlineStr">
        <is>
          <t>Santa Catarina</t>
        </is>
      </c>
      <c r="E722" t="inlineStr">
        <is>
          <t>01_Institucionalização</t>
        </is>
      </c>
      <c r="F722" t="inlineStr">
        <is>
          <t>Institucionalização</t>
        </is>
      </c>
      <c r="G722" t="inlineStr">
        <is>
          <t>Item 1 — Instituição formal da Ouvidoria de Serviços Penais</t>
        </is>
      </c>
      <c r="H722" t="inlineStr">
        <is>
          <t>M1-11</t>
        </is>
      </c>
      <c r="I722" t="inlineStr">
        <is>
          <t>01_Institucionalização:M1-11</t>
        </is>
      </c>
      <c r="J722" t="inlineStr">
        <is>
          <t>Decreto</t>
        </is>
      </c>
      <c r="K722" t="inlineStr">
        <is>
          <t>2026-09-23T11:46:31</t>
        </is>
      </c>
    </row>
    <row r="723">
      <c r="A723" t="n">
        <v>722</v>
      </c>
      <c r="B723" t="inlineStr">
        <is>
          <t>SC</t>
        </is>
      </c>
      <c r="C723" t="inlineStr">
        <is>
          <t>SC</t>
        </is>
      </c>
      <c r="D723" t="inlineStr">
        <is>
          <t>Santa Catarina</t>
        </is>
      </c>
      <c r="E723" t="inlineStr">
        <is>
          <t>02_Autonomia</t>
        </is>
      </c>
      <c r="F723" t="inlineStr">
        <is>
          <t>Autonomia técnica e funcional</t>
        </is>
      </c>
      <c r="G723" t="inlineStr">
        <is>
          <t>Item 1 — Garantia normativa de autonomia técnica/funcional</t>
        </is>
      </c>
      <c r="H723" t="inlineStr">
        <is>
          <t>M3-56</t>
        </is>
      </c>
      <c r="I723" t="inlineStr">
        <is>
          <t>02_Autonomia:M3-56</t>
        </is>
      </c>
      <c r="J723" t="inlineStr">
        <is>
          <t>Doc. SEI 37070578</t>
        </is>
      </c>
      <c r="K723" t="inlineStr">
        <is>
          <t>2026-09-23T11:46:31</t>
        </is>
      </c>
    </row>
    <row r="724">
      <c r="A724" t="n">
        <v>723</v>
      </c>
      <c r="B724" t="inlineStr">
        <is>
          <t>SC</t>
        </is>
      </c>
      <c r="C724" t="inlineStr">
        <is>
          <t>SC</t>
        </is>
      </c>
      <c r="D724" t="inlineStr">
        <is>
          <t>Santa Catarina</t>
        </is>
      </c>
      <c r="E724" t="inlineStr">
        <is>
          <t>02_Autonomia</t>
        </is>
      </c>
      <c r="F724" t="inlineStr">
        <is>
          <t>Autonomia técnica e funcional</t>
        </is>
      </c>
      <c r="G724" t="inlineStr">
        <is>
          <t>Item 1 — Garantia normativa de autonomia técnica/funcional</t>
        </is>
      </c>
      <c r="H724" t="inlineStr">
        <is>
          <t>M3-57</t>
        </is>
      </c>
      <c r="I724" t="inlineStr">
        <is>
          <t>02_Autonomia:M3-57</t>
        </is>
      </c>
      <c r="J724" t="inlineStr">
        <is>
          <t>Doc. SEI 37070578</t>
        </is>
      </c>
      <c r="K724" t="inlineStr">
        <is>
          <t>2026-09-23T11:46:31</t>
        </is>
      </c>
    </row>
    <row r="725">
      <c r="A725" t="n">
        <v>724</v>
      </c>
      <c r="B725" t="inlineStr">
        <is>
          <t>SC</t>
        </is>
      </c>
      <c r="C725" t="inlineStr">
        <is>
          <t>SC</t>
        </is>
      </c>
      <c r="D725" t="inlineStr">
        <is>
          <t>Santa Catarina</t>
        </is>
      </c>
      <c r="E725" t="inlineStr">
        <is>
          <t>02_Autonomia</t>
        </is>
      </c>
      <c r="F725" t="inlineStr">
        <is>
          <t>Autonomia técnica e funcional</t>
        </is>
      </c>
      <c r="G725" t="inlineStr">
        <is>
          <t>Item 2 — Condições institucionais de atuação sem interferência indevida</t>
        </is>
      </c>
      <c r="H725" t="inlineStr">
        <is>
          <t>M1-12</t>
        </is>
      </c>
      <c r="I725" t="inlineStr">
        <is>
          <t>02_Autonomia:M1-12</t>
        </is>
      </c>
      <c r="J725" t="inlineStr">
        <is>
          <t>Doc. SEI 37070578</t>
        </is>
      </c>
      <c r="K725" t="inlineStr">
        <is>
          <t>2026-09-23T11:46:31</t>
        </is>
      </c>
    </row>
    <row r="726">
      <c r="A726" t="n">
        <v>725</v>
      </c>
      <c r="B726" t="inlineStr">
        <is>
          <t>SC</t>
        </is>
      </c>
      <c r="C726" t="inlineStr">
        <is>
          <t>SC</t>
        </is>
      </c>
      <c r="D726" t="inlineStr">
        <is>
          <t>Santa Catarina</t>
        </is>
      </c>
      <c r="E726" t="inlineStr">
        <is>
          <t>02_Autonomia</t>
        </is>
      </c>
      <c r="F726" t="inlineStr">
        <is>
          <t>Autonomia técnica e funcional</t>
        </is>
      </c>
      <c r="G726" t="inlineStr">
        <is>
          <t>Item 2 — Condições institucionais de atuação sem interferência indevida</t>
        </is>
      </c>
      <c r="H726" t="inlineStr">
        <is>
          <t>M4-67</t>
        </is>
      </c>
      <c r="I726" t="inlineStr">
        <is>
          <t>02_Autonomia:M4-67</t>
        </is>
      </c>
      <c r="J726" t="inlineStr">
        <is>
          <t>Doc. SEI 37070578</t>
        </is>
      </c>
      <c r="K726" t="inlineStr">
        <is>
          <t>2026-09-23T11:46:31</t>
        </is>
      </c>
    </row>
    <row r="727">
      <c r="A727" t="n">
        <v>726</v>
      </c>
      <c r="B727" t="inlineStr">
        <is>
          <t>SC</t>
        </is>
      </c>
      <c r="C727" t="inlineStr">
        <is>
          <t>SC</t>
        </is>
      </c>
      <c r="D727" t="inlineStr">
        <is>
          <t>Santa Catarina</t>
        </is>
      </c>
      <c r="E727" t="inlineStr">
        <is>
          <t>02_Autonomia</t>
        </is>
      </c>
      <c r="F727" t="inlineStr">
        <is>
          <t>Autonomia técnica e funcional</t>
        </is>
      </c>
      <c r="G727" t="inlineStr">
        <is>
          <t>Item 2 — Condições institucionais de atuação sem interferência indevida</t>
        </is>
      </c>
      <c r="H727" t="inlineStr">
        <is>
          <t>M4-68</t>
        </is>
      </c>
      <c r="I727" t="inlineStr">
        <is>
          <t>02_Autonomia:M4-68</t>
        </is>
      </c>
      <c r="J727" t="inlineStr">
        <is>
          <t>Doc. SEI 37070578</t>
        </is>
      </c>
      <c r="K727" t="inlineStr">
        <is>
          <t>2026-09-23T11:46:31</t>
        </is>
      </c>
    </row>
    <row r="728">
      <c r="A728" t="n">
        <v>727</v>
      </c>
      <c r="B728" t="inlineStr">
        <is>
          <t>SC</t>
        </is>
      </c>
      <c r="C728" t="inlineStr">
        <is>
          <t>SC</t>
        </is>
      </c>
      <c r="D728" t="inlineStr">
        <is>
          <t>Santa Catarina</t>
        </is>
      </c>
      <c r="E728" t="inlineStr">
        <is>
          <t>03_Imparcialidade</t>
        </is>
      </c>
      <c r="F728" t="inlineStr">
        <is>
          <t>Imparcialidade, sigilo e proteção</t>
        </is>
      </c>
      <c r="G728" t="inlineStr">
        <is>
          <t>Item 1 — Proteção e tratamento de denúncias graves e sensíveis</t>
        </is>
      </c>
      <c r="H728" t="inlineStr">
        <is>
          <t>M4-69</t>
        </is>
      </c>
      <c r="I728" t="inlineStr">
        <is>
          <t>03_Imparcialidade:M4-69</t>
        </is>
      </c>
      <c r="J728" t="inlineStr">
        <is>
          <t>Doc. SEI 37070578</t>
        </is>
      </c>
      <c r="K728" t="inlineStr">
        <is>
          <t>2026-09-23T11:46:31</t>
        </is>
      </c>
    </row>
    <row r="729">
      <c r="A729" t="n">
        <v>728</v>
      </c>
      <c r="B729" t="inlineStr">
        <is>
          <t>SC</t>
        </is>
      </c>
      <c r="C729" t="inlineStr">
        <is>
          <t>SC</t>
        </is>
      </c>
      <c r="D729" t="inlineStr">
        <is>
          <t>Santa Catarina</t>
        </is>
      </c>
      <c r="E729" t="inlineStr">
        <is>
          <t>03_Imparcialidade</t>
        </is>
      </c>
      <c r="F729" t="inlineStr">
        <is>
          <t>Imparcialidade, sigilo e proteção</t>
        </is>
      </c>
      <c r="G729" t="inlineStr">
        <is>
          <t>Item 2 — Confidencialidade e sigilo da equipe</t>
        </is>
      </c>
      <c r="H729" t="inlineStr">
        <is>
          <t>M3-63</t>
        </is>
      </c>
      <c r="I729" t="inlineStr">
        <is>
          <t>03_Imparcialidade:M3-63</t>
        </is>
      </c>
      <c r="J729" t="inlineStr">
        <is>
          <t>Doc. SEI 37070578</t>
        </is>
      </c>
      <c r="K729" t="inlineStr">
        <is>
          <t>2026-09-23T11:46:31</t>
        </is>
      </c>
    </row>
    <row r="730">
      <c r="A730" t="n">
        <v>729</v>
      </c>
      <c r="B730" t="inlineStr">
        <is>
          <t>SC</t>
        </is>
      </c>
      <c r="C730" t="inlineStr">
        <is>
          <t>SC</t>
        </is>
      </c>
      <c r="D730" t="inlineStr">
        <is>
          <t>Santa Catarina</t>
        </is>
      </c>
      <c r="E730" t="inlineStr">
        <is>
          <t>04_Acessibilidade</t>
        </is>
      </c>
      <c r="F730" t="inlineStr">
        <is>
          <t>Acessibilidade e atendimento humanizado</t>
        </is>
      </c>
      <c r="G730" t="inlineStr">
        <is>
          <t>Item 1 — Canais institucionais acessíveis</t>
        </is>
      </c>
      <c r="H730" t="inlineStr">
        <is>
          <t>M2-41</t>
        </is>
      </c>
      <c r="I730" t="inlineStr">
        <is>
          <t>04_Acessibilidade:M2-41</t>
        </is>
      </c>
      <c r="J730" t="inlineStr">
        <is>
          <t>Doc. SEI 37070578</t>
        </is>
      </c>
      <c r="K730" t="inlineStr">
        <is>
          <t>2026-09-23T11:46:31</t>
        </is>
      </c>
    </row>
    <row r="731">
      <c r="A731" t="n">
        <v>730</v>
      </c>
      <c r="B731" t="inlineStr">
        <is>
          <t>SC</t>
        </is>
      </c>
      <c r="C731" t="inlineStr">
        <is>
          <t>SC</t>
        </is>
      </c>
      <c r="D731" t="inlineStr">
        <is>
          <t>Santa Catarina</t>
        </is>
      </c>
      <c r="E731" t="inlineStr">
        <is>
          <t>04_Acessibilidade</t>
        </is>
      </c>
      <c r="F731" t="inlineStr">
        <is>
          <t>Acessibilidade e atendimento humanizado</t>
        </is>
      </c>
      <c r="G731" t="inlineStr">
        <is>
          <t>Item 1 — Canais institucionais acessíveis</t>
        </is>
      </c>
      <c r="H731" t="inlineStr">
        <is>
          <t>M2-43</t>
        </is>
      </c>
      <c r="I731" t="inlineStr">
        <is>
          <t>04_Acessibilidade:M2-43</t>
        </is>
      </c>
      <c r="J731" t="inlineStr">
        <is>
          <t>Doc. SEI 37070578</t>
        </is>
      </c>
      <c r="K731" t="inlineStr">
        <is>
          <t>2026-09-23T11:46:31</t>
        </is>
      </c>
    </row>
    <row r="732">
      <c r="A732" t="n">
        <v>731</v>
      </c>
      <c r="B732" t="inlineStr">
        <is>
          <t>SC</t>
        </is>
      </c>
      <c r="C732" t="inlineStr">
        <is>
          <t>SC</t>
        </is>
      </c>
      <c r="D732" t="inlineStr">
        <is>
          <t>Santa Catarina</t>
        </is>
      </c>
      <c r="E732" t="inlineStr">
        <is>
          <t>04_Acessibilidade</t>
        </is>
      </c>
      <c r="F732" t="inlineStr">
        <is>
          <t>Acessibilidade e atendimento humanizado</t>
        </is>
      </c>
      <c r="G732" t="inlineStr">
        <is>
          <t>Item 1 — Canais institucionais acessíveis</t>
        </is>
      </c>
      <c r="H732" t="inlineStr">
        <is>
          <t>M2-47</t>
        </is>
      </c>
      <c r="I732" t="inlineStr">
        <is>
          <t>04_Acessibilidade:M2-47</t>
        </is>
      </c>
      <c r="J732" t="inlineStr">
        <is>
          <t>Doc. SEI 37070578</t>
        </is>
      </c>
      <c r="K732" t="inlineStr">
        <is>
          <t>2026-09-23T11:46:31</t>
        </is>
      </c>
    </row>
    <row r="733">
      <c r="A733" t="n">
        <v>732</v>
      </c>
      <c r="B733" t="inlineStr">
        <is>
          <t>SC</t>
        </is>
      </c>
      <c r="C733" t="inlineStr">
        <is>
          <t>SC</t>
        </is>
      </c>
      <c r="D733" t="inlineStr">
        <is>
          <t>Santa Catarina</t>
        </is>
      </c>
      <c r="E733" t="inlineStr">
        <is>
          <t>04_Acessibilidade</t>
        </is>
      </c>
      <c r="F733" t="inlineStr">
        <is>
          <t>Acessibilidade e atendimento humanizado</t>
        </is>
      </c>
      <c r="G733" t="inlineStr">
        <is>
          <t>Item 2 — Condições de atendimento reservado e acessível</t>
        </is>
      </c>
      <c r="H733" t="inlineStr">
        <is>
          <t>M2-16</t>
        </is>
      </c>
      <c r="I733" t="inlineStr">
        <is>
          <t>04_Acessibilidade:M2-16</t>
        </is>
      </c>
      <c r="J733" t="inlineStr">
        <is>
          <t>Doc. SEI 37070578</t>
        </is>
      </c>
      <c r="K733" t="inlineStr">
        <is>
          <t>2026-09-23T11:46:31</t>
        </is>
      </c>
    </row>
    <row r="734">
      <c r="A734" t="n">
        <v>733</v>
      </c>
      <c r="B734" t="inlineStr">
        <is>
          <t>SC</t>
        </is>
      </c>
      <c r="C734" t="inlineStr">
        <is>
          <t>SC</t>
        </is>
      </c>
      <c r="D734" t="inlineStr">
        <is>
          <t>Santa Catarina</t>
        </is>
      </c>
      <c r="E734" t="inlineStr">
        <is>
          <t>04_Acessibilidade</t>
        </is>
      </c>
      <c r="F734" t="inlineStr">
        <is>
          <t>Acessibilidade e atendimento humanizado</t>
        </is>
      </c>
      <c r="G734" t="inlineStr">
        <is>
          <t>Item 3 — Alcance dos públicos dos serviços penais</t>
        </is>
      </c>
      <c r="H734" t="inlineStr">
        <is>
          <t>M1-13</t>
        </is>
      </c>
      <c r="I734" t="inlineStr">
        <is>
          <t>04_Acessibilidade:M1-13</t>
        </is>
      </c>
      <c r="J734" t="inlineStr">
        <is>
          <t>Doc. SEI 37070578</t>
        </is>
      </c>
      <c r="K734" t="inlineStr">
        <is>
          <t>2026-09-23T11:46:31</t>
        </is>
      </c>
    </row>
    <row r="735">
      <c r="A735" t="n">
        <v>734</v>
      </c>
      <c r="B735" t="inlineStr">
        <is>
          <t>SC</t>
        </is>
      </c>
      <c r="C735" t="inlineStr">
        <is>
          <t>SC</t>
        </is>
      </c>
      <c r="D735" t="inlineStr">
        <is>
          <t>Santa Catarina</t>
        </is>
      </c>
      <c r="E735" t="inlineStr">
        <is>
          <t>04_Acessibilidade</t>
        </is>
      </c>
      <c r="F735" t="inlineStr">
        <is>
          <t>Acessibilidade e atendimento humanizado</t>
        </is>
      </c>
      <c r="G735" t="inlineStr">
        <is>
          <t>Item 3 — Alcance dos públicos dos serviços penais</t>
        </is>
      </c>
      <c r="H735" t="inlineStr">
        <is>
          <t>M4-64</t>
        </is>
      </c>
      <c r="I735" t="inlineStr">
        <is>
          <t>04_Acessibilidade:M4-64</t>
        </is>
      </c>
      <c r="J735" t="inlineStr">
        <is>
          <t>Doc. SEI 37070578</t>
        </is>
      </c>
      <c r="K735" t="inlineStr">
        <is>
          <t>2026-09-23T11:46:31</t>
        </is>
      </c>
    </row>
    <row r="736">
      <c r="A736" t="n">
        <v>735</v>
      </c>
      <c r="B736" t="inlineStr">
        <is>
          <t>SC</t>
        </is>
      </c>
      <c r="C736" t="inlineStr">
        <is>
          <t>SC</t>
        </is>
      </c>
      <c r="D736" t="inlineStr">
        <is>
          <t>Santa Catarina</t>
        </is>
      </c>
      <c r="E736" t="inlineStr">
        <is>
          <t>05_Transparência</t>
        </is>
      </c>
      <c r="F736" t="inlineStr">
        <is>
          <t>Transparência e publicidade</t>
        </is>
      </c>
      <c r="G736" t="inlineStr">
        <is>
          <t>Item 1 — Visibilidade institucional e divulgação dos canais</t>
        </is>
      </c>
      <c r="H736" t="inlineStr">
        <is>
          <t>M2-35</t>
        </is>
      </c>
      <c r="I736" t="inlineStr">
        <is>
          <t>05_Transparência:M2-35</t>
        </is>
      </c>
      <c r="J736" t="inlineStr">
        <is>
          <t>Doc. SEI 37070578</t>
        </is>
      </c>
      <c r="K736" t="inlineStr">
        <is>
          <t>2026-09-23T11:46:31</t>
        </is>
      </c>
    </row>
    <row r="737">
      <c r="A737" t="n">
        <v>736</v>
      </c>
      <c r="B737" t="inlineStr">
        <is>
          <t>SC</t>
        </is>
      </c>
      <c r="C737" t="inlineStr">
        <is>
          <t>SC</t>
        </is>
      </c>
      <c r="D737" t="inlineStr">
        <is>
          <t>Santa Catarina</t>
        </is>
      </c>
      <c r="E737" t="inlineStr">
        <is>
          <t>05_Transparência</t>
        </is>
      </c>
      <c r="F737" t="inlineStr">
        <is>
          <t>Transparência e publicidade</t>
        </is>
      </c>
      <c r="G737" t="inlineStr">
        <is>
          <t>Item 2 — Publicidade das ações e atividades</t>
        </is>
      </c>
      <c r="H737" t="inlineStr">
        <is>
          <t>M4-71</t>
        </is>
      </c>
      <c r="I737" t="inlineStr">
        <is>
          <t>05_Transparência:M4-71</t>
        </is>
      </c>
      <c r="J737" t="inlineStr">
        <is>
          <t>Doc. SEI 37070578</t>
        </is>
      </c>
      <c r="K737" t="inlineStr">
        <is>
          <t>2026-09-23T11:46:31</t>
        </is>
      </c>
    </row>
    <row r="738">
      <c r="A738" t="n">
        <v>737</v>
      </c>
      <c r="B738" t="inlineStr">
        <is>
          <t>SC</t>
        </is>
      </c>
      <c r="C738" t="inlineStr">
        <is>
          <t>SC</t>
        </is>
      </c>
      <c r="D738" t="inlineStr">
        <is>
          <t>Santa Catarina</t>
        </is>
      </c>
      <c r="E738" t="inlineStr">
        <is>
          <t>06_Integração Tec</t>
        </is>
      </c>
      <c r="F738" t="inlineStr">
        <is>
          <t>Integração tecnológica</t>
        </is>
      </c>
      <c r="G738" t="inlineStr">
        <is>
          <t>Item 1 — Canal eletrônico e solução para registro e gestão das manifestações</t>
        </is>
      </c>
      <c r="H738" t="inlineStr">
        <is>
          <t>M2-45</t>
        </is>
      </c>
      <c r="I738" t="inlineStr">
        <is>
          <t>06_Integração Tec:M2-45</t>
        </is>
      </c>
      <c r="J738" t="inlineStr">
        <is>
          <t>Doc. SEI 37070578</t>
        </is>
      </c>
      <c r="K738" t="inlineStr">
        <is>
          <t>2026-09-23T11:46:31</t>
        </is>
      </c>
    </row>
    <row r="739">
      <c r="A739" t="n">
        <v>738</v>
      </c>
      <c r="B739" t="inlineStr">
        <is>
          <t>SC</t>
        </is>
      </c>
      <c r="C739" t="inlineStr">
        <is>
          <t>SC</t>
        </is>
      </c>
      <c r="D739" t="inlineStr">
        <is>
          <t>Santa Catarina</t>
        </is>
      </c>
      <c r="E739" t="inlineStr">
        <is>
          <t>06_Integração Tec</t>
        </is>
      </c>
      <c r="F739" t="inlineStr">
        <is>
          <t>Integração tecnológica</t>
        </is>
      </c>
      <c r="G739" t="inlineStr">
        <is>
          <t>Item 2 — Registro, protocolo, rastreabilidade e acompanhamento</t>
        </is>
      </c>
      <c r="H739" t="inlineStr">
        <is>
          <t>M4-66</t>
        </is>
      </c>
      <c r="I739" t="inlineStr">
        <is>
          <t>06_Integração Tec:M4-66</t>
        </is>
      </c>
      <c r="J739" t="inlineStr">
        <is>
          <t>Doc. SEI 37070578</t>
        </is>
      </c>
      <c r="K739" t="inlineStr">
        <is>
          <t>2026-09-23T11:46:31</t>
        </is>
      </c>
    </row>
    <row r="740">
      <c r="A740" t="n">
        <v>739</v>
      </c>
      <c r="B740" t="inlineStr">
        <is>
          <t>SC</t>
        </is>
      </c>
      <c r="C740" t="inlineStr">
        <is>
          <t>SC</t>
        </is>
      </c>
      <c r="D740" t="inlineStr">
        <is>
          <t>Santa Catarina</t>
        </is>
      </c>
      <c r="E740" t="inlineStr">
        <is>
          <t>06_Integração Tec</t>
        </is>
      </c>
      <c r="F740" t="inlineStr">
        <is>
          <t>Integração tecnológica</t>
        </is>
      </c>
      <c r="G740" t="inlineStr">
        <is>
          <t>Item 3 — Sigilo, autenticação e controle de acesso</t>
        </is>
      </c>
      <c r="H740" t="inlineStr">
        <is>
          <t>M2-37</t>
        </is>
      </c>
      <c r="I740" t="inlineStr">
        <is>
          <t>06_Integração Tec:M2-37</t>
        </is>
      </c>
      <c r="J740" t="inlineStr">
        <is>
          <t>Doc. SEI 37070578</t>
        </is>
      </c>
      <c r="K740" t="inlineStr">
        <is>
          <t>2026-09-23T11:46:31</t>
        </is>
      </c>
    </row>
    <row r="741">
      <c r="A741" t="n">
        <v>740</v>
      </c>
      <c r="B741" t="inlineStr">
        <is>
          <t>SC</t>
        </is>
      </c>
      <c r="C741" t="inlineStr">
        <is>
          <t>SC</t>
        </is>
      </c>
      <c r="D741" t="inlineStr">
        <is>
          <t>Santa Catarina</t>
        </is>
      </c>
      <c r="E741" t="inlineStr">
        <is>
          <t>06_Integração Tec</t>
        </is>
      </c>
      <c r="F741" t="inlineStr">
        <is>
          <t>Integração tecnológica</t>
        </is>
      </c>
      <c r="G741" t="inlineStr">
        <is>
          <t>Item 4 — Computadores e acesso à internet</t>
        </is>
      </c>
      <c r="H741" t="inlineStr">
        <is>
          <t>M2-17</t>
        </is>
      </c>
      <c r="I741" t="inlineStr">
        <is>
          <t>06_Integração Tec:M2-17</t>
        </is>
      </c>
      <c r="J741" t="inlineStr">
        <is>
          <t>Doc. SEI 37070578</t>
        </is>
      </c>
      <c r="K741" t="inlineStr">
        <is>
          <t>2026-09-23T11:46:31</t>
        </is>
      </c>
    </row>
    <row r="742">
      <c r="A742" t="n">
        <v>741</v>
      </c>
      <c r="B742" t="inlineStr">
        <is>
          <t>SC</t>
        </is>
      </c>
      <c r="C742" t="inlineStr">
        <is>
          <t>SC</t>
        </is>
      </c>
      <c r="D742" t="inlineStr">
        <is>
          <t>Santa Catarina</t>
        </is>
      </c>
      <c r="E742" t="inlineStr">
        <is>
          <t>06_Integração Tec</t>
        </is>
      </c>
      <c r="F742" t="inlineStr">
        <is>
          <t>Integração tecnológica</t>
        </is>
      </c>
      <c r="G742" t="inlineStr">
        <is>
          <t>Item 5 — Impressoras e scanners</t>
        </is>
      </c>
      <c r="H742" t="inlineStr">
        <is>
          <t>M2-19</t>
        </is>
      </c>
      <c r="I742" t="inlineStr">
        <is>
          <t>06_Integração Tec:M2-19</t>
        </is>
      </c>
      <c r="J742" t="inlineStr">
        <is>
          <t>Doc. SEI 37070578</t>
        </is>
      </c>
      <c r="K742" t="inlineStr">
        <is>
          <t>2026-09-23T11:46:31</t>
        </is>
      </c>
    </row>
    <row r="743">
      <c r="A743" t="n">
        <v>742</v>
      </c>
      <c r="B743" t="inlineStr">
        <is>
          <t>SC</t>
        </is>
      </c>
      <c r="C743" t="inlineStr">
        <is>
          <t>SC</t>
        </is>
      </c>
      <c r="D743" t="inlineStr">
        <is>
          <t>Santa Catarina</t>
        </is>
      </c>
      <c r="E743" t="inlineStr">
        <is>
          <t>06_Integração Tec</t>
        </is>
      </c>
      <c r="F743" t="inlineStr">
        <is>
          <t>Integração tecnológica</t>
        </is>
      </c>
      <c r="G743" t="inlineStr">
        <is>
          <t>Item 5 — Impressoras e scanners</t>
        </is>
      </c>
      <c r="H743" t="inlineStr">
        <is>
          <t>M2-21</t>
        </is>
      </c>
      <c r="I743" t="inlineStr">
        <is>
          <t>06_Integração Tec:M2-21</t>
        </is>
      </c>
      <c r="J743" t="inlineStr">
        <is>
          <t>Doc. SEI 37070578</t>
        </is>
      </c>
      <c r="K743" t="inlineStr">
        <is>
          <t>2026-09-23T11:46:31</t>
        </is>
      </c>
    </row>
    <row r="744">
      <c r="A744" t="n">
        <v>743</v>
      </c>
      <c r="B744" t="inlineStr">
        <is>
          <t>SC</t>
        </is>
      </c>
      <c r="C744" t="inlineStr">
        <is>
          <t>SC</t>
        </is>
      </c>
      <c r="D744" t="inlineStr">
        <is>
          <t>Santa Catarina</t>
        </is>
      </c>
      <c r="E744" t="inlineStr">
        <is>
          <t>06_Integração Tec</t>
        </is>
      </c>
      <c r="F744" t="inlineStr">
        <is>
          <t>Integração tecnológica</t>
        </is>
      </c>
      <c r="G744" t="inlineStr">
        <is>
          <t>Item 6 — Aparelhos de telefone celular</t>
        </is>
      </c>
      <c r="H744" t="inlineStr">
        <is>
          <t>M2-27</t>
        </is>
      </c>
      <c r="I744" t="inlineStr">
        <is>
          <t>06_Integração Tec:M2-27</t>
        </is>
      </c>
      <c r="J744" t="inlineStr">
        <is>
          <t>Doc. SEI 37070578</t>
        </is>
      </c>
      <c r="K744" t="inlineStr">
        <is>
          <t>2026-09-23T11:46:31</t>
        </is>
      </c>
    </row>
    <row r="745">
      <c r="A745" t="n">
        <v>744</v>
      </c>
      <c r="B745" t="inlineStr">
        <is>
          <t>SC</t>
        </is>
      </c>
      <c r="C745" t="inlineStr">
        <is>
          <t>SC</t>
        </is>
      </c>
      <c r="D745" t="inlineStr">
        <is>
          <t>Santa Catarina</t>
        </is>
      </c>
      <c r="E745" t="inlineStr">
        <is>
          <t>07_Maturidade</t>
        </is>
      </c>
      <c r="F745" t="inlineStr">
        <is>
          <t>Maturidade / bônus</t>
        </is>
      </c>
      <c r="G745" t="inlineStr">
        <is>
          <t>Bônus — Uso do canal Fala.BR</t>
        </is>
      </c>
      <c r="H745" t="inlineStr">
        <is>
          <t>M2-46</t>
        </is>
      </c>
      <c r="I745" t="inlineStr">
        <is>
          <t>07_Maturidade:M2-46</t>
        </is>
      </c>
      <c r="J745" t="inlineStr">
        <is>
          <t>Doc. SEI 37070578</t>
        </is>
      </c>
      <c r="K745" t="inlineStr">
        <is>
          <t>2026-09-23T11:46:31</t>
        </is>
      </c>
    </row>
    <row r="746">
      <c r="A746" t="n">
        <v>745</v>
      </c>
      <c r="B746" t="inlineStr">
        <is>
          <t>SC</t>
        </is>
      </c>
      <c r="C746" t="inlineStr">
        <is>
          <t>SC</t>
        </is>
      </c>
      <c r="D746" t="inlineStr">
        <is>
          <t>Santa Catarina</t>
        </is>
      </c>
      <c r="E746" t="inlineStr">
        <is>
          <t>07_Maturidade</t>
        </is>
      </c>
      <c r="F746" t="inlineStr">
        <is>
          <t>Maturidade / bônus</t>
        </is>
      </c>
      <c r="G746" t="inlineStr">
        <is>
          <t>Bônus — Designação por mandato</t>
        </is>
      </c>
      <c r="H746" t="inlineStr">
        <is>
          <t>M0-08</t>
        </is>
      </c>
      <c r="I746" t="inlineStr">
        <is>
          <t>07_Maturidade:M0-08</t>
        </is>
      </c>
      <c r="J746" t="inlineStr">
        <is>
          <t>Doc. SEI 37070578</t>
        </is>
      </c>
      <c r="K746" t="inlineStr">
        <is>
          <t>2026-09-23T11:46:31</t>
        </is>
      </c>
    </row>
    <row r="747">
      <c r="A747" t="n">
        <v>746</v>
      </c>
      <c r="B747" t="inlineStr">
        <is>
          <t>SC</t>
        </is>
      </c>
      <c r="C747" t="inlineStr">
        <is>
          <t>SC</t>
        </is>
      </c>
      <c r="D747" t="inlineStr">
        <is>
          <t>Santa Catarina</t>
        </is>
      </c>
      <c r="E747" t="inlineStr">
        <is>
          <t>07_Maturidade</t>
        </is>
      </c>
      <c r="F747" t="inlineStr">
        <is>
          <t>Maturidade / bônus</t>
        </is>
      </c>
      <c r="G747" t="inlineStr">
        <is>
          <t>Bônus — Dedicação da equipe</t>
        </is>
      </c>
      <c r="H747" t="inlineStr">
        <is>
          <t>M3-60</t>
        </is>
      </c>
      <c r="I747" t="inlineStr">
        <is>
          <t>07_Maturidade:M3-60</t>
        </is>
      </c>
      <c r="J747" t="inlineStr">
        <is>
          <t>Doc. SEI 37070578</t>
        </is>
      </c>
      <c r="K747" t="inlineStr">
        <is>
          <t>2026-09-23T11:46:31</t>
        </is>
      </c>
    </row>
    <row r="748">
      <c r="A748" t="n">
        <v>747</v>
      </c>
      <c r="B748" t="inlineStr">
        <is>
          <t>SC</t>
        </is>
      </c>
      <c r="C748" t="inlineStr">
        <is>
          <t>SC</t>
        </is>
      </c>
      <c r="D748" t="inlineStr">
        <is>
          <t>Santa Catarina</t>
        </is>
      </c>
      <c r="E748" t="inlineStr">
        <is>
          <t>07_Maturidade</t>
        </is>
      </c>
      <c r="F748" t="inlineStr">
        <is>
          <t>Maturidade / bônus</t>
        </is>
      </c>
      <c r="G748" t="inlineStr">
        <is>
          <t>Bônus — Requisitos de perfil para o cargo de Ouvidor</t>
        </is>
      </c>
      <c r="H748" t="inlineStr">
        <is>
          <t>M3-58</t>
        </is>
      </c>
      <c r="I748" t="inlineStr">
        <is>
          <t>07_Maturidade:M3-58</t>
        </is>
      </c>
      <c r="J748" t="inlineStr">
        <is>
          <t>Doc. SEI 37070578</t>
        </is>
      </c>
      <c r="K748" t="inlineStr">
        <is>
          <t>2026-09-23T11:46:31</t>
        </is>
      </c>
    </row>
    <row r="749">
      <c r="A749" t="n">
        <v>748</v>
      </c>
      <c r="B749" t="inlineStr">
        <is>
          <t>SC</t>
        </is>
      </c>
      <c r="C749" t="inlineStr">
        <is>
          <t>SC</t>
        </is>
      </c>
      <c r="D749" t="inlineStr">
        <is>
          <t>Santa Catarina</t>
        </is>
      </c>
      <c r="E749" t="inlineStr">
        <is>
          <t>07_Maturidade</t>
        </is>
      </c>
      <c r="F749" t="inlineStr">
        <is>
          <t>Maturidade / bônus</t>
        </is>
      </c>
      <c r="G749" t="inlineStr">
        <is>
          <t>Bônus — WhatsApp institucional</t>
        </is>
      </c>
      <c r="H749" t="inlineStr">
        <is>
          <t>M2-50</t>
        </is>
      </c>
      <c r="I749" t="inlineStr">
        <is>
          <t>07_Maturidade:M2-50</t>
        </is>
      </c>
      <c r="J749" t="inlineStr">
        <is>
          <t>Doc. SEI 37070578</t>
        </is>
      </c>
      <c r="K749" t="inlineStr">
        <is>
          <t>2026-09-23T11:46:31</t>
        </is>
      </c>
    </row>
    <row r="750">
      <c r="A750" t="n">
        <v>749</v>
      </c>
      <c r="B750" t="inlineStr">
        <is>
          <t>SC</t>
        </is>
      </c>
      <c r="C750" t="inlineStr">
        <is>
          <t>SC</t>
        </is>
      </c>
      <c r="D750" t="inlineStr">
        <is>
          <t>Santa Catarina</t>
        </is>
      </c>
      <c r="E750" t="inlineStr">
        <is>
          <t>07_Maturidade</t>
        </is>
      </c>
      <c r="F750" t="inlineStr">
        <is>
          <t>Maturidade / bônus</t>
        </is>
      </c>
      <c r="G750" t="inlineStr">
        <is>
          <t>Bônus — Outros canais eletrônicos institucionais</t>
        </is>
      </c>
      <c r="H750" t="inlineStr">
        <is>
          <t>M2-49</t>
        </is>
      </c>
      <c r="I750" t="inlineStr">
        <is>
          <t>07_Maturidade:M2-49</t>
        </is>
      </c>
      <c r="J750" t="inlineStr">
        <is>
          <t>Doc. SEI 37070578</t>
        </is>
      </c>
      <c r="K750" t="inlineStr">
        <is>
          <t>2026-09-23T11:46:31</t>
        </is>
      </c>
    </row>
    <row r="751">
      <c r="A751" t="n">
        <v>750</v>
      </c>
      <c r="B751" t="inlineStr">
        <is>
          <t>SC</t>
        </is>
      </c>
      <c r="C751" t="inlineStr">
        <is>
          <t>SC</t>
        </is>
      </c>
      <c r="D751" t="inlineStr">
        <is>
          <t>Santa Catarina</t>
        </is>
      </c>
      <c r="E751" t="inlineStr">
        <is>
          <t>07_Maturidade</t>
        </is>
      </c>
      <c r="F751" t="inlineStr">
        <is>
          <t>Maturidade / bônus</t>
        </is>
      </c>
      <c r="G751" t="inlineStr">
        <is>
          <t>Bônus — Materiais adicionais de divulgação e educação em direitos</t>
        </is>
      </c>
      <c r="H751" t="inlineStr">
        <is>
          <t>M2-36</t>
        </is>
      </c>
      <c r="I751" t="inlineStr">
        <is>
          <t>07_Maturidade:M2-36</t>
        </is>
      </c>
      <c r="J751" t="inlineStr">
        <is>
          <t>Doc. SEI 37070578</t>
        </is>
      </c>
      <c r="K751" t="inlineStr">
        <is>
          <t>2026-09-23T11:46:31</t>
        </is>
      </c>
    </row>
    <row r="752">
      <c r="A752" t="n">
        <v>751</v>
      </c>
      <c r="B752" t="inlineStr">
        <is>
          <t>SP</t>
        </is>
      </c>
      <c r="C752" t="inlineStr">
        <is>
          <t>SP</t>
        </is>
      </c>
      <c r="D752" t="inlineStr">
        <is>
          <t>São Paulo</t>
        </is>
      </c>
      <c r="E752" t="inlineStr">
        <is>
          <t>01_Institucionalização</t>
        </is>
      </c>
      <c r="F752" t="inlineStr">
        <is>
          <t>Institucionalização</t>
        </is>
      </c>
      <c r="G752" t="inlineStr">
        <is>
          <t>Item 1 — Instituição formal da Ouvidoria de Serviços Penais</t>
        </is>
      </c>
      <c r="H752" t="inlineStr">
        <is>
          <t>M1-11</t>
        </is>
      </c>
      <c r="I752" t="inlineStr">
        <is>
          <t>01_Institucionalização:M1-11</t>
        </is>
      </c>
      <c r="J752" t="inlineStr">
        <is>
          <t>Doc. SEI 37070578</t>
        </is>
      </c>
      <c r="K752" t="inlineStr">
        <is>
          <t>2026-09-23T11:46:31</t>
        </is>
      </c>
    </row>
    <row r="753">
      <c r="A753" t="n">
        <v>752</v>
      </c>
      <c r="B753" t="inlineStr">
        <is>
          <t>SP</t>
        </is>
      </c>
      <c r="C753" t="inlineStr">
        <is>
          <t>SP</t>
        </is>
      </c>
      <c r="D753" t="inlineStr">
        <is>
          <t>São Paulo</t>
        </is>
      </c>
      <c r="E753" t="inlineStr">
        <is>
          <t>02_Autonomia</t>
        </is>
      </c>
      <c r="F753" t="inlineStr">
        <is>
          <t>Autonomia técnica e funcional</t>
        </is>
      </c>
      <c r="G753" t="inlineStr">
        <is>
          <t>Item 1 — Garantia normativa de autonomia técnica/funcional</t>
        </is>
      </c>
      <c r="H753" t="inlineStr">
        <is>
          <t>M3-56</t>
        </is>
      </c>
      <c r="I753" t="inlineStr">
        <is>
          <t>02_Autonomia:M3-56</t>
        </is>
      </c>
      <c r="J753" t="inlineStr">
        <is>
          <t>Doc. SEI 37070578</t>
        </is>
      </c>
      <c r="K753" t="inlineStr">
        <is>
          <t>2026-09-23T11:46:31</t>
        </is>
      </c>
    </row>
    <row r="754">
      <c r="A754" t="n">
        <v>753</v>
      </c>
      <c r="B754" t="inlineStr">
        <is>
          <t>SP</t>
        </is>
      </c>
      <c r="C754" t="inlineStr">
        <is>
          <t>SP</t>
        </is>
      </c>
      <c r="D754" t="inlineStr">
        <is>
          <t>São Paulo</t>
        </is>
      </c>
      <c r="E754" t="inlineStr">
        <is>
          <t>02_Autonomia</t>
        </is>
      </c>
      <c r="F754" t="inlineStr">
        <is>
          <t>Autonomia técnica e funcional</t>
        </is>
      </c>
      <c r="G754" t="inlineStr">
        <is>
          <t>Item 1 — Garantia normativa de autonomia técnica/funcional</t>
        </is>
      </c>
      <c r="H754" t="inlineStr">
        <is>
          <t>M3-57</t>
        </is>
      </c>
      <c r="I754" t="inlineStr">
        <is>
          <t>02_Autonomia:M3-57</t>
        </is>
      </c>
      <c r="J754" t="inlineStr">
        <is>
          <t>Doc. SEI 37070578</t>
        </is>
      </c>
      <c r="K754" t="inlineStr">
        <is>
          <t>2026-09-23T11:46:31</t>
        </is>
      </c>
    </row>
    <row r="755">
      <c r="A755" t="n">
        <v>754</v>
      </c>
      <c r="B755" t="inlineStr">
        <is>
          <t>SP</t>
        </is>
      </c>
      <c r="C755" t="inlineStr">
        <is>
          <t>SP</t>
        </is>
      </c>
      <c r="D755" t="inlineStr">
        <is>
          <t>São Paulo</t>
        </is>
      </c>
      <c r="E755" t="inlineStr">
        <is>
          <t>02_Autonomia</t>
        </is>
      </c>
      <c r="F755" t="inlineStr">
        <is>
          <t>Autonomia técnica e funcional</t>
        </is>
      </c>
      <c r="G755" t="inlineStr">
        <is>
          <t>Item 2 — Condições institucionais de atuação sem interferência indevida</t>
        </is>
      </c>
      <c r="H755" t="inlineStr">
        <is>
          <t>M1-12</t>
        </is>
      </c>
      <c r="I755" t="inlineStr">
        <is>
          <t>02_Autonomia:M1-12</t>
        </is>
      </c>
      <c r="J755" t="inlineStr">
        <is>
          <t>Doc. SEI 37070578</t>
        </is>
      </c>
      <c r="K755" t="inlineStr">
        <is>
          <t>2026-09-23T11:46:31</t>
        </is>
      </c>
    </row>
    <row r="756">
      <c r="A756" t="n">
        <v>755</v>
      </c>
      <c r="B756" t="inlineStr">
        <is>
          <t>SP</t>
        </is>
      </c>
      <c r="C756" t="inlineStr">
        <is>
          <t>SP</t>
        </is>
      </c>
      <c r="D756" t="inlineStr">
        <is>
          <t>São Paulo</t>
        </is>
      </c>
      <c r="E756" t="inlineStr">
        <is>
          <t>02_Autonomia</t>
        </is>
      </c>
      <c r="F756" t="inlineStr">
        <is>
          <t>Autonomia técnica e funcional</t>
        </is>
      </c>
      <c r="G756" t="inlineStr">
        <is>
          <t>Item 2 — Condições institucionais de atuação sem interferência indevida</t>
        </is>
      </c>
      <c r="H756" t="inlineStr">
        <is>
          <t>M4-67</t>
        </is>
      </c>
      <c r="I756" t="inlineStr">
        <is>
          <t>02_Autonomia:M4-67</t>
        </is>
      </c>
      <c r="J756" t="inlineStr">
        <is>
          <t>Doc. SEI 37070578</t>
        </is>
      </c>
      <c r="K756" t="inlineStr">
        <is>
          <t>2026-09-23T11:46:31</t>
        </is>
      </c>
    </row>
    <row r="757">
      <c r="A757" t="n">
        <v>756</v>
      </c>
      <c r="B757" t="inlineStr">
        <is>
          <t>SP</t>
        </is>
      </c>
      <c r="C757" t="inlineStr">
        <is>
          <t>SP</t>
        </is>
      </c>
      <c r="D757" t="inlineStr">
        <is>
          <t>São Paulo</t>
        </is>
      </c>
      <c r="E757" t="inlineStr">
        <is>
          <t>02_Autonomia</t>
        </is>
      </c>
      <c r="F757" t="inlineStr">
        <is>
          <t>Autonomia técnica e funcional</t>
        </is>
      </c>
      <c r="G757" t="inlineStr">
        <is>
          <t>Item 2 — Condições institucionais de atuação sem interferência indevida</t>
        </is>
      </c>
      <c r="H757" t="inlineStr">
        <is>
          <t>M4-68</t>
        </is>
      </c>
      <c r="I757" t="inlineStr">
        <is>
          <t>02_Autonomia:M4-68</t>
        </is>
      </c>
      <c r="J757" t="inlineStr">
        <is>
          <t>Doc. SEI 37070578</t>
        </is>
      </c>
      <c r="K757" t="inlineStr">
        <is>
          <t>2026-09-23T11:46:31</t>
        </is>
      </c>
    </row>
    <row r="758">
      <c r="A758" t="n">
        <v>757</v>
      </c>
      <c r="B758" t="inlineStr">
        <is>
          <t>SP</t>
        </is>
      </c>
      <c r="C758" t="inlineStr">
        <is>
          <t>SP</t>
        </is>
      </c>
      <c r="D758" t="inlineStr">
        <is>
          <t>São Paulo</t>
        </is>
      </c>
      <c r="E758" t="inlineStr">
        <is>
          <t>03_Imparcialidade</t>
        </is>
      </c>
      <c r="F758" t="inlineStr">
        <is>
          <t>Imparcialidade, sigilo e proteção</t>
        </is>
      </c>
      <c r="G758" t="inlineStr">
        <is>
          <t>Item 1 — Proteção e tratamento de denúncias graves e sensíveis</t>
        </is>
      </c>
      <c r="H758" t="inlineStr">
        <is>
          <t>M4-69</t>
        </is>
      </c>
      <c r="I758" t="inlineStr">
        <is>
          <t>03_Imparcialidade:M4-69</t>
        </is>
      </c>
      <c r="J758" t="inlineStr">
        <is>
          <t>Doc. SEI 37070578</t>
        </is>
      </c>
      <c r="K758" t="inlineStr">
        <is>
          <t>2026-09-23T11:46:31</t>
        </is>
      </c>
    </row>
    <row r="759">
      <c r="A759" t="n">
        <v>758</v>
      </c>
      <c r="B759" t="inlineStr">
        <is>
          <t>SP</t>
        </is>
      </c>
      <c r="C759" t="inlineStr">
        <is>
          <t>SP</t>
        </is>
      </c>
      <c r="D759" t="inlineStr">
        <is>
          <t>São Paulo</t>
        </is>
      </c>
      <c r="E759" t="inlineStr">
        <is>
          <t>03_Imparcialidade</t>
        </is>
      </c>
      <c r="F759" t="inlineStr">
        <is>
          <t>Imparcialidade, sigilo e proteção</t>
        </is>
      </c>
      <c r="G759" t="inlineStr">
        <is>
          <t>Item 2 — Confidencialidade e sigilo da equipe</t>
        </is>
      </c>
      <c r="H759" t="inlineStr">
        <is>
          <t>M3-63</t>
        </is>
      </c>
      <c r="I759" t="inlineStr">
        <is>
          <t>03_Imparcialidade:M3-63</t>
        </is>
      </c>
      <c r="J759" t="inlineStr">
        <is>
          <t>Doc. SEI 37070578</t>
        </is>
      </c>
      <c r="K759" t="inlineStr">
        <is>
          <t>2026-09-23T11:46:31</t>
        </is>
      </c>
    </row>
    <row r="760">
      <c r="A760" t="n">
        <v>759</v>
      </c>
      <c r="B760" t="inlineStr">
        <is>
          <t>SP</t>
        </is>
      </c>
      <c r="C760" t="inlineStr">
        <is>
          <t>SP</t>
        </is>
      </c>
      <c r="D760" t="inlineStr">
        <is>
          <t>São Paulo</t>
        </is>
      </c>
      <c r="E760" t="inlineStr">
        <is>
          <t>04_Acessibilidade</t>
        </is>
      </c>
      <c r="F760" t="inlineStr">
        <is>
          <t>Acessibilidade e atendimento humanizado</t>
        </is>
      </c>
      <c r="G760" t="inlineStr">
        <is>
          <t>Item 1 — Canais institucionais acessíveis</t>
        </is>
      </c>
      <c r="H760" t="inlineStr">
        <is>
          <t>M2-41</t>
        </is>
      </c>
      <c r="I760" t="inlineStr">
        <is>
          <t>04_Acessibilidade:M2-41</t>
        </is>
      </c>
      <c r="J760" t="inlineStr">
        <is>
          <t>Doc. SEI 37070578</t>
        </is>
      </c>
      <c r="K760" t="inlineStr">
        <is>
          <t>2026-09-23T11:46:31</t>
        </is>
      </c>
    </row>
    <row r="761">
      <c r="A761" t="n">
        <v>760</v>
      </c>
      <c r="B761" t="inlineStr">
        <is>
          <t>SP</t>
        </is>
      </c>
      <c r="C761" t="inlineStr">
        <is>
          <t>SP</t>
        </is>
      </c>
      <c r="D761" t="inlineStr">
        <is>
          <t>São Paulo</t>
        </is>
      </c>
      <c r="E761" t="inlineStr">
        <is>
          <t>04_Acessibilidade</t>
        </is>
      </c>
      <c r="F761" t="inlineStr">
        <is>
          <t>Acessibilidade e atendimento humanizado</t>
        </is>
      </c>
      <c r="G761" t="inlineStr">
        <is>
          <t>Item 1 — Canais institucionais acessíveis</t>
        </is>
      </c>
      <c r="H761" t="inlineStr">
        <is>
          <t>M2-43</t>
        </is>
      </c>
      <c r="I761" t="inlineStr">
        <is>
          <t>04_Acessibilidade:M2-43</t>
        </is>
      </c>
      <c r="J761" t="inlineStr">
        <is>
          <t>Doc. SEI 37070578</t>
        </is>
      </c>
      <c r="K761" t="inlineStr">
        <is>
          <t>2026-09-23T11:46:31</t>
        </is>
      </c>
    </row>
    <row r="762">
      <c r="A762" t="n">
        <v>761</v>
      </c>
      <c r="B762" t="inlineStr">
        <is>
          <t>SP</t>
        </is>
      </c>
      <c r="C762" t="inlineStr">
        <is>
          <t>SP</t>
        </is>
      </c>
      <c r="D762" t="inlineStr">
        <is>
          <t>São Paulo</t>
        </is>
      </c>
      <c r="E762" t="inlineStr">
        <is>
          <t>04_Acessibilidade</t>
        </is>
      </c>
      <c r="F762" t="inlineStr">
        <is>
          <t>Acessibilidade e atendimento humanizado</t>
        </is>
      </c>
      <c r="G762" t="inlineStr">
        <is>
          <t>Item 1 — Canais institucionais acessíveis</t>
        </is>
      </c>
      <c r="H762" t="inlineStr">
        <is>
          <t>M2-47</t>
        </is>
      </c>
      <c r="I762" t="inlineStr">
        <is>
          <t>04_Acessibilidade:M2-47</t>
        </is>
      </c>
      <c r="J762" t="inlineStr">
        <is>
          <t>Doc. SEI 37070578</t>
        </is>
      </c>
      <c r="K762" t="inlineStr">
        <is>
          <t>2026-09-23T11:46:31</t>
        </is>
      </c>
    </row>
    <row r="763">
      <c r="A763" t="n">
        <v>762</v>
      </c>
      <c r="B763" t="inlineStr">
        <is>
          <t>SP</t>
        </is>
      </c>
      <c r="C763" t="inlineStr">
        <is>
          <t>SP</t>
        </is>
      </c>
      <c r="D763" t="inlineStr">
        <is>
          <t>São Paulo</t>
        </is>
      </c>
      <c r="E763" t="inlineStr">
        <is>
          <t>04_Acessibilidade</t>
        </is>
      </c>
      <c r="F763" t="inlineStr">
        <is>
          <t>Acessibilidade e atendimento humanizado</t>
        </is>
      </c>
      <c r="G763" t="inlineStr">
        <is>
          <t>Item 2 — Condições de atendimento reservado e acessível</t>
        </is>
      </c>
      <c r="H763" t="inlineStr">
        <is>
          <t>M2-16</t>
        </is>
      </c>
      <c r="I763" t="inlineStr">
        <is>
          <t>04_Acessibilidade:M2-16</t>
        </is>
      </c>
      <c r="J763" t="inlineStr">
        <is>
          <t>Doc. SEI 37070578</t>
        </is>
      </c>
      <c r="K763" t="inlineStr">
        <is>
          <t>2026-09-23T11:46:31</t>
        </is>
      </c>
    </row>
    <row r="764">
      <c r="A764" t="n">
        <v>763</v>
      </c>
      <c r="B764" t="inlineStr">
        <is>
          <t>SP</t>
        </is>
      </c>
      <c r="C764" t="inlineStr">
        <is>
          <t>SP</t>
        </is>
      </c>
      <c r="D764" t="inlineStr">
        <is>
          <t>São Paulo</t>
        </is>
      </c>
      <c r="E764" t="inlineStr">
        <is>
          <t>04_Acessibilidade</t>
        </is>
      </c>
      <c r="F764" t="inlineStr">
        <is>
          <t>Acessibilidade e atendimento humanizado</t>
        </is>
      </c>
      <c r="G764" t="inlineStr">
        <is>
          <t>Item 3 — Alcance dos públicos dos serviços penais</t>
        </is>
      </c>
      <c r="H764" t="inlineStr">
        <is>
          <t>M1-13</t>
        </is>
      </c>
      <c r="I764" t="inlineStr">
        <is>
          <t>04_Acessibilidade:M1-13</t>
        </is>
      </c>
      <c r="J764" t="inlineStr">
        <is>
          <t>Doc. SEI 37070578</t>
        </is>
      </c>
      <c r="K764" t="inlineStr">
        <is>
          <t>2026-09-23T11:46:31</t>
        </is>
      </c>
    </row>
    <row r="765">
      <c r="A765" t="n">
        <v>764</v>
      </c>
      <c r="B765" t="inlineStr">
        <is>
          <t>SP</t>
        </is>
      </c>
      <c r="C765" t="inlineStr">
        <is>
          <t>SP</t>
        </is>
      </c>
      <c r="D765" t="inlineStr">
        <is>
          <t>São Paulo</t>
        </is>
      </c>
      <c r="E765" t="inlineStr">
        <is>
          <t>04_Acessibilidade</t>
        </is>
      </c>
      <c r="F765" t="inlineStr">
        <is>
          <t>Acessibilidade e atendimento humanizado</t>
        </is>
      </c>
      <c r="G765" t="inlineStr">
        <is>
          <t>Item 3 — Alcance dos públicos dos serviços penais</t>
        </is>
      </c>
      <c r="H765" t="inlineStr">
        <is>
          <t>M4-64</t>
        </is>
      </c>
      <c r="I765" t="inlineStr">
        <is>
          <t>04_Acessibilidade:M4-64</t>
        </is>
      </c>
      <c r="J765" t="inlineStr">
        <is>
          <t>Doc. SEI 37070578</t>
        </is>
      </c>
      <c r="K765" t="inlineStr">
        <is>
          <t>2026-09-23T11:46:31</t>
        </is>
      </c>
    </row>
    <row r="766">
      <c r="A766" t="n">
        <v>765</v>
      </c>
      <c r="B766" t="inlineStr">
        <is>
          <t>SP</t>
        </is>
      </c>
      <c r="C766" t="inlineStr">
        <is>
          <t>SP</t>
        </is>
      </c>
      <c r="D766" t="inlineStr">
        <is>
          <t>São Paulo</t>
        </is>
      </c>
      <c r="E766" t="inlineStr">
        <is>
          <t>05_Transparência</t>
        </is>
      </c>
      <c r="F766" t="inlineStr">
        <is>
          <t>Transparência e publicidade</t>
        </is>
      </c>
      <c r="G766" t="inlineStr">
        <is>
          <t>Item 1 — Visibilidade institucional e divulgação dos canais</t>
        </is>
      </c>
      <c r="H766" t="inlineStr">
        <is>
          <t>M2-35</t>
        </is>
      </c>
      <c r="I766" t="inlineStr">
        <is>
          <t>05_Transparência:M2-35</t>
        </is>
      </c>
      <c r="J766" t="inlineStr">
        <is>
          <t>Doc. SEI 37070578</t>
        </is>
      </c>
      <c r="K766" t="inlineStr">
        <is>
          <t>2026-09-23T11:46:31</t>
        </is>
      </c>
    </row>
    <row r="767">
      <c r="A767" t="n">
        <v>766</v>
      </c>
      <c r="B767" t="inlineStr">
        <is>
          <t>SP</t>
        </is>
      </c>
      <c r="C767" t="inlineStr">
        <is>
          <t>SP</t>
        </is>
      </c>
      <c r="D767" t="inlineStr">
        <is>
          <t>São Paulo</t>
        </is>
      </c>
      <c r="E767" t="inlineStr">
        <is>
          <t>05_Transparência</t>
        </is>
      </c>
      <c r="F767" t="inlineStr">
        <is>
          <t>Transparência e publicidade</t>
        </is>
      </c>
      <c r="G767" t="inlineStr">
        <is>
          <t>Item 2 — Publicidade das ações e atividades</t>
        </is>
      </c>
      <c r="H767" t="inlineStr">
        <is>
          <t>M4-71</t>
        </is>
      </c>
      <c r="I767" t="inlineStr">
        <is>
          <t>05_Transparência:M4-71</t>
        </is>
      </c>
      <c r="J767" t="inlineStr">
        <is>
          <t>Doc. SEI 37070578</t>
        </is>
      </c>
      <c r="K767" t="inlineStr">
        <is>
          <t>2026-09-23T11:46:31</t>
        </is>
      </c>
    </row>
    <row r="768">
      <c r="A768" t="n">
        <v>767</v>
      </c>
      <c r="B768" t="inlineStr">
        <is>
          <t>SP</t>
        </is>
      </c>
      <c r="C768" t="inlineStr">
        <is>
          <t>SP</t>
        </is>
      </c>
      <c r="D768" t="inlineStr">
        <is>
          <t>São Paulo</t>
        </is>
      </c>
      <c r="E768" t="inlineStr">
        <is>
          <t>06_Integração Tec</t>
        </is>
      </c>
      <c r="F768" t="inlineStr">
        <is>
          <t>Integração tecnológica</t>
        </is>
      </c>
      <c r="G768" t="inlineStr">
        <is>
          <t>Item 1 — Canal eletrônico e solução para registro e gestão das manifestações</t>
        </is>
      </c>
      <c r="H768" t="inlineStr">
        <is>
          <t>M2-45</t>
        </is>
      </c>
      <c r="I768" t="inlineStr">
        <is>
          <t>06_Integração Tec:M2-45</t>
        </is>
      </c>
      <c r="J768" t="inlineStr">
        <is>
          <t>Doc. SEI 37070578</t>
        </is>
      </c>
      <c r="K768" t="inlineStr">
        <is>
          <t>2026-09-23T11:46:31</t>
        </is>
      </c>
    </row>
    <row r="769">
      <c r="A769" t="n">
        <v>768</v>
      </c>
      <c r="B769" t="inlineStr">
        <is>
          <t>SP</t>
        </is>
      </c>
      <c r="C769" t="inlineStr">
        <is>
          <t>SP</t>
        </is>
      </c>
      <c r="D769" t="inlineStr">
        <is>
          <t>São Paulo</t>
        </is>
      </c>
      <c r="E769" t="inlineStr">
        <is>
          <t>06_Integração Tec</t>
        </is>
      </c>
      <c r="F769" t="inlineStr">
        <is>
          <t>Integração tecnológica</t>
        </is>
      </c>
      <c r="G769" t="inlineStr">
        <is>
          <t>Item 2 — Registro, protocolo, rastreabilidade e acompanhamento</t>
        </is>
      </c>
      <c r="H769" t="inlineStr">
        <is>
          <t>M4-66</t>
        </is>
      </c>
      <c r="I769" t="inlineStr">
        <is>
          <t>06_Integração Tec:M4-66</t>
        </is>
      </c>
      <c r="J769" t="inlineStr">
        <is>
          <t>Doc. SEI 37070578</t>
        </is>
      </c>
      <c r="K769" t="inlineStr">
        <is>
          <t>2026-09-23T11:46:31</t>
        </is>
      </c>
    </row>
    <row r="770">
      <c r="A770" t="n">
        <v>769</v>
      </c>
      <c r="B770" t="inlineStr">
        <is>
          <t>SP</t>
        </is>
      </c>
      <c r="C770" t="inlineStr">
        <is>
          <t>SP</t>
        </is>
      </c>
      <c r="D770" t="inlineStr">
        <is>
          <t>São Paulo</t>
        </is>
      </c>
      <c r="E770" t="inlineStr">
        <is>
          <t>06_Integração Tec</t>
        </is>
      </c>
      <c r="F770" t="inlineStr">
        <is>
          <t>Integração tecnológica</t>
        </is>
      </c>
      <c r="G770" t="inlineStr">
        <is>
          <t>Item 3 — Sigilo, autenticação e controle de acesso</t>
        </is>
      </c>
      <c r="H770" t="inlineStr">
        <is>
          <t>M2-37</t>
        </is>
      </c>
      <c r="I770" t="inlineStr">
        <is>
          <t>06_Integração Tec:M2-37</t>
        </is>
      </c>
      <c r="J770" t="inlineStr">
        <is>
          <t>Doc. SEI 37070578</t>
        </is>
      </c>
      <c r="K770" t="inlineStr">
        <is>
          <t>2026-09-23T11:46:31</t>
        </is>
      </c>
    </row>
    <row r="771">
      <c r="A771" t="n">
        <v>770</v>
      </c>
      <c r="B771" t="inlineStr">
        <is>
          <t>SP</t>
        </is>
      </c>
      <c r="C771" t="inlineStr">
        <is>
          <t>SP</t>
        </is>
      </c>
      <c r="D771" t="inlineStr">
        <is>
          <t>São Paulo</t>
        </is>
      </c>
      <c r="E771" t="inlineStr">
        <is>
          <t>06_Integração Tec</t>
        </is>
      </c>
      <c r="F771" t="inlineStr">
        <is>
          <t>Integração tecnológica</t>
        </is>
      </c>
      <c r="G771" t="inlineStr">
        <is>
          <t>Item 4 — Computadores e acesso à internet</t>
        </is>
      </c>
      <c r="H771" t="inlineStr">
        <is>
          <t>M2-17</t>
        </is>
      </c>
      <c r="I771" t="inlineStr">
        <is>
          <t>06_Integração Tec:M2-17</t>
        </is>
      </c>
      <c r="J771" t="inlineStr">
        <is>
          <t>Doc. SEI 37070578</t>
        </is>
      </c>
      <c r="K771" t="inlineStr">
        <is>
          <t>2026-09-23T11:46:31</t>
        </is>
      </c>
    </row>
    <row r="772">
      <c r="A772" t="n">
        <v>771</v>
      </c>
      <c r="B772" t="inlineStr">
        <is>
          <t>SP</t>
        </is>
      </c>
      <c r="C772" t="inlineStr">
        <is>
          <t>SP</t>
        </is>
      </c>
      <c r="D772" t="inlineStr">
        <is>
          <t>São Paulo</t>
        </is>
      </c>
      <c r="E772" t="inlineStr">
        <is>
          <t>06_Integração Tec</t>
        </is>
      </c>
      <c r="F772" t="inlineStr">
        <is>
          <t>Integração tecnológica</t>
        </is>
      </c>
      <c r="G772" t="inlineStr">
        <is>
          <t>Item 5 — Impressoras e scanners</t>
        </is>
      </c>
      <c r="H772" t="inlineStr">
        <is>
          <t>M2-19</t>
        </is>
      </c>
      <c r="I772" t="inlineStr">
        <is>
          <t>06_Integração Tec:M2-19</t>
        </is>
      </c>
      <c r="J772" t="inlineStr">
        <is>
          <t>Doc. SEI 37070578</t>
        </is>
      </c>
      <c r="K772" t="inlineStr">
        <is>
          <t>2026-09-23T11:46:31</t>
        </is>
      </c>
    </row>
    <row r="773">
      <c r="A773" t="n">
        <v>772</v>
      </c>
      <c r="B773" t="inlineStr">
        <is>
          <t>SP</t>
        </is>
      </c>
      <c r="C773" t="inlineStr">
        <is>
          <t>SP</t>
        </is>
      </c>
      <c r="D773" t="inlineStr">
        <is>
          <t>São Paulo</t>
        </is>
      </c>
      <c r="E773" t="inlineStr">
        <is>
          <t>06_Integração Tec</t>
        </is>
      </c>
      <c r="F773" t="inlineStr">
        <is>
          <t>Integração tecnológica</t>
        </is>
      </c>
      <c r="G773" t="inlineStr">
        <is>
          <t>Item 5 — Impressoras e scanners</t>
        </is>
      </c>
      <c r="H773" t="inlineStr">
        <is>
          <t>M2-21</t>
        </is>
      </c>
      <c r="I773" t="inlineStr">
        <is>
          <t>06_Integração Tec:M2-21</t>
        </is>
      </c>
      <c r="J773" t="inlineStr">
        <is>
          <t>Doc. SEI 37070578</t>
        </is>
      </c>
      <c r="K773" t="inlineStr">
        <is>
          <t>2026-09-23T11:46:31</t>
        </is>
      </c>
    </row>
    <row r="774">
      <c r="A774" t="n">
        <v>773</v>
      </c>
      <c r="B774" t="inlineStr">
        <is>
          <t>SP</t>
        </is>
      </c>
      <c r="C774" t="inlineStr">
        <is>
          <t>SP</t>
        </is>
      </c>
      <c r="D774" t="inlineStr">
        <is>
          <t>São Paulo</t>
        </is>
      </c>
      <c r="E774" t="inlineStr">
        <is>
          <t>06_Integração Tec</t>
        </is>
      </c>
      <c r="F774" t="inlineStr">
        <is>
          <t>Integração tecnológica</t>
        </is>
      </c>
      <c r="G774" t="inlineStr">
        <is>
          <t>Item 6 — Aparelhos de telefone celular</t>
        </is>
      </c>
      <c r="H774" t="inlineStr">
        <is>
          <t>M2-27</t>
        </is>
      </c>
      <c r="I774" t="inlineStr">
        <is>
          <t>06_Integração Tec:M2-27</t>
        </is>
      </c>
      <c r="J774" t="inlineStr">
        <is>
          <t>Doc. SEI 37070578</t>
        </is>
      </c>
      <c r="K774" t="inlineStr">
        <is>
          <t>2026-09-23T11:46:31</t>
        </is>
      </c>
    </row>
    <row r="775">
      <c r="A775" t="n">
        <v>774</v>
      </c>
      <c r="B775" t="inlineStr">
        <is>
          <t>SP</t>
        </is>
      </c>
      <c r="C775" t="inlineStr">
        <is>
          <t>SP</t>
        </is>
      </c>
      <c r="D775" t="inlineStr">
        <is>
          <t>São Paulo</t>
        </is>
      </c>
      <c r="E775" t="inlineStr">
        <is>
          <t>07_Maturidade</t>
        </is>
      </c>
      <c r="F775" t="inlineStr">
        <is>
          <t>Maturidade / bônus</t>
        </is>
      </c>
      <c r="G775" t="inlineStr">
        <is>
          <t>Bônus — Uso do canal Fala.BR</t>
        </is>
      </c>
      <c r="H775" t="inlineStr">
        <is>
          <t>M2-46</t>
        </is>
      </c>
      <c r="I775" t="inlineStr">
        <is>
          <t>07_Maturidade:M2-46</t>
        </is>
      </c>
      <c r="J775" t="inlineStr">
        <is>
          <t>Doc. SEI 37070578</t>
        </is>
      </c>
      <c r="K775" t="inlineStr">
        <is>
          <t>2026-09-23T11:46:31</t>
        </is>
      </c>
    </row>
    <row r="776">
      <c r="A776" t="n">
        <v>775</v>
      </c>
      <c r="B776" t="inlineStr">
        <is>
          <t>SP</t>
        </is>
      </c>
      <c r="C776" t="inlineStr">
        <is>
          <t>SP</t>
        </is>
      </c>
      <c r="D776" t="inlineStr">
        <is>
          <t>São Paulo</t>
        </is>
      </c>
      <c r="E776" t="inlineStr">
        <is>
          <t>07_Maturidade</t>
        </is>
      </c>
      <c r="F776" t="inlineStr">
        <is>
          <t>Maturidade / bônus</t>
        </is>
      </c>
      <c r="G776" t="inlineStr">
        <is>
          <t>Bônus — Designação por mandato</t>
        </is>
      </c>
      <c r="H776" t="inlineStr">
        <is>
          <t>M0-08</t>
        </is>
      </c>
      <c r="I776" t="inlineStr">
        <is>
          <t>07_Maturidade:M0-08</t>
        </is>
      </c>
      <c r="J776" t="inlineStr">
        <is>
          <t>Doc. SEI 37070578</t>
        </is>
      </c>
      <c r="K776" t="inlineStr">
        <is>
          <t>2026-09-23T11:46:31</t>
        </is>
      </c>
    </row>
    <row r="777">
      <c r="A777" t="n">
        <v>776</v>
      </c>
      <c r="B777" t="inlineStr">
        <is>
          <t>SP</t>
        </is>
      </c>
      <c r="C777" t="inlineStr">
        <is>
          <t>SP</t>
        </is>
      </c>
      <c r="D777" t="inlineStr">
        <is>
          <t>São Paulo</t>
        </is>
      </c>
      <c r="E777" t="inlineStr">
        <is>
          <t>07_Maturidade</t>
        </is>
      </c>
      <c r="F777" t="inlineStr">
        <is>
          <t>Maturidade / bônus</t>
        </is>
      </c>
      <c r="G777" t="inlineStr">
        <is>
          <t>Bônus — Dedicação da equipe</t>
        </is>
      </c>
      <c r="H777" t="inlineStr">
        <is>
          <t>M3-60</t>
        </is>
      </c>
      <c r="I777" t="inlineStr">
        <is>
          <t>07_Maturidade:M3-60</t>
        </is>
      </c>
      <c r="J777" t="inlineStr">
        <is>
          <t>Doc. SEI 37070578</t>
        </is>
      </c>
      <c r="K777" t="inlineStr">
        <is>
          <t>2026-09-23T11:46:31</t>
        </is>
      </c>
    </row>
    <row r="778">
      <c r="A778" t="n">
        <v>777</v>
      </c>
      <c r="B778" t="inlineStr">
        <is>
          <t>SP</t>
        </is>
      </c>
      <c r="C778" t="inlineStr">
        <is>
          <t>SP</t>
        </is>
      </c>
      <c r="D778" t="inlineStr">
        <is>
          <t>São Paulo</t>
        </is>
      </c>
      <c r="E778" t="inlineStr">
        <is>
          <t>07_Maturidade</t>
        </is>
      </c>
      <c r="F778" t="inlineStr">
        <is>
          <t>Maturidade / bônus</t>
        </is>
      </c>
      <c r="G778" t="inlineStr">
        <is>
          <t>Bônus — Requisitos de perfil para o cargo de Ouvidor</t>
        </is>
      </c>
      <c r="H778" t="inlineStr">
        <is>
          <t>M3-58</t>
        </is>
      </c>
      <c r="I778" t="inlineStr">
        <is>
          <t>07_Maturidade:M3-58</t>
        </is>
      </c>
      <c r="J778" t="inlineStr">
        <is>
          <t>Doc. SEI 37070578</t>
        </is>
      </c>
      <c r="K778" t="inlineStr">
        <is>
          <t>2026-09-23T11:46:31</t>
        </is>
      </c>
    </row>
    <row r="779">
      <c r="A779" t="n">
        <v>778</v>
      </c>
      <c r="B779" t="inlineStr">
        <is>
          <t>SP</t>
        </is>
      </c>
      <c r="C779" t="inlineStr">
        <is>
          <t>SP</t>
        </is>
      </c>
      <c r="D779" t="inlineStr">
        <is>
          <t>São Paulo</t>
        </is>
      </c>
      <c r="E779" t="inlineStr">
        <is>
          <t>07_Maturidade</t>
        </is>
      </c>
      <c r="F779" t="inlineStr">
        <is>
          <t>Maturidade / bônus</t>
        </is>
      </c>
      <c r="G779" t="inlineStr">
        <is>
          <t>Bônus — WhatsApp institucional</t>
        </is>
      </c>
      <c r="H779" t="inlineStr">
        <is>
          <t>M2-50</t>
        </is>
      </c>
      <c r="I779" t="inlineStr">
        <is>
          <t>07_Maturidade:M2-50</t>
        </is>
      </c>
      <c r="J779" t="inlineStr">
        <is>
          <t>Doc. SEI 37070578</t>
        </is>
      </c>
      <c r="K779" t="inlineStr">
        <is>
          <t>2026-09-23T11:46:31</t>
        </is>
      </c>
    </row>
    <row r="780">
      <c r="A780" t="n">
        <v>779</v>
      </c>
      <c r="B780" t="inlineStr">
        <is>
          <t>SP</t>
        </is>
      </c>
      <c r="C780" t="inlineStr">
        <is>
          <t>SP</t>
        </is>
      </c>
      <c r="D780" t="inlineStr">
        <is>
          <t>São Paulo</t>
        </is>
      </c>
      <c r="E780" t="inlineStr">
        <is>
          <t>07_Maturidade</t>
        </is>
      </c>
      <c r="F780" t="inlineStr">
        <is>
          <t>Maturidade / bônus</t>
        </is>
      </c>
      <c r="G780" t="inlineStr">
        <is>
          <t>Bônus — Outros canais eletrônicos institucionais</t>
        </is>
      </c>
      <c r="H780" t="inlineStr">
        <is>
          <t>M2-49</t>
        </is>
      </c>
      <c r="I780" t="inlineStr">
        <is>
          <t>07_Maturidade:M2-49</t>
        </is>
      </c>
      <c r="J780" t="inlineStr">
        <is>
          <t>Doc. SEI 37070578</t>
        </is>
      </c>
      <c r="K780" t="inlineStr">
        <is>
          <t>2026-09-23T11:46:31</t>
        </is>
      </c>
    </row>
    <row r="781">
      <c r="A781" t="n">
        <v>780</v>
      </c>
      <c r="B781" t="inlineStr">
        <is>
          <t>SP</t>
        </is>
      </c>
      <c r="C781" t="inlineStr">
        <is>
          <t>SP</t>
        </is>
      </c>
      <c r="D781" t="inlineStr">
        <is>
          <t>São Paulo</t>
        </is>
      </c>
      <c r="E781" t="inlineStr">
        <is>
          <t>07_Maturidade</t>
        </is>
      </c>
      <c r="F781" t="inlineStr">
        <is>
          <t>Maturidade / bônus</t>
        </is>
      </c>
      <c r="G781" t="inlineStr">
        <is>
          <t>Bônus — Materiais adicionais de divulgação e educação em direitos</t>
        </is>
      </c>
      <c r="H781" t="inlineStr">
        <is>
          <t>M2-36</t>
        </is>
      </c>
      <c r="I781" t="inlineStr">
        <is>
          <t>07_Maturidade:M2-36</t>
        </is>
      </c>
      <c r="J781" t="inlineStr">
        <is>
          <t>Doc. SEI 37070578</t>
        </is>
      </c>
      <c r="K781" t="inlineStr">
        <is>
          <t>2026-09-23T11:46:31</t>
        </is>
      </c>
    </row>
    <row r="782">
      <c r="A782" t="n">
        <v>781</v>
      </c>
      <c r="B782" t="inlineStr">
        <is>
          <t>SE</t>
        </is>
      </c>
      <c r="C782" t="inlineStr">
        <is>
          <t>SE</t>
        </is>
      </c>
      <c r="D782" t="inlineStr">
        <is>
          <t>Sergipe</t>
        </is>
      </c>
      <c r="E782" t="inlineStr">
        <is>
          <t>01_Institucionalização</t>
        </is>
      </c>
      <c r="F782" t="inlineStr">
        <is>
          <t>Institucionalização</t>
        </is>
      </c>
      <c r="G782" t="inlineStr">
        <is>
          <t>Item 1 — Instituição formal da Ouvidoria de Serviços Penais</t>
        </is>
      </c>
      <c r="H782" t="inlineStr">
        <is>
          <t>M1-11</t>
        </is>
      </c>
      <c r="I782" t="inlineStr">
        <is>
          <t>01_Institucionalização:M1-11</t>
        </is>
      </c>
      <c r="J782" t="inlineStr">
        <is>
          <t>Doc. SEI 37070578</t>
        </is>
      </c>
      <c r="K782" t="inlineStr">
        <is>
          <t>2026-09-23T11:46:31</t>
        </is>
      </c>
    </row>
    <row r="783">
      <c r="A783" t="n">
        <v>782</v>
      </c>
      <c r="B783" t="inlineStr">
        <is>
          <t>SE</t>
        </is>
      </c>
      <c r="C783" t="inlineStr">
        <is>
          <t>SE</t>
        </is>
      </c>
      <c r="D783" t="inlineStr">
        <is>
          <t>Sergipe</t>
        </is>
      </c>
      <c r="E783" t="inlineStr">
        <is>
          <t>02_Autonomia</t>
        </is>
      </c>
      <c r="F783" t="inlineStr">
        <is>
          <t>Autonomia técnica e funcional</t>
        </is>
      </c>
      <c r="G783" t="inlineStr">
        <is>
          <t>Item 1 — Garantia normativa de autonomia técnica/funcional</t>
        </is>
      </c>
      <c r="H783" t="inlineStr">
        <is>
          <t>M3-56</t>
        </is>
      </c>
      <c r="I783" t="inlineStr">
        <is>
          <t>02_Autonomia:M3-56</t>
        </is>
      </c>
      <c r="J783" t="inlineStr">
        <is>
          <t>Doc. SEI 37070578</t>
        </is>
      </c>
      <c r="K783" t="inlineStr">
        <is>
          <t>2026-09-23T11:46:31</t>
        </is>
      </c>
    </row>
    <row r="784">
      <c r="A784" t="n">
        <v>783</v>
      </c>
      <c r="B784" t="inlineStr">
        <is>
          <t>SE</t>
        </is>
      </c>
      <c r="C784" t="inlineStr">
        <is>
          <t>SE</t>
        </is>
      </c>
      <c r="D784" t="inlineStr">
        <is>
          <t>Sergipe</t>
        </is>
      </c>
      <c r="E784" t="inlineStr">
        <is>
          <t>02_Autonomia</t>
        </is>
      </c>
      <c r="F784" t="inlineStr">
        <is>
          <t>Autonomia técnica e funcional</t>
        </is>
      </c>
      <c r="G784" t="inlineStr">
        <is>
          <t>Item 1 — Garantia normativa de autonomia técnica/funcional</t>
        </is>
      </c>
      <c r="H784" t="inlineStr">
        <is>
          <t>M3-57</t>
        </is>
      </c>
      <c r="I784" t="inlineStr">
        <is>
          <t>02_Autonomia:M3-57</t>
        </is>
      </c>
      <c r="J784" t="inlineStr">
        <is>
          <t>Doc. SEI 37070578</t>
        </is>
      </c>
      <c r="K784" t="inlineStr">
        <is>
          <t>2026-09-23T11:46:31</t>
        </is>
      </c>
    </row>
    <row r="785">
      <c r="A785" t="n">
        <v>784</v>
      </c>
      <c r="B785" t="inlineStr">
        <is>
          <t>SE</t>
        </is>
      </c>
      <c r="C785" t="inlineStr">
        <is>
          <t>SE</t>
        </is>
      </c>
      <c r="D785" t="inlineStr">
        <is>
          <t>Sergipe</t>
        </is>
      </c>
      <c r="E785" t="inlineStr">
        <is>
          <t>02_Autonomia</t>
        </is>
      </c>
      <c r="F785" t="inlineStr">
        <is>
          <t>Autonomia técnica e funcional</t>
        </is>
      </c>
      <c r="G785" t="inlineStr">
        <is>
          <t>Item 2 — Condições institucionais de atuação sem interferência indevida</t>
        </is>
      </c>
      <c r="H785" t="inlineStr">
        <is>
          <t>M1-12</t>
        </is>
      </c>
      <c r="I785" t="inlineStr">
        <is>
          <t>02_Autonomia:M1-12</t>
        </is>
      </c>
      <c r="J785" t="inlineStr">
        <is>
          <t>Doc. SEI 37070578</t>
        </is>
      </c>
      <c r="K785" t="inlineStr">
        <is>
          <t>2026-09-23T11:46:31</t>
        </is>
      </c>
    </row>
    <row r="786">
      <c r="A786" t="n">
        <v>785</v>
      </c>
      <c r="B786" t="inlineStr">
        <is>
          <t>SE</t>
        </is>
      </c>
      <c r="C786" t="inlineStr">
        <is>
          <t>SE</t>
        </is>
      </c>
      <c r="D786" t="inlineStr">
        <is>
          <t>Sergipe</t>
        </is>
      </c>
      <c r="E786" t="inlineStr">
        <is>
          <t>02_Autonomia</t>
        </is>
      </c>
      <c r="F786" t="inlineStr">
        <is>
          <t>Autonomia técnica e funcional</t>
        </is>
      </c>
      <c r="G786" t="inlineStr">
        <is>
          <t>Item 2 — Condições institucionais de atuação sem interferência indevida</t>
        </is>
      </c>
      <c r="H786" t="inlineStr">
        <is>
          <t>M4-67</t>
        </is>
      </c>
      <c r="I786" t="inlineStr">
        <is>
          <t>02_Autonomia:M4-67</t>
        </is>
      </c>
      <c r="J786" t="inlineStr">
        <is>
          <t>Doc. SEI 37070578</t>
        </is>
      </c>
      <c r="K786" t="inlineStr">
        <is>
          <t>2026-09-23T11:46:31</t>
        </is>
      </c>
    </row>
    <row r="787">
      <c r="A787" t="n">
        <v>786</v>
      </c>
      <c r="B787" t="inlineStr">
        <is>
          <t>SE</t>
        </is>
      </c>
      <c r="C787" t="inlineStr">
        <is>
          <t>SE</t>
        </is>
      </c>
      <c r="D787" t="inlineStr">
        <is>
          <t>Sergipe</t>
        </is>
      </c>
      <c r="E787" t="inlineStr">
        <is>
          <t>02_Autonomia</t>
        </is>
      </c>
      <c r="F787" t="inlineStr">
        <is>
          <t>Autonomia técnica e funcional</t>
        </is>
      </c>
      <c r="G787" t="inlineStr">
        <is>
          <t>Item 2 — Condições institucionais de atuação sem interferência indevida</t>
        </is>
      </c>
      <c r="H787" t="inlineStr">
        <is>
          <t>M4-68</t>
        </is>
      </c>
      <c r="I787" t="inlineStr">
        <is>
          <t>02_Autonomia:M4-68</t>
        </is>
      </c>
      <c r="J787" t="inlineStr">
        <is>
          <t>Doc. SEI 37070578</t>
        </is>
      </c>
      <c r="K787" t="inlineStr">
        <is>
          <t>2026-09-23T11:46:31</t>
        </is>
      </c>
    </row>
    <row r="788">
      <c r="A788" t="n">
        <v>787</v>
      </c>
      <c r="B788" t="inlineStr">
        <is>
          <t>SE</t>
        </is>
      </c>
      <c r="C788" t="inlineStr">
        <is>
          <t>SE</t>
        </is>
      </c>
      <c r="D788" t="inlineStr">
        <is>
          <t>Sergipe</t>
        </is>
      </c>
      <c r="E788" t="inlineStr">
        <is>
          <t>03_Imparcialidade</t>
        </is>
      </c>
      <c r="F788" t="inlineStr">
        <is>
          <t>Imparcialidade, sigilo e proteção</t>
        </is>
      </c>
      <c r="G788" t="inlineStr">
        <is>
          <t>Item 1 — Proteção e tratamento de denúncias graves e sensíveis</t>
        </is>
      </c>
      <c r="H788" t="inlineStr">
        <is>
          <t>M4-69</t>
        </is>
      </c>
      <c r="I788" t="inlineStr">
        <is>
          <t>03_Imparcialidade:M4-69</t>
        </is>
      </c>
      <c r="J788" t="inlineStr">
        <is>
          <t>Doc. SEI 37070578</t>
        </is>
      </c>
      <c r="K788" t="inlineStr">
        <is>
          <t>2026-09-23T11:46:31</t>
        </is>
      </c>
    </row>
    <row r="789">
      <c r="A789" t="n">
        <v>788</v>
      </c>
      <c r="B789" t="inlineStr">
        <is>
          <t>SE</t>
        </is>
      </c>
      <c r="C789" t="inlineStr">
        <is>
          <t>SE</t>
        </is>
      </c>
      <c r="D789" t="inlineStr">
        <is>
          <t>Sergipe</t>
        </is>
      </c>
      <c r="E789" t="inlineStr">
        <is>
          <t>03_Imparcialidade</t>
        </is>
      </c>
      <c r="F789" t="inlineStr">
        <is>
          <t>Imparcialidade, sigilo e proteção</t>
        </is>
      </c>
      <c r="G789" t="inlineStr">
        <is>
          <t>Item 2 — Confidencialidade e sigilo da equipe</t>
        </is>
      </c>
      <c r="H789" t="inlineStr">
        <is>
          <t>M3-63</t>
        </is>
      </c>
      <c r="I789" t="inlineStr">
        <is>
          <t>03_Imparcialidade:M3-63</t>
        </is>
      </c>
      <c r="J789" t="inlineStr">
        <is>
          <t>Doc. SEI 37070578</t>
        </is>
      </c>
      <c r="K789" t="inlineStr">
        <is>
          <t>2026-09-23T11:46:31</t>
        </is>
      </c>
    </row>
    <row r="790">
      <c r="A790" t="n">
        <v>789</v>
      </c>
      <c r="B790" t="inlineStr">
        <is>
          <t>SE</t>
        </is>
      </c>
      <c r="C790" t="inlineStr">
        <is>
          <t>SE</t>
        </is>
      </c>
      <c r="D790" t="inlineStr">
        <is>
          <t>Sergipe</t>
        </is>
      </c>
      <c r="E790" t="inlineStr">
        <is>
          <t>04_Acessibilidade</t>
        </is>
      </c>
      <c r="F790" t="inlineStr">
        <is>
          <t>Acessibilidade e atendimento humanizado</t>
        </is>
      </c>
      <c r="G790" t="inlineStr">
        <is>
          <t>Item 1 — Canais institucionais acessíveis</t>
        </is>
      </c>
      <c r="H790" t="inlineStr">
        <is>
          <t>M2-41</t>
        </is>
      </c>
      <c r="I790" t="inlineStr">
        <is>
          <t>04_Acessibilidade:M2-41</t>
        </is>
      </c>
      <c r="J790" t="inlineStr">
        <is>
          <t>Doc. SEI 37070578</t>
        </is>
      </c>
      <c r="K790" t="inlineStr">
        <is>
          <t>2026-09-23T11:46:31</t>
        </is>
      </c>
    </row>
    <row r="791">
      <c r="A791" t="n">
        <v>790</v>
      </c>
      <c r="B791" t="inlineStr">
        <is>
          <t>SE</t>
        </is>
      </c>
      <c r="C791" t="inlineStr">
        <is>
          <t>SE</t>
        </is>
      </c>
      <c r="D791" t="inlineStr">
        <is>
          <t>Sergipe</t>
        </is>
      </c>
      <c r="E791" t="inlineStr">
        <is>
          <t>04_Acessibilidade</t>
        </is>
      </c>
      <c r="F791" t="inlineStr">
        <is>
          <t>Acessibilidade e atendimento humanizado</t>
        </is>
      </c>
      <c r="G791" t="inlineStr">
        <is>
          <t>Item 1 — Canais institucionais acessíveis</t>
        </is>
      </c>
      <c r="H791" t="inlineStr">
        <is>
          <t>M2-43</t>
        </is>
      </c>
      <c r="I791" t="inlineStr">
        <is>
          <t>04_Acessibilidade:M2-43</t>
        </is>
      </c>
      <c r="J791" t="inlineStr">
        <is>
          <t>Doc. SEI 37070578</t>
        </is>
      </c>
      <c r="K791" t="inlineStr">
        <is>
          <t>2026-09-23T11:46:31</t>
        </is>
      </c>
    </row>
    <row r="792">
      <c r="A792" t="n">
        <v>791</v>
      </c>
      <c r="B792" t="inlineStr">
        <is>
          <t>SE</t>
        </is>
      </c>
      <c r="C792" t="inlineStr">
        <is>
          <t>SE</t>
        </is>
      </c>
      <c r="D792" t="inlineStr">
        <is>
          <t>Sergipe</t>
        </is>
      </c>
      <c r="E792" t="inlineStr">
        <is>
          <t>04_Acessibilidade</t>
        </is>
      </c>
      <c r="F792" t="inlineStr">
        <is>
          <t>Acessibilidade e atendimento humanizado</t>
        </is>
      </c>
      <c r="G792" t="inlineStr">
        <is>
          <t>Item 1 — Canais institucionais acessíveis</t>
        </is>
      </c>
      <c r="H792" t="inlineStr">
        <is>
          <t>M2-47</t>
        </is>
      </c>
      <c r="I792" t="inlineStr">
        <is>
          <t>04_Acessibilidade:M2-47</t>
        </is>
      </c>
      <c r="J792" t="inlineStr">
        <is>
          <t>Doc. SEI 37070578</t>
        </is>
      </c>
      <c r="K792" t="inlineStr">
        <is>
          <t>2026-09-23T11:46:31</t>
        </is>
      </c>
    </row>
    <row r="793">
      <c r="A793" t="n">
        <v>792</v>
      </c>
      <c r="B793" t="inlineStr">
        <is>
          <t>SE</t>
        </is>
      </c>
      <c r="C793" t="inlineStr">
        <is>
          <t>SE</t>
        </is>
      </c>
      <c r="D793" t="inlineStr">
        <is>
          <t>Sergipe</t>
        </is>
      </c>
      <c r="E793" t="inlineStr">
        <is>
          <t>04_Acessibilidade</t>
        </is>
      </c>
      <c r="F793" t="inlineStr">
        <is>
          <t>Acessibilidade e atendimento humanizado</t>
        </is>
      </c>
      <c r="G793" t="inlineStr">
        <is>
          <t>Item 2 — Condições de atendimento reservado e acessível</t>
        </is>
      </c>
      <c r="H793" t="inlineStr">
        <is>
          <t>M2-16</t>
        </is>
      </c>
      <c r="I793" t="inlineStr">
        <is>
          <t>04_Acessibilidade:M2-16</t>
        </is>
      </c>
      <c r="J793" t="inlineStr">
        <is>
          <t>Doc. SEI 37070578</t>
        </is>
      </c>
      <c r="K793" t="inlineStr">
        <is>
          <t>2026-09-23T11:46:31</t>
        </is>
      </c>
    </row>
    <row r="794">
      <c r="A794" t="n">
        <v>793</v>
      </c>
      <c r="B794" t="inlineStr">
        <is>
          <t>SE</t>
        </is>
      </c>
      <c r="C794" t="inlineStr">
        <is>
          <t>SE</t>
        </is>
      </c>
      <c r="D794" t="inlineStr">
        <is>
          <t>Sergipe</t>
        </is>
      </c>
      <c r="E794" t="inlineStr">
        <is>
          <t>04_Acessibilidade</t>
        </is>
      </c>
      <c r="F794" t="inlineStr">
        <is>
          <t>Acessibilidade e atendimento humanizado</t>
        </is>
      </c>
      <c r="G794" t="inlineStr">
        <is>
          <t>Item 3 — Alcance dos públicos dos serviços penais</t>
        </is>
      </c>
      <c r="H794" t="inlineStr">
        <is>
          <t>M1-13</t>
        </is>
      </c>
      <c r="I794" t="inlineStr">
        <is>
          <t>04_Acessibilidade:M1-13</t>
        </is>
      </c>
      <c r="J794" t="inlineStr">
        <is>
          <t>Doc. SEI 37070578</t>
        </is>
      </c>
      <c r="K794" t="inlineStr">
        <is>
          <t>2026-09-23T11:46:31</t>
        </is>
      </c>
    </row>
    <row r="795">
      <c r="A795" t="n">
        <v>794</v>
      </c>
      <c r="B795" t="inlineStr">
        <is>
          <t>SE</t>
        </is>
      </c>
      <c r="C795" t="inlineStr">
        <is>
          <t>SE</t>
        </is>
      </c>
      <c r="D795" t="inlineStr">
        <is>
          <t>Sergipe</t>
        </is>
      </c>
      <c r="E795" t="inlineStr">
        <is>
          <t>04_Acessibilidade</t>
        </is>
      </c>
      <c r="F795" t="inlineStr">
        <is>
          <t>Acessibilidade e atendimento humanizado</t>
        </is>
      </c>
      <c r="G795" t="inlineStr">
        <is>
          <t>Item 3 — Alcance dos públicos dos serviços penais</t>
        </is>
      </c>
      <c r="H795" t="inlineStr">
        <is>
          <t>M4-64</t>
        </is>
      </c>
      <c r="I795" t="inlineStr">
        <is>
          <t>04_Acessibilidade:M4-64</t>
        </is>
      </c>
      <c r="J795" t="inlineStr">
        <is>
          <t>Doc. SEI 37070578</t>
        </is>
      </c>
      <c r="K795" t="inlineStr">
        <is>
          <t>2026-09-23T11:46:31</t>
        </is>
      </c>
    </row>
    <row r="796">
      <c r="A796" t="n">
        <v>795</v>
      </c>
      <c r="B796" t="inlineStr">
        <is>
          <t>SE</t>
        </is>
      </c>
      <c r="C796" t="inlineStr">
        <is>
          <t>SE</t>
        </is>
      </c>
      <c r="D796" t="inlineStr">
        <is>
          <t>Sergipe</t>
        </is>
      </c>
      <c r="E796" t="inlineStr">
        <is>
          <t>05_Transparência</t>
        </is>
      </c>
      <c r="F796" t="inlineStr">
        <is>
          <t>Transparência e publicidade</t>
        </is>
      </c>
      <c r="G796" t="inlineStr">
        <is>
          <t>Item 1 — Visibilidade institucional e divulgação dos canais</t>
        </is>
      </c>
      <c r="H796" t="inlineStr">
        <is>
          <t>M2-35</t>
        </is>
      </c>
      <c r="I796" t="inlineStr">
        <is>
          <t>05_Transparência:M2-35</t>
        </is>
      </c>
      <c r="J796" t="inlineStr">
        <is>
          <t>Doc. SEI 37070578</t>
        </is>
      </c>
      <c r="K796" t="inlineStr">
        <is>
          <t>2026-09-23T11:46:31</t>
        </is>
      </c>
    </row>
    <row r="797">
      <c r="A797" t="n">
        <v>796</v>
      </c>
      <c r="B797" t="inlineStr">
        <is>
          <t>SE</t>
        </is>
      </c>
      <c r="C797" t="inlineStr">
        <is>
          <t>SE</t>
        </is>
      </c>
      <c r="D797" t="inlineStr">
        <is>
          <t>Sergipe</t>
        </is>
      </c>
      <c r="E797" t="inlineStr">
        <is>
          <t>05_Transparência</t>
        </is>
      </c>
      <c r="F797" t="inlineStr">
        <is>
          <t>Transparência e publicidade</t>
        </is>
      </c>
      <c r="G797" t="inlineStr">
        <is>
          <t>Item 2 — Publicidade das ações e atividades</t>
        </is>
      </c>
      <c r="H797" t="inlineStr">
        <is>
          <t>M4-71</t>
        </is>
      </c>
      <c r="I797" t="inlineStr">
        <is>
          <t>05_Transparência:M4-71</t>
        </is>
      </c>
      <c r="J797" t="inlineStr">
        <is>
          <t>Doc. SEI 37070578</t>
        </is>
      </c>
      <c r="K797" t="inlineStr">
        <is>
          <t>2026-09-23T11:46:31</t>
        </is>
      </c>
    </row>
    <row r="798">
      <c r="A798" t="n">
        <v>797</v>
      </c>
      <c r="B798" t="inlineStr">
        <is>
          <t>SE</t>
        </is>
      </c>
      <c r="C798" t="inlineStr">
        <is>
          <t>SE</t>
        </is>
      </c>
      <c r="D798" t="inlineStr">
        <is>
          <t>Sergipe</t>
        </is>
      </c>
      <c r="E798" t="inlineStr">
        <is>
          <t>06_Integração Tec</t>
        </is>
      </c>
      <c r="F798" t="inlineStr">
        <is>
          <t>Integração tecnológica</t>
        </is>
      </c>
      <c r="G798" t="inlineStr">
        <is>
          <t>Item 1 — Canal eletrônico e solução para registro e gestão das manifestações</t>
        </is>
      </c>
      <c r="H798" t="inlineStr">
        <is>
          <t>M2-45</t>
        </is>
      </c>
      <c r="I798" t="inlineStr">
        <is>
          <t>06_Integração Tec:M2-45</t>
        </is>
      </c>
      <c r="J798" t="inlineStr">
        <is>
          <t>Doc. SEI 37070578</t>
        </is>
      </c>
      <c r="K798" t="inlineStr">
        <is>
          <t>2026-09-23T11:46:31</t>
        </is>
      </c>
    </row>
    <row r="799">
      <c r="A799" t="n">
        <v>798</v>
      </c>
      <c r="B799" t="inlineStr">
        <is>
          <t>SE</t>
        </is>
      </c>
      <c r="C799" t="inlineStr">
        <is>
          <t>SE</t>
        </is>
      </c>
      <c r="D799" t="inlineStr">
        <is>
          <t>Sergipe</t>
        </is>
      </c>
      <c r="E799" t="inlineStr">
        <is>
          <t>06_Integração Tec</t>
        </is>
      </c>
      <c r="F799" t="inlineStr">
        <is>
          <t>Integração tecnológica</t>
        </is>
      </c>
      <c r="G799" t="inlineStr">
        <is>
          <t>Item 2 — Registro, protocolo, rastreabilidade e acompanhamento</t>
        </is>
      </c>
      <c r="H799" t="inlineStr">
        <is>
          <t>M4-66</t>
        </is>
      </c>
      <c r="I799" t="inlineStr">
        <is>
          <t>06_Integração Tec:M4-66</t>
        </is>
      </c>
      <c r="J799" t="inlineStr">
        <is>
          <t>Doc. SEI 37070578</t>
        </is>
      </c>
      <c r="K799" t="inlineStr">
        <is>
          <t>2026-09-23T11:46:31</t>
        </is>
      </c>
    </row>
    <row r="800">
      <c r="A800" t="n">
        <v>799</v>
      </c>
      <c r="B800" t="inlineStr">
        <is>
          <t>SE</t>
        </is>
      </c>
      <c r="C800" t="inlineStr">
        <is>
          <t>SE</t>
        </is>
      </c>
      <c r="D800" t="inlineStr">
        <is>
          <t>Sergipe</t>
        </is>
      </c>
      <c r="E800" t="inlineStr">
        <is>
          <t>06_Integração Tec</t>
        </is>
      </c>
      <c r="F800" t="inlineStr">
        <is>
          <t>Integração tecnológica</t>
        </is>
      </c>
      <c r="G800" t="inlineStr">
        <is>
          <t>Item 3 — Sigilo, autenticação e controle de acesso</t>
        </is>
      </c>
      <c r="H800" t="inlineStr">
        <is>
          <t>M2-37</t>
        </is>
      </c>
      <c r="I800" t="inlineStr">
        <is>
          <t>06_Integração Tec:M2-37</t>
        </is>
      </c>
      <c r="J800" t="inlineStr">
        <is>
          <t>Doc. SEI 37070578</t>
        </is>
      </c>
      <c r="K800" t="inlineStr">
        <is>
          <t>2026-09-23T11:46:31</t>
        </is>
      </c>
    </row>
    <row r="801">
      <c r="A801" t="n">
        <v>800</v>
      </c>
      <c r="B801" t="inlineStr">
        <is>
          <t>SE</t>
        </is>
      </c>
      <c r="C801" t="inlineStr">
        <is>
          <t>SE</t>
        </is>
      </c>
      <c r="D801" t="inlineStr">
        <is>
          <t>Sergipe</t>
        </is>
      </c>
      <c r="E801" t="inlineStr">
        <is>
          <t>06_Integração Tec</t>
        </is>
      </c>
      <c r="F801" t="inlineStr">
        <is>
          <t>Integração tecnológica</t>
        </is>
      </c>
      <c r="G801" t="inlineStr">
        <is>
          <t>Item 4 — Computadores e acesso à internet</t>
        </is>
      </c>
      <c r="H801" t="inlineStr">
        <is>
          <t>M2-17</t>
        </is>
      </c>
      <c r="I801" t="inlineStr">
        <is>
          <t>06_Integração Tec:M2-17</t>
        </is>
      </c>
      <c r="J801" t="inlineStr">
        <is>
          <t>Doc. SEI 37070578</t>
        </is>
      </c>
      <c r="K801" t="inlineStr">
        <is>
          <t>2026-09-23T11:46:31</t>
        </is>
      </c>
    </row>
    <row r="802">
      <c r="A802" t="n">
        <v>801</v>
      </c>
      <c r="B802" t="inlineStr">
        <is>
          <t>SE</t>
        </is>
      </c>
      <c r="C802" t="inlineStr">
        <is>
          <t>SE</t>
        </is>
      </c>
      <c r="D802" t="inlineStr">
        <is>
          <t>Sergipe</t>
        </is>
      </c>
      <c r="E802" t="inlineStr">
        <is>
          <t>06_Integração Tec</t>
        </is>
      </c>
      <c r="F802" t="inlineStr">
        <is>
          <t>Integração tecnológica</t>
        </is>
      </c>
      <c r="G802" t="inlineStr">
        <is>
          <t>Item 5 — Impressoras e scanners</t>
        </is>
      </c>
      <c r="H802" t="inlineStr">
        <is>
          <t>M2-19</t>
        </is>
      </c>
      <c r="I802" t="inlineStr">
        <is>
          <t>06_Integração Tec:M2-19</t>
        </is>
      </c>
      <c r="J802" t="inlineStr">
        <is>
          <t>Doc. SEI 37070578</t>
        </is>
      </c>
      <c r="K802" t="inlineStr">
        <is>
          <t>2026-09-23T11:46:31</t>
        </is>
      </c>
    </row>
    <row r="803">
      <c r="A803" t="n">
        <v>802</v>
      </c>
      <c r="B803" t="inlineStr">
        <is>
          <t>SE</t>
        </is>
      </c>
      <c r="C803" t="inlineStr">
        <is>
          <t>SE</t>
        </is>
      </c>
      <c r="D803" t="inlineStr">
        <is>
          <t>Sergipe</t>
        </is>
      </c>
      <c r="E803" t="inlineStr">
        <is>
          <t>06_Integração Tec</t>
        </is>
      </c>
      <c r="F803" t="inlineStr">
        <is>
          <t>Integração tecnológica</t>
        </is>
      </c>
      <c r="G803" t="inlineStr">
        <is>
          <t>Item 5 — Impressoras e scanners</t>
        </is>
      </c>
      <c r="H803" t="inlineStr">
        <is>
          <t>M2-21</t>
        </is>
      </c>
      <c r="I803" t="inlineStr">
        <is>
          <t>06_Integração Tec:M2-21</t>
        </is>
      </c>
      <c r="J803" t="inlineStr">
        <is>
          <t>Doc. SEI 37070578</t>
        </is>
      </c>
      <c r="K803" t="inlineStr">
        <is>
          <t>2026-09-23T11:46:31</t>
        </is>
      </c>
    </row>
    <row r="804">
      <c r="A804" t="n">
        <v>803</v>
      </c>
      <c r="B804" t="inlineStr">
        <is>
          <t>SE</t>
        </is>
      </c>
      <c r="C804" t="inlineStr">
        <is>
          <t>SE</t>
        </is>
      </c>
      <c r="D804" t="inlineStr">
        <is>
          <t>Sergipe</t>
        </is>
      </c>
      <c r="E804" t="inlineStr">
        <is>
          <t>06_Integração Tec</t>
        </is>
      </c>
      <c r="F804" t="inlineStr">
        <is>
          <t>Integração tecnológica</t>
        </is>
      </c>
      <c r="G804" t="inlineStr">
        <is>
          <t>Item 6 — Aparelhos de telefone celular</t>
        </is>
      </c>
      <c r="H804" t="inlineStr">
        <is>
          <t>M2-27</t>
        </is>
      </c>
      <c r="I804" t="inlineStr">
        <is>
          <t>06_Integração Tec:M2-27</t>
        </is>
      </c>
      <c r="J804" t="inlineStr">
        <is>
          <t>Doc. SEI 37070578</t>
        </is>
      </c>
      <c r="K804" t="inlineStr">
        <is>
          <t>2026-09-23T11:46:31</t>
        </is>
      </c>
    </row>
    <row r="805">
      <c r="A805" t="n">
        <v>804</v>
      </c>
      <c r="B805" t="inlineStr">
        <is>
          <t>SE</t>
        </is>
      </c>
      <c r="C805" t="inlineStr">
        <is>
          <t>SE</t>
        </is>
      </c>
      <c r="D805" t="inlineStr">
        <is>
          <t>Sergipe</t>
        </is>
      </c>
      <c r="E805" t="inlineStr">
        <is>
          <t>07_Maturidade</t>
        </is>
      </c>
      <c r="F805" t="inlineStr">
        <is>
          <t>Maturidade / bônus</t>
        </is>
      </c>
      <c r="G805" t="inlineStr">
        <is>
          <t>Bônus — Uso do canal Fala.BR</t>
        </is>
      </c>
      <c r="H805" t="inlineStr">
        <is>
          <t>M2-46</t>
        </is>
      </c>
      <c r="I805" t="inlineStr">
        <is>
          <t>07_Maturidade:M2-46</t>
        </is>
      </c>
      <c r="J805" t="inlineStr">
        <is>
          <t>Doc. SEI 37070578</t>
        </is>
      </c>
      <c r="K805" t="inlineStr">
        <is>
          <t>2026-09-23T11:46:31</t>
        </is>
      </c>
    </row>
    <row r="806">
      <c r="A806" t="n">
        <v>805</v>
      </c>
      <c r="B806" t="inlineStr">
        <is>
          <t>SE</t>
        </is>
      </c>
      <c r="C806" t="inlineStr">
        <is>
          <t>SE</t>
        </is>
      </c>
      <c r="D806" t="inlineStr">
        <is>
          <t>Sergipe</t>
        </is>
      </c>
      <c r="E806" t="inlineStr">
        <is>
          <t>07_Maturidade</t>
        </is>
      </c>
      <c r="F806" t="inlineStr">
        <is>
          <t>Maturidade / bônus</t>
        </is>
      </c>
      <c r="G806" t="inlineStr">
        <is>
          <t>Bônus — Designação por mandato</t>
        </is>
      </c>
      <c r="H806" t="inlineStr">
        <is>
          <t>M0-08</t>
        </is>
      </c>
      <c r="I806" t="inlineStr">
        <is>
          <t>07_Maturidade:M0-08</t>
        </is>
      </c>
      <c r="J806" t="inlineStr">
        <is>
          <t>Doc. SEI 37070578</t>
        </is>
      </c>
      <c r="K806" t="inlineStr">
        <is>
          <t>2026-09-23T11:46:31</t>
        </is>
      </c>
    </row>
    <row r="807">
      <c r="A807" t="n">
        <v>806</v>
      </c>
      <c r="B807" t="inlineStr">
        <is>
          <t>SE</t>
        </is>
      </c>
      <c r="C807" t="inlineStr">
        <is>
          <t>SE</t>
        </is>
      </c>
      <c r="D807" t="inlineStr">
        <is>
          <t>Sergipe</t>
        </is>
      </c>
      <c r="E807" t="inlineStr">
        <is>
          <t>07_Maturidade</t>
        </is>
      </c>
      <c r="F807" t="inlineStr">
        <is>
          <t>Maturidade / bônus</t>
        </is>
      </c>
      <c r="G807" t="inlineStr">
        <is>
          <t>Bônus — Dedicação da equipe</t>
        </is>
      </c>
      <c r="H807" t="inlineStr">
        <is>
          <t>M3-60</t>
        </is>
      </c>
      <c r="I807" t="inlineStr">
        <is>
          <t>07_Maturidade:M3-60</t>
        </is>
      </c>
      <c r="J807" t="inlineStr">
        <is>
          <t>Doc. SEI 37070578</t>
        </is>
      </c>
      <c r="K807" t="inlineStr">
        <is>
          <t>2026-09-23T11:46:31</t>
        </is>
      </c>
    </row>
    <row r="808">
      <c r="A808" t="n">
        <v>807</v>
      </c>
      <c r="B808" t="inlineStr">
        <is>
          <t>SE</t>
        </is>
      </c>
      <c r="C808" t="inlineStr">
        <is>
          <t>SE</t>
        </is>
      </c>
      <c r="D808" t="inlineStr">
        <is>
          <t>Sergipe</t>
        </is>
      </c>
      <c r="E808" t="inlineStr">
        <is>
          <t>07_Maturidade</t>
        </is>
      </c>
      <c r="F808" t="inlineStr">
        <is>
          <t>Maturidade / bônus</t>
        </is>
      </c>
      <c r="G808" t="inlineStr">
        <is>
          <t>Bônus — Requisitos de perfil para o cargo de Ouvidor</t>
        </is>
      </c>
      <c r="H808" t="inlineStr">
        <is>
          <t>M3-58</t>
        </is>
      </c>
      <c r="I808" t="inlineStr">
        <is>
          <t>07_Maturidade:M3-58</t>
        </is>
      </c>
      <c r="J808" t="inlineStr">
        <is>
          <t>Doc. SEI 37070578</t>
        </is>
      </c>
      <c r="K808" t="inlineStr">
        <is>
          <t>2026-09-23T11:46:31</t>
        </is>
      </c>
    </row>
    <row r="809">
      <c r="A809" t="n">
        <v>808</v>
      </c>
      <c r="B809" t="inlineStr">
        <is>
          <t>SE</t>
        </is>
      </c>
      <c r="C809" t="inlineStr">
        <is>
          <t>SE</t>
        </is>
      </c>
      <c r="D809" t="inlineStr">
        <is>
          <t>Sergipe</t>
        </is>
      </c>
      <c r="E809" t="inlineStr">
        <is>
          <t>07_Maturidade</t>
        </is>
      </c>
      <c r="F809" t="inlineStr">
        <is>
          <t>Maturidade / bônus</t>
        </is>
      </c>
      <c r="G809" t="inlineStr">
        <is>
          <t>Bônus — WhatsApp institucional</t>
        </is>
      </c>
      <c r="H809" t="inlineStr">
        <is>
          <t>M2-50</t>
        </is>
      </c>
      <c r="I809" t="inlineStr">
        <is>
          <t>07_Maturidade:M2-50</t>
        </is>
      </c>
      <c r="J809" t="inlineStr">
        <is>
          <t>Doc. SEI 37070578</t>
        </is>
      </c>
      <c r="K809" t="inlineStr">
        <is>
          <t>2026-09-23T11:46:31</t>
        </is>
      </c>
    </row>
    <row r="810">
      <c r="A810" t="n">
        <v>809</v>
      </c>
      <c r="B810" t="inlineStr">
        <is>
          <t>SE</t>
        </is>
      </c>
      <c r="C810" t="inlineStr">
        <is>
          <t>SE</t>
        </is>
      </c>
      <c r="D810" t="inlineStr">
        <is>
          <t>Sergipe</t>
        </is>
      </c>
      <c r="E810" t="inlineStr">
        <is>
          <t>07_Maturidade</t>
        </is>
      </c>
      <c r="F810" t="inlineStr">
        <is>
          <t>Maturidade / bônus</t>
        </is>
      </c>
      <c r="G810" t="inlineStr">
        <is>
          <t>Bônus — Outros canais eletrônicos institucionais</t>
        </is>
      </c>
      <c r="H810" t="inlineStr">
        <is>
          <t>M2-49</t>
        </is>
      </c>
      <c r="I810" t="inlineStr">
        <is>
          <t>07_Maturidade:M2-49</t>
        </is>
      </c>
      <c r="J810" t="inlineStr">
        <is>
          <t>Doc. SEI 37070578</t>
        </is>
      </c>
      <c r="K810" t="inlineStr">
        <is>
          <t>2026-09-23T11:46:31</t>
        </is>
      </c>
    </row>
    <row r="811">
      <c r="A811" t="n">
        <v>810</v>
      </c>
      <c r="B811" t="inlineStr">
        <is>
          <t>SE</t>
        </is>
      </c>
      <c r="C811" t="inlineStr">
        <is>
          <t>SE</t>
        </is>
      </c>
      <c r="D811" t="inlineStr">
        <is>
          <t>Sergipe</t>
        </is>
      </c>
      <c r="E811" t="inlineStr">
        <is>
          <t>07_Maturidade</t>
        </is>
      </c>
      <c r="F811" t="inlineStr">
        <is>
          <t>Maturidade / bônus</t>
        </is>
      </c>
      <c r="G811" t="inlineStr">
        <is>
          <t>Bônus — Materiais adicionais de divulgação e educação em direitos</t>
        </is>
      </c>
      <c r="H811" t="inlineStr">
        <is>
          <t>M2-36</t>
        </is>
      </c>
      <c r="I811" t="inlineStr">
        <is>
          <t>07_Maturidade:M2-36</t>
        </is>
      </c>
      <c r="J811" t="inlineStr">
        <is>
          <t>Doc. SEI 37070578</t>
        </is>
      </c>
      <c r="K811" t="inlineStr">
        <is>
          <t>2026-09-23T11:46:31</t>
        </is>
      </c>
    </row>
    <row r="812">
      <c r="A812" t="n">
        <v>811</v>
      </c>
      <c r="B812" t="inlineStr">
        <is>
          <t>TO</t>
        </is>
      </c>
      <c r="C812" t="inlineStr">
        <is>
          <t>TO</t>
        </is>
      </c>
      <c r="D812" t="inlineStr">
        <is>
          <t>Tocantins</t>
        </is>
      </c>
      <c r="E812" t="inlineStr">
        <is>
          <t>01_Institucionalização</t>
        </is>
      </c>
      <c r="F812" t="inlineStr">
        <is>
          <t>Institucionalização</t>
        </is>
      </c>
      <c r="G812" t="inlineStr">
        <is>
          <t>Item 1 — Instituição formal da Ouvidoria de Serviços Penais</t>
        </is>
      </c>
      <c r="H812" t="inlineStr">
        <is>
          <t>M1-11</t>
        </is>
      </c>
      <c r="I812" t="inlineStr">
        <is>
          <t>01_Institucionalização:M1-11</t>
        </is>
      </c>
      <c r="J812" t="inlineStr">
        <is>
          <t>Doc. SEI 37070578</t>
        </is>
      </c>
      <c r="K812" t="inlineStr">
        <is>
          <t>2026-09-23T11:46:31</t>
        </is>
      </c>
    </row>
    <row r="813">
      <c r="A813" t="n">
        <v>812</v>
      </c>
      <c r="B813" t="inlineStr">
        <is>
          <t>TO</t>
        </is>
      </c>
      <c r="C813" t="inlineStr">
        <is>
          <t>TO</t>
        </is>
      </c>
      <c r="D813" t="inlineStr">
        <is>
          <t>Tocantins</t>
        </is>
      </c>
      <c r="E813" t="inlineStr">
        <is>
          <t>02_Autonomia</t>
        </is>
      </c>
      <c r="F813" t="inlineStr">
        <is>
          <t>Autonomia técnica e funcional</t>
        </is>
      </c>
      <c r="G813" t="inlineStr">
        <is>
          <t>Item 1 — Garantia normativa de autonomia técnica/funcional</t>
        </is>
      </c>
      <c r="H813" t="inlineStr">
        <is>
          <t>M3-56</t>
        </is>
      </c>
      <c r="I813" t="inlineStr">
        <is>
          <t>02_Autonomia:M3-56</t>
        </is>
      </c>
      <c r="J813" t="inlineStr">
        <is>
          <t>Doc. SEI 37070578</t>
        </is>
      </c>
      <c r="K813" t="inlineStr">
        <is>
          <t>2026-09-23T11:46:31</t>
        </is>
      </c>
    </row>
    <row r="814">
      <c r="A814" t="n">
        <v>813</v>
      </c>
      <c r="B814" t="inlineStr">
        <is>
          <t>TO</t>
        </is>
      </c>
      <c r="C814" t="inlineStr">
        <is>
          <t>TO</t>
        </is>
      </c>
      <c r="D814" t="inlineStr">
        <is>
          <t>Tocantins</t>
        </is>
      </c>
      <c r="E814" t="inlineStr">
        <is>
          <t>02_Autonomia</t>
        </is>
      </c>
      <c r="F814" t="inlineStr">
        <is>
          <t>Autonomia técnica e funcional</t>
        </is>
      </c>
      <c r="G814" t="inlineStr">
        <is>
          <t>Item 1 — Garantia normativa de autonomia técnica/funcional</t>
        </is>
      </c>
      <c r="H814" t="inlineStr">
        <is>
          <t>M3-57</t>
        </is>
      </c>
      <c r="I814" t="inlineStr">
        <is>
          <t>02_Autonomia:M3-57</t>
        </is>
      </c>
      <c r="J814" t="inlineStr">
        <is>
          <t>Doc. SEI 37070578</t>
        </is>
      </c>
      <c r="K814" t="inlineStr">
        <is>
          <t>2026-09-23T11:46:31</t>
        </is>
      </c>
    </row>
    <row r="815">
      <c r="A815" t="n">
        <v>814</v>
      </c>
      <c r="B815" t="inlineStr">
        <is>
          <t>TO</t>
        </is>
      </c>
      <c r="C815" t="inlineStr">
        <is>
          <t>TO</t>
        </is>
      </c>
      <c r="D815" t="inlineStr">
        <is>
          <t>Tocantins</t>
        </is>
      </c>
      <c r="E815" t="inlineStr">
        <is>
          <t>02_Autonomia</t>
        </is>
      </c>
      <c r="F815" t="inlineStr">
        <is>
          <t>Autonomia técnica e funcional</t>
        </is>
      </c>
      <c r="G815" t="inlineStr">
        <is>
          <t>Item 2 — Condições institucionais de atuação sem interferência indevida</t>
        </is>
      </c>
      <c r="H815" t="inlineStr">
        <is>
          <t>M1-12</t>
        </is>
      </c>
      <c r="I815" t="inlineStr">
        <is>
          <t>02_Autonomia:M1-12</t>
        </is>
      </c>
      <c r="J815" t="inlineStr">
        <is>
          <t>Doc. SEI 37070578</t>
        </is>
      </c>
      <c r="K815" t="inlineStr">
        <is>
          <t>2026-09-23T11:46:31</t>
        </is>
      </c>
    </row>
    <row r="816">
      <c r="A816" t="n">
        <v>815</v>
      </c>
      <c r="B816" t="inlineStr">
        <is>
          <t>TO</t>
        </is>
      </c>
      <c r="C816" t="inlineStr">
        <is>
          <t>TO</t>
        </is>
      </c>
      <c r="D816" t="inlineStr">
        <is>
          <t>Tocantins</t>
        </is>
      </c>
      <c r="E816" t="inlineStr">
        <is>
          <t>02_Autonomia</t>
        </is>
      </c>
      <c r="F816" t="inlineStr">
        <is>
          <t>Autonomia técnica e funcional</t>
        </is>
      </c>
      <c r="G816" t="inlineStr">
        <is>
          <t>Item 2 — Condições institucionais de atuação sem interferência indevida</t>
        </is>
      </c>
      <c r="H816" t="inlineStr">
        <is>
          <t>M4-67</t>
        </is>
      </c>
      <c r="I816" t="inlineStr">
        <is>
          <t>02_Autonomia:M4-67</t>
        </is>
      </c>
      <c r="J816" t="inlineStr">
        <is>
          <t>Doc. SEI 37070578</t>
        </is>
      </c>
      <c r="K816" t="inlineStr">
        <is>
          <t>2026-09-23T11:46:31</t>
        </is>
      </c>
    </row>
    <row r="817">
      <c r="A817" t="n">
        <v>816</v>
      </c>
      <c r="B817" t="inlineStr">
        <is>
          <t>TO</t>
        </is>
      </c>
      <c r="C817" t="inlineStr">
        <is>
          <t>TO</t>
        </is>
      </c>
      <c r="D817" t="inlineStr">
        <is>
          <t>Tocantins</t>
        </is>
      </c>
      <c r="E817" t="inlineStr">
        <is>
          <t>02_Autonomia</t>
        </is>
      </c>
      <c r="F817" t="inlineStr">
        <is>
          <t>Autonomia técnica e funcional</t>
        </is>
      </c>
      <c r="G817" t="inlineStr">
        <is>
          <t>Item 2 — Condições institucionais de atuação sem interferência indevida</t>
        </is>
      </c>
      <c r="H817" t="inlineStr">
        <is>
          <t>M4-68</t>
        </is>
      </c>
      <c r="I817" t="inlineStr">
        <is>
          <t>02_Autonomia:M4-68</t>
        </is>
      </c>
      <c r="J817" t="inlineStr">
        <is>
          <t>Doc. SEI 37070578</t>
        </is>
      </c>
      <c r="K817" t="inlineStr">
        <is>
          <t>2026-09-23T11:46:31</t>
        </is>
      </c>
    </row>
    <row r="818">
      <c r="A818" t="n">
        <v>817</v>
      </c>
      <c r="B818" t="inlineStr">
        <is>
          <t>TO</t>
        </is>
      </c>
      <c r="C818" t="inlineStr">
        <is>
          <t>TO</t>
        </is>
      </c>
      <c r="D818" t="inlineStr">
        <is>
          <t>Tocantins</t>
        </is>
      </c>
      <c r="E818" t="inlineStr">
        <is>
          <t>03_Imparcialidade</t>
        </is>
      </c>
      <c r="F818" t="inlineStr">
        <is>
          <t>Imparcialidade, sigilo e proteção</t>
        </is>
      </c>
      <c r="G818" t="inlineStr">
        <is>
          <t>Item 1 — Proteção e tratamento de denúncias graves e sensíveis</t>
        </is>
      </c>
      <c r="H818" t="inlineStr">
        <is>
          <t>M4-69</t>
        </is>
      </c>
      <c r="I818" t="inlineStr">
        <is>
          <t>03_Imparcialidade:M4-69</t>
        </is>
      </c>
      <c r="J818" t="inlineStr">
        <is>
          <t>Doc. SEI 37070578</t>
        </is>
      </c>
      <c r="K818" t="inlineStr">
        <is>
          <t>2026-09-23T11:46:31</t>
        </is>
      </c>
    </row>
    <row r="819">
      <c r="A819" t="n">
        <v>818</v>
      </c>
      <c r="B819" t="inlineStr">
        <is>
          <t>TO</t>
        </is>
      </c>
      <c r="C819" t="inlineStr">
        <is>
          <t>TO</t>
        </is>
      </c>
      <c r="D819" t="inlineStr">
        <is>
          <t>Tocantins</t>
        </is>
      </c>
      <c r="E819" t="inlineStr">
        <is>
          <t>03_Imparcialidade</t>
        </is>
      </c>
      <c r="F819" t="inlineStr">
        <is>
          <t>Imparcialidade, sigilo e proteção</t>
        </is>
      </c>
      <c r="G819" t="inlineStr">
        <is>
          <t>Item 2 — Confidencialidade e sigilo da equipe</t>
        </is>
      </c>
      <c r="H819" t="inlineStr">
        <is>
          <t>M3-63</t>
        </is>
      </c>
      <c r="I819" t="inlineStr">
        <is>
          <t>03_Imparcialidade:M3-63</t>
        </is>
      </c>
      <c r="J819" t="inlineStr">
        <is>
          <t>Doc. SEI 37070578</t>
        </is>
      </c>
      <c r="K819" t="inlineStr">
        <is>
          <t>2026-09-23T11:46:31</t>
        </is>
      </c>
    </row>
    <row r="820">
      <c r="A820" t="n">
        <v>819</v>
      </c>
      <c r="B820" t="inlineStr">
        <is>
          <t>TO</t>
        </is>
      </c>
      <c r="C820" t="inlineStr">
        <is>
          <t>TO</t>
        </is>
      </c>
      <c r="D820" t="inlineStr">
        <is>
          <t>Tocantins</t>
        </is>
      </c>
      <c r="E820" t="inlineStr">
        <is>
          <t>04_Acessibilidade</t>
        </is>
      </c>
      <c r="F820" t="inlineStr">
        <is>
          <t>Acessibilidade e atendimento humanizado</t>
        </is>
      </c>
      <c r="G820" t="inlineStr">
        <is>
          <t>Item 1 — Canais institucionais acessíveis</t>
        </is>
      </c>
      <c r="H820" t="inlineStr">
        <is>
          <t>M2-41</t>
        </is>
      </c>
      <c r="I820" t="inlineStr">
        <is>
          <t>04_Acessibilidade:M2-41</t>
        </is>
      </c>
      <c r="J820" t="inlineStr">
        <is>
          <t>Doc. SEI 37070578</t>
        </is>
      </c>
      <c r="K820" t="inlineStr">
        <is>
          <t>2026-09-23T11:46:31</t>
        </is>
      </c>
    </row>
    <row r="821">
      <c r="A821" t="n">
        <v>820</v>
      </c>
      <c r="B821" t="inlineStr">
        <is>
          <t>TO</t>
        </is>
      </c>
      <c r="C821" t="inlineStr">
        <is>
          <t>TO</t>
        </is>
      </c>
      <c r="D821" t="inlineStr">
        <is>
          <t>Tocantins</t>
        </is>
      </c>
      <c r="E821" t="inlineStr">
        <is>
          <t>04_Acessibilidade</t>
        </is>
      </c>
      <c r="F821" t="inlineStr">
        <is>
          <t>Acessibilidade e atendimento humanizado</t>
        </is>
      </c>
      <c r="G821" t="inlineStr">
        <is>
          <t>Item 1 — Canais institucionais acessíveis</t>
        </is>
      </c>
      <c r="H821" t="inlineStr">
        <is>
          <t>M2-43</t>
        </is>
      </c>
      <c r="I821" t="inlineStr">
        <is>
          <t>04_Acessibilidade:M2-43</t>
        </is>
      </c>
      <c r="J821" t="inlineStr">
        <is>
          <t>Doc. SEI 37070578</t>
        </is>
      </c>
      <c r="K821" t="inlineStr">
        <is>
          <t>2026-09-23T11:46:31</t>
        </is>
      </c>
    </row>
    <row r="822">
      <c r="A822" t="n">
        <v>821</v>
      </c>
      <c r="B822" t="inlineStr">
        <is>
          <t>TO</t>
        </is>
      </c>
      <c r="C822" t="inlineStr">
        <is>
          <t>TO</t>
        </is>
      </c>
      <c r="D822" t="inlineStr">
        <is>
          <t>Tocantins</t>
        </is>
      </c>
      <c r="E822" t="inlineStr">
        <is>
          <t>04_Acessibilidade</t>
        </is>
      </c>
      <c r="F822" t="inlineStr">
        <is>
          <t>Acessibilidade e atendimento humanizado</t>
        </is>
      </c>
      <c r="G822" t="inlineStr">
        <is>
          <t>Item 1 — Canais institucionais acessíveis</t>
        </is>
      </c>
      <c r="H822" t="inlineStr">
        <is>
          <t>M2-47</t>
        </is>
      </c>
      <c r="I822" t="inlineStr">
        <is>
          <t>04_Acessibilidade:M2-47</t>
        </is>
      </c>
      <c r="J822" t="inlineStr">
        <is>
          <t>Doc. SEI 37070578</t>
        </is>
      </c>
      <c r="K822" t="inlineStr">
        <is>
          <t>2026-09-23T11:46:31</t>
        </is>
      </c>
    </row>
    <row r="823">
      <c r="A823" t="n">
        <v>822</v>
      </c>
      <c r="B823" t="inlineStr">
        <is>
          <t>TO</t>
        </is>
      </c>
      <c r="C823" t="inlineStr">
        <is>
          <t>TO</t>
        </is>
      </c>
      <c r="D823" t="inlineStr">
        <is>
          <t>Tocantins</t>
        </is>
      </c>
      <c r="E823" t="inlineStr">
        <is>
          <t>04_Acessibilidade</t>
        </is>
      </c>
      <c r="F823" t="inlineStr">
        <is>
          <t>Acessibilidade e atendimento humanizado</t>
        </is>
      </c>
      <c r="G823" t="inlineStr">
        <is>
          <t>Item 2 — Condições de atendimento reservado e acessível</t>
        </is>
      </c>
      <c r="H823" t="inlineStr">
        <is>
          <t>M2-16</t>
        </is>
      </c>
      <c r="I823" t="inlineStr">
        <is>
          <t>04_Acessibilidade:M2-16</t>
        </is>
      </c>
      <c r="J823" t="inlineStr">
        <is>
          <t>Doc. SEI 37070578</t>
        </is>
      </c>
      <c r="K823" t="inlineStr">
        <is>
          <t>2026-09-23T11:46:31</t>
        </is>
      </c>
    </row>
    <row r="824">
      <c r="A824" t="n">
        <v>823</v>
      </c>
      <c r="B824" t="inlineStr">
        <is>
          <t>TO</t>
        </is>
      </c>
      <c r="C824" t="inlineStr">
        <is>
          <t>TO</t>
        </is>
      </c>
      <c r="D824" t="inlineStr">
        <is>
          <t>Tocantins</t>
        </is>
      </c>
      <c r="E824" t="inlineStr">
        <is>
          <t>04_Acessibilidade</t>
        </is>
      </c>
      <c r="F824" t="inlineStr">
        <is>
          <t>Acessibilidade e atendimento humanizado</t>
        </is>
      </c>
      <c r="G824" t="inlineStr">
        <is>
          <t>Item 3 — Alcance dos públicos dos serviços penais</t>
        </is>
      </c>
      <c r="H824" t="inlineStr">
        <is>
          <t>M1-13</t>
        </is>
      </c>
      <c r="I824" t="inlineStr">
        <is>
          <t>04_Acessibilidade:M1-13</t>
        </is>
      </c>
      <c r="J824" t="inlineStr">
        <is>
          <t>Doc. SEI 37070578</t>
        </is>
      </c>
      <c r="K824" t="inlineStr">
        <is>
          <t>2026-09-23T11:46:31</t>
        </is>
      </c>
    </row>
    <row r="825">
      <c r="A825" t="n">
        <v>824</v>
      </c>
      <c r="B825" t="inlineStr">
        <is>
          <t>TO</t>
        </is>
      </c>
      <c r="C825" t="inlineStr">
        <is>
          <t>TO</t>
        </is>
      </c>
      <c r="D825" t="inlineStr">
        <is>
          <t>Tocantins</t>
        </is>
      </c>
      <c r="E825" t="inlineStr">
        <is>
          <t>04_Acessibilidade</t>
        </is>
      </c>
      <c r="F825" t="inlineStr">
        <is>
          <t>Acessibilidade e atendimento humanizado</t>
        </is>
      </c>
      <c r="G825" t="inlineStr">
        <is>
          <t>Item 3 — Alcance dos públicos dos serviços penais</t>
        </is>
      </c>
      <c r="H825" t="inlineStr">
        <is>
          <t>M4-64</t>
        </is>
      </c>
      <c r="I825" t="inlineStr">
        <is>
          <t>04_Acessibilidade:M4-64</t>
        </is>
      </c>
      <c r="J825" t="inlineStr">
        <is>
          <t>Doc. SEI 37070578</t>
        </is>
      </c>
      <c r="K825" t="inlineStr">
        <is>
          <t>2026-09-23T11:46:31</t>
        </is>
      </c>
    </row>
    <row r="826">
      <c r="A826" t="n">
        <v>825</v>
      </c>
      <c r="B826" t="inlineStr">
        <is>
          <t>TO</t>
        </is>
      </c>
      <c r="C826" t="inlineStr">
        <is>
          <t>TO</t>
        </is>
      </c>
      <c r="D826" t="inlineStr">
        <is>
          <t>Tocantins</t>
        </is>
      </c>
      <c r="E826" t="inlineStr">
        <is>
          <t>05_Transparência</t>
        </is>
      </c>
      <c r="F826" t="inlineStr">
        <is>
          <t>Transparência e publicidade</t>
        </is>
      </c>
      <c r="G826" t="inlineStr">
        <is>
          <t>Item 1 — Visibilidade institucional e divulgação dos canais</t>
        </is>
      </c>
      <c r="H826" t="inlineStr">
        <is>
          <t>M2-35</t>
        </is>
      </c>
      <c r="I826" t="inlineStr">
        <is>
          <t>05_Transparência:M2-35</t>
        </is>
      </c>
      <c r="J826" t="inlineStr">
        <is>
          <t>Doc. SEI 37070578</t>
        </is>
      </c>
      <c r="K826" t="inlineStr">
        <is>
          <t>2026-09-23T11:46:31</t>
        </is>
      </c>
    </row>
    <row r="827">
      <c r="A827" t="n">
        <v>826</v>
      </c>
      <c r="B827" t="inlineStr">
        <is>
          <t>TO</t>
        </is>
      </c>
      <c r="C827" t="inlineStr">
        <is>
          <t>TO</t>
        </is>
      </c>
      <c r="D827" t="inlineStr">
        <is>
          <t>Tocantins</t>
        </is>
      </c>
      <c r="E827" t="inlineStr">
        <is>
          <t>05_Transparência</t>
        </is>
      </c>
      <c r="F827" t="inlineStr">
        <is>
          <t>Transparência e publicidade</t>
        </is>
      </c>
      <c r="G827" t="inlineStr">
        <is>
          <t>Item 2 — Publicidade das ações e atividades</t>
        </is>
      </c>
      <c r="H827" t="inlineStr">
        <is>
          <t>M4-71</t>
        </is>
      </c>
      <c r="I827" t="inlineStr">
        <is>
          <t>05_Transparência:M4-71</t>
        </is>
      </c>
      <c r="J827" t="inlineStr">
        <is>
          <t>Doc. SEI 37070578</t>
        </is>
      </c>
      <c r="K827" t="inlineStr">
        <is>
          <t>2026-09-23T11:46:31</t>
        </is>
      </c>
    </row>
    <row r="828">
      <c r="A828" t="n">
        <v>827</v>
      </c>
      <c r="B828" t="inlineStr">
        <is>
          <t>TO</t>
        </is>
      </c>
      <c r="C828" t="inlineStr">
        <is>
          <t>TO</t>
        </is>
      </c>
      <c r="D828" t="inlineStr">
        <is>
          <t>Tocantins</t>
        </is>
      </c>
      <c r="E828" t="inlineStr">
        <is>
          <t>06_Integração Tec</t>
        </is>
      </c>
      <c r="F828" t="inlineStr">
        <is>
          <t>Integração tecnológica</t>
        </is>
      </c>
      <c r="G828" t="inlineStr">
        <is>
          <t>Item 1 — Canal eletrônico e solução para registro e gestão das manifestações</t>
        </is>
      </c>
      <c r="H828" t="inlineStr">
        <is>
          <t>M2-45</t>
        </is>
      </c>
      <c r="I828" t="inlineStr">
        <is>
          <t>06_Integração Tec:M2-45</t>
        </is>
      </c>
      <c r="J828" t="inlineStr">
        <is>
          <t>Doc. SEI 37070578</t>
        </is>
      </c>
      <c r="K828" t="inlineStr">
        <is>
          <t>2026-09-23T11:46:31</t>
        </is>
      </c>
    </row>
    <row r="829">
      <c r="A829" t="n">
        <v>828</v>
      </c>
      <c r="B829" t="inlineStr">
        <is>
          <t>TO</t>
        </is>
      </c>
      <c r="C829" t="inlineStr">
        <is>
          <t>TO</t>
        </is>
      </c>
      <c r="D829" t="inlineStr">
        <is>
          <t>Tocantins</t>
        </is>
      </c>
      <c r="E829" t="inlineStr">
        <is>
          <t>06_Integração Tec</t>
        </is>
      </c>
      <c r="F829" t="inlineStr">
        <is>
          <t>Integração tecnológica</t>
        </is>
      </c>
      <c r="G829" t="inlineStr">
        <is>
          <t>Item 2 — Registro, protocolo, rastreabilidade e acompanhamento</t>
        </is>
      </c>
      <c r="H829" t="inlineStr">
        <is>
          <t>M4-66</t>
        </is>
      </c>
      <c r="I829" t="inlineStr">
        <is>
          <t>06_Integração Tec:M4-66</t>
        </is>
      </c>
      <c r="J829" t="inlineStr">
        <is>
          <t>Doc. SEI 37070578</t>
        </is>
      </c>
      <c r="K829" t="inlineStr">
        <is>
          <t>2026-09-23T11:46:31</t>
        </is>
      </c>
    </row>
    <row r="830">
      <c r="A830" t="n">
        <v>829</v>
      </c>
      <c r="B830" t="inlineStr">
        <is>
          <t>TO</t>
        </is>
      </c>
      <c r="C830" t="inlineStr">
        <is>
          <t>TO</t>
        </is>
      </c>
      <c r="D830" t="inlineStr">
        <is>
          <t>Tocantins</t>
        </is>
      </c>
      <c r="E830" t="inlineStr">
        <is>
          <t>06_Integração Tec</t>
        </is>
      </c>
      <c r="F830" t="inlineStr">
        <is>
          <t>Integração tecnológica</t>
        </is>
      </c>
      <c r="G830" t="inlineStr">
        <is>
          <t>Item 3 — Sigilo, autenticação e controle de acesso</t>
        </is>
      </c>
      <c r="H830" t="inlineStr">
        <is>
          <t>M2-37</t>
        </is>
      </c>
      <c r="I830" t="inlineStr">
        <is>
          <t>06_Integração Tec:M2-37</t>
        </is>
      </c>
      <c r="J830" t="inlineStr">
        <is>
          <t>Doc. SEI 37070578</t>
        </is>
      </c>
      <c r="K830" t="inlineStr">
        <is>
          <t>2026-09-23T11:46:31</t>
        </is>
      </c>
    </row>
    <row r="831">
      <c r="A831" t="n">
        <v>830</v>
      </c>
      <c r="B831" t="inlineStr">
        <is>
          <t>TO</t>
        </is>
      </c>
      <c r="C831" t="inlineStr">
        <is>
          <t>TO</t>
        </is>
      </c>
      <c r="D831" t="inlineStr">
        <is>
          <t>Tocantins</t>
        </is>
      </c>
      <c r="E831" t="inlineStr">
        <is>
          <t>06_Integração Tec</t>
        </is>
      </c>
      <c r="F831" t="inlineStr">
        <is>
          <t>Integração tecnológica</t>
        </is>
      </c>
      <c r="G831" t="inlineStr">
        <is>
          <t>Item 4 — Computadores e acesso à internet</t>
        </is>
      </c>
      <c r="H831" t="inlineStr">
        <is>
          <t>M2-17</t>
        </is>
      </c>
      <c r="I831" t="inlineStr">
        <is>
          <t>06_Integração Tec:M2-17</t>
        </is>
      </c>
      <c r="J831" t="inlineStr">
        <is>
          <t>Doc. SEI 37070578</t>
        </is>
      </c>
      <c r="K831" t="inlineStr">
        <is>
          <t>2026-09-23T11:46:31</t>
        </is>
      </c>
    </row>
    <row r="832">
      <c r="A832" t="n">
        <v>831</v>
      </c>
      <c r="B832" t="inlineStr">
        <is>
          <t>TO</t>
        </is>
      </c>
      <c r="C832" t="inlineStr">
        <is>
          <t>TO</t>
        </is>
      </c>
      <c r="D832" t="inlineStr">
        <is>
          <t>Tocantins</t>
        </is>
      </c>
      <c r="E832" t="inlineStr">
        <is>
          <t>06_Integração Tec</t>
        </is>
      </c>
      <c r="F832" t="inlineStr">
        <is>
          <t>Integração tecnológica</t>
        </is>
      </c>
      <c r="G832" t="inlineStr">
        <is>
          <t>Item 5 — Impressoras e scanners</t>
        </is>
      </c>
      <c r="H832" t="inlineStr">
        <is>
          <t>M2-19</t>
        </is>
      </c>
      <c r="I832" t="inlineStr">
        <is>
          <t>06_Integração Tec:M2-19</t>
        </is>
      </c>
      <c r="J832" t="inlineStr">
        <is>
          <t>Doc. SEI 37070578</t>
        </is>
      </c>
      <c r="K832" t="inlineStr">
        <is>
          <t>2026-09-23T11:46:31</t>
        </is>
      </c>
    </row>
    <row r="833">
      <c r="A833" t="n">
        <v>832</v>
      </c>
      <c r="B833" t="inlineStr">
        <is>
          <t>TO</t>
        </is>
      </c>
      <c r="C833" t="inlineStr">
        <is>
          <t>TO</t>
        </is>
      </c>
      <c r="D833" t="inlineStr">
        <is>
          <t>Tocantins</t>
        </is>
      </c>
      <c r="E833" t="inlineStr">
        <is>
          <t>06_Integração Tec</t>
        </is>
      </c>
      <c r="F833" t="inlineStr">
        <is>
          <t>Integração tecnológica</t>
        </is>
      </c>
      <c r="G833" t="inlineStr">
        <is>
          <t>Item 5 — Impressoras e scanners</t>
        </is>
      </c>
      <c r="H833" t="inlineStr">
        <is>
          <t>M2-21</t>
        </is>
      </c>
      <c r="I833" t="inlineStr">
        <is>
          <t>06_Integração Tec:M2-21</t>
        </is>
      </c>
      <c r="J833" t="inlineStr">
        <is>
          <t>Doc. SEI 37070578</t>
        </is>
      </c>
      <c r="K833" t="inlineStr">
        <is>
          <t>2026-09-23T11:46:31</t>
        </is>
      </c>
    </row>
    <row r="834">
      <c r="A834" t="n">
        <v>833</v>
      </c>
      <c r="B834" t="inlineStr">
        <is>
          <t>TO</t>
        </is>
      </c>
      <c r="C834" t="inlineStr">
        <is>
          <t>TO</t>
        </is>
      </c>
      <c r="D834" t="inlineStr">
        <is>
          <t>Tocantins</t>
        </is>
      </c>
      <c r="E834" t="inlineStr">
        <is>
          <t>06_Integração Tec</t>
        </is>
      </c>
      <c r="F834" t="inlineStr">
        <is>
          <t>Integração tecnológica</t>
        </is>
      </c>
      <c r="G834" t="inlineStr">
        <is>
          <t>Item 6 — Aparelhos de telefone celular</t>
        </is>
      </c>
      <c r="H834" t="inlineStr">
        <is>
          <t>M2-27</t>
        </is>
      </c>
      <c r="I834" t="inlineStr">
        <is>
          <t>06_Integração Tec:M2-27</t>
        </is>
      </c>
      <c r="J834" t="inlineStr">
        <is>
          <t>Doc. SEI 37070578</t>
        </is>
      </c>
      <c r="K834" t="inlineStr">
        <is>
          <t>2026-09-23T11:46:31</t>
        </is>
      </c>
    </row>
    <row r="835">
      <c r="A835" t="n">
        <v>834</v>
      </c>
      <c r="B835" t="inlineStr">
        <is>
          <t>TO</t>
        </is>
      </c>
      <c r="C835" t="inlineStr">
        <is>
          <t>TO</t>
        </is>
      </c>
      <c r="D835" t="inlineStr">
        <is>
          <t>Tocantins</t>
        </is>
      </c>
      <c r="E835" t="inlineStr">
        <is>
          <t>07_Maturidade</t>
        </is>
      </c>
      <c r="F835" t="inlineStr">
        <is>
          <t>Maturidade / bônus</t>
        </is>
      </c>
      <c r="G835" t="inlineStr">
        <is>
          <t>Bônus — Uso do canal Fala.BR</t>
        </is>
      </c>
      <c r="H835" t="inlineStr">
        <is>
          <t>M2-46</t>
        </is>
      </c>
      <c r="I835" t="inlineStr">
        <is>
          <t>07_Maturidade:M2-46</t>
        </is>
      </c>
      <c r="J835" t="inlineStr">
        <is>
          <t>Doc. SEI 37070578</t>
        </is>
      </c>
      <c r="K835" t="inlineStr">
        <is>
          <t>2026-09-23T11:46:31</t>
        </is>
      </c>
    </row>
    <row r="836">
      <c r="A836" t="n">
        <v>835</v>
      </c>
      <c r="B836" t="inlineStr">
        <is>
          <t>TO</t>
        </is>
      </c>
      <c r="C836" t="inlineStr">
        <is>
          <t>TO</t>
        </is>
      </c>
      <c r="D836" t="inlineStr">
        <is>
          <t>Tocantins</t>
        </is>
      </c>
      <c r="E836" t="inlineStr">
        <is>
          <t>07_Maturidade</t>
        </is>
      </c>
      <c r="F836" t="inlineStr">
        <is>
          <t>Maturidade / bônus</t>
        </is>
      </c>
      <c r="G836" t="inlineStr">
        <is>
          <t>Bônus — Designação por mandato</t>
        </is>
      </c>
      <c r="H836" t="inlineStr">
        <is>
          <t>M0-08</t>
        </is>
      </c>
      <c r="I836" t="inlineStr">
        <is>
          <t>07_Maturidade:M0-08</t>
        </is>
      </c>
      <c r="J836" t="inlineStr">
        <is>
          <t>Doc. SEI 37070578</t>
        </is>
      </c>
      <c r="K836" t="inlineStr">
        <is>
          <t>2026-09-23T11:46:31</t>
        </is>
      </c>
    </row>
    <row r="837">
      <c r="A837" t="n">
        <v>836</v>
      </c>
      <c r="B837" t="inlineStr">
        <is>
          <t>TO</t>
        </is>
      </c>
      <c r="C837" t="inlineStr">
        <is>
          <t>TO</t>
        </is>
      </c>
      <c r="D837" t="inlineStr">
        <is>
          <t>Tocantins</t>
        </is>
      </c>
      <c r="E837" t="inlineStr">
        <is>
          <t>07_Maturidade</t>
        </is>
      </c>
      <c r="F837" t="inlineStr">
        <is>
          <t>Maturidade / bônus</t>
        </is>
      </c>
      <c r="G837" t="inlineStr">
        <is>
          <t>Bônus — Dedicação da equipe</t>
        </is>
      </c>
      <c r="H837" t="inlineStr">
        <is>
          <t>M3-60</t>
        </is>
      </c>
      <c r="I837" t="inlineStr">
        <is>
          <t>07_Maturidade:M3-60</t>
        </is>
      </c>
      <c r="J837" t="inlineStr">
        <is>
          <t>Doc. SEI 37070578</t>
        </is>
      </c>
      <c r="K837" t="inlineStr">
        <is>
          <t>2026-09-23T11:46:31</t>
        </is>
      </c>
    </row>
    <row r="838">
      <c r="A838" t="n">
        <v>837</v>
      </c>
      <c r="B838" t="inlineStr">
        <is>
          <t>TO</t>
        </is>
      </c>
      <c r="C838" t="inlineStr">
        <is>
          <t>TO</t>
        </is>
      </c>
      <c r="D838" t="inlineStr">
        <is>
          <t>Tocantins</t>
        </is>
      </c>
      <c r="E838" t="inlineStr">
        <is>
          <t>07_Maturidade</t>
        </is>
      </c>
      <c r="F838" t="inlineStr">
        <is>
          <t>Maturidade / bônus</t>
        </is>
      </c>
      <c r="G838" t="inlineStr">
        <is>
          <t>Bônus — Requisitos de perfil para o cargo de Ouvidor</t>
        </is>
      </c>
      <c r="H838" t="inlineStr">
        <is>
          <t>M3-58</t>
        </is>
      </c>
      <c r="I838" t="inlineStr">
        <is>
          <t>07_Maturidade:M3-58</t>
        </is>
      </c>
      <c r="J838" t="inlineStr">
        <is>
          <t>Doc. SEI 37070578</t>
        </is>
      </c>
      <c r="K838" t="inlineStr">
        <is>
          <t>2026-09-23T11:46:31</t>
        </is>
      </c>
    </row>
    <row r="839">
      <c r="A839" t="n">
        <v>838</v>
      </c>
      <c r="B839" t="inlineStr">
        <is>
          <t>TO</t>
        </is>
      </c>
      <c r="C839" t="inlineStr">
        <is>
          <t>TO</t>
        </is>
      </c>
      <c r="D839" t="inlineStr">
        <is>
          <t>Tocantins</t>
        </is>
      </c>
      <c r="E839" t="inlineStr">
        <is>
          <t>07_Maturidade</t>
        </is>
      </c>
      <c r="F839" t="inlineStr">
        <is>
          <t>Maturidade / bônus</t>
        </is>
      </c>
      <c r="G839" t="inlineStr">
        <is>
          <t>Bônus — WhatsApp institucional</t>
        </is>
      </c>
      <c r="H839" t="inlineStr">
        <is>
          <t>M2-50</t>
        </is>
      </c>
      <c r="I839" t="inlineStr">
        <is>
          <t>07_Maturidade:M2-50</t>
        </is>
      </c>
      <c r="J839" t="inlineStr">
        <is>
          <t>Doc. SEI 37070578</t>
        </is>
      </c>
      <c r="K839" t="inlineStr">
        <is>
          <t>2026-09-23T11:46:31</t>
        </is>
      </c>
    </row>
    <row r="840">
      <c r="A840" t="n">
        <v>839</v>
      </c>
      <c r="B840" t="inlineStr">
        <is>
          <t>TO</t>
        </is>
      </c>
      <c r="C840" t="inlineStr">
        <is>
          <t>TO</t>
        </is>
      </c>
      <c r="D840" t="inlineStr">
        <is>
          <t>Tocantins</t>
        </is>
      </c>
      <c r="E840" t="inlineStr">
        <is>
          <t>07_Maturidade</t>
        </is>
      </c>
      <c r="F840" t="inlineStr">
        <is>
          <t>Maturidade / bônus</t>
        </is>
      </c>
      <c r="G840" t="inlineStr">
        <is>
          <t>Bônus — Outros canais eletrônicos institucionais</t>
        </is>
      </c>
      <c r="H840" t="inlineStr">
        <is>
          <t>M2-49</t>
        </is>
      </c>
      <c r="I840" t="inlineStr">
        <is>
          <t>07_Maturidade:M2-49</t>
        </is>
      </c>
      <c r="J840" t="inlineStr">
        <is>
          <t>Doc. SEI 37070578</t>
        </is>
      </c>
      <c r="K840" t="inlineStr">
        <is>
          <t>2026-09-23T11:46:31</t>
        </is>
      </c>
    </row>
    <row r="841">
      <c r="A841" t="n">
        <v>840</v>
      </c>
      <c r="B841" t="inlineStr">
        <is>
          <t>TO</t>
        </is>
      </c>
      <c r="C841" t="inlineStr">
        <is>
          <t>TO</t>
        </is>
      </c>
      <c r="D841" t="inlineStr">
        <is>
          <t>Tocantins</t>
        </is>
      </c>
      <c r="E841" t="inlineStr">
        <is>
          <t>07_Maturidade</t>
        </is>
      </c>
      <c r="F841" t="inlineStr">
        <is>
          <t>Maturidade / bônus</t>
        </is>
      </c>
      <c r="G841" t="inlineStr">
        <is>
          <t>Bônus — Materiais adicionais de divulgação e educação em direitos</t>
        </is>
      </c>
      <c r="H841" t="inlineStr">
        <is>
          <t>M2-36</t>
        </is>
      </c>
      <c r="I841" t="inlineStr">
        <is>
          <t>07_Maturidade:M2-36</t>
        </is>
      </c>
      <c r="J841" t="inlineStr">
        <is>
          <t>Doc. SEI 37070578</t>
        </is>
      </c>
      <c r="K841" t="inlineStr">
        <is>
          <t>2026-09-23T11:46:31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entity_key</t>
        </is>
      </c>
      <c r="C1" t="inlineStr">
        <is>
          <t>uf</t>
        </is>
      </c>
      <c r="D1" t="inlineStr">
        <is>
          <t>unidade_label</t>
        </is>
      </c>
      <c r="E1" t="inlineStr">
        <is>
          <t>sheet_name</t>
        </is>
      </c>
      <c r="F1" t="inlineStr">
        <is>
          <t>dimension_name</t>
        </is>
      </c>
      <c r="G1" t="inlineStr">
        <is>
          <t>item_name</t>
        </is>
      </c>
      <c r="H1" t="inlineStr">
        <is>
          <t>question_code</t>
        </is>
      </c>
      <c r="I1" t="inlineStr">
        <is>
          <t>occurrence_key</t>
        </is>
      </c>
      <c r="J1" t="inlineStr">
        <is>
          <t>original_filename</t>
        </is>
      </c>
      <c r="K1" t="inlineStr">
        <is>
          <t>stored_filename</t>
        </is>
      </c>
      <c r="L1" t="inlineStr">
        <is>
          <t>relative_path</t>
        </is>
      </c>
      <c r="M1" t="inlineStr">
        <is>
          <t>mime_type</t>
        </is>
      </c>
      <c r="N1" t="inlineStr">
        <is>
          <t>size_bytes</t>
        </is>
      </c>
      <c r="O1" t="inlineStr">
        <is>
          <t>sha256</t>
        </is>
      </c>
      <c r="P1" t="inlineStr">
        <is>
          <t>uploaded_at</t>
        </is>
      </c>
      <c r="Q1" t="inlineStr">
        <is>
          <t>active</t>
        </is>
      </c>
      <c r="R1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entity_key</t>
        </is>
      </c>
      <c r="D1" t="inlineStr">
        <is>
          <t>sheet_name</t>
        </is>
      </c>
      <c r="E1" t="inlineStr">
        <is>
          <t>question_code</t>
        </is>
      </c>
      <c r="F1" t="inlineStr">
        <is>
          <t>occurrence_key</t>
        </is>
      </c>
      <c r="G1" t="inlineStr">
        <is>
          <t>field</t>
        </is>
      </c>
      <c r="H1" t="inlineStr">
        <is>
          <t>old_value</t>
        </is>
      </c>
      <c r="I1" t="inlineStr">
        <is>
          <t>new_value</t>
        </is>
      </c>
      <c r="J1" t="inlineStr">
        <is>
          <t>action</t>
        </is>
      </c>
    </row>
    <row r="2">
      <c r="A2" t="n">
        <v>1</v>
      </c>
      <c r="B2" t="inlineStr">
        <is>
          <t>2026-09-23T11:46:31</t>
        </is>
      </c>
      <c r="C2" t="inlineStr">
        <is>
          <t>CE</t>
        </is>
      </c>
      <c r="D2" t="inlineStr">
        <is>
          <t>01_Institucionalização</t>
        </is>
      </c>
      <c r="E2" t="inlineStr">
        <is>
          <t>M1-11</t>
        </is>
      </c>
      <c r="F2" t="inlineStr">
        <is>
          <t>01_Institucionalização:M1-11</t>
        </is>
      </c>
      <c r="G2" t="inlineStr">
        <is>
          <t>status</t>
        </is>
      </c>
      <c r="H2" t="inlineStr">
        <is>
          <t>Sim</t>
        </is>
      </c>
      <c r="I2" t="inlineStr">
        <is>
          <t>Não</t>
        </is>
      </c>
      <c r="J2" t="inlineStr">
        <is>
          <t>mudanca_status</t>
        </is>
      </c>
    </row>
    <row r="3">
      <c r="A3" t="n">
        <v>2</v>
      </c>
      <c r="B3" t="inlineStr">
        <is>
          <t>2026-09-23T11:46:35</t>
        </is>
      </c>
      <c r="C3" t="inlineStr">
        <is>
          <t>CE</t>
        </is>
      </c>
      <c r="D3" t="inlineStr">
        <is>
          <t>01_Institucionalização</t>
        </is>
      </c>
      <c r="E3" t="inlineStr">
        <is>
          <t>M1-11</t>
        </is>
      </c>
      <c r="F3" t="inlineStr">
        <is>
          <t>01_Institucionalização:M1-11</t>
        </is>
      </c>
      <c r="G3" t="inlineStr">
        <is>
          <t>status</t>
        </is>
      </c>
      <c r="H3" t="inlineStr">
        <is>
          <t>Não</t>
        </is>
      </c>
      <c r="I3" t="inlineStr">
        <is>
          <t>Sim</t>
        </is>
      </c>
      <c r="J3" t="inlineStr">
        <is>
          <t>mudanca_status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2026-09-23T14:46:31Z</dcterms:created>
  <dcterms:modified xsi:type="dcterms:W3CDTF">2026-09-23T14:46:35Z</dcterms:modified>
  <cp:lastModifiedBy>Marcelo Rocha Cortez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0559fe9b-6987-45ef-b918-e76911e153f0_Enabled" fmtid="{D5CDD505-2E9C-101B-9397-08002B2CF9AE}" pid="2">
    <vt:lpwstr>true</vt:lpwstr>
  </property>
  <property name="MSIP_Label_0559fe9b-6987-45ef-b918-e76911e153f0_SetDate" fmtid="{D5CDD505-2E9C-101B-9397-08002B2CF9AE}" pid="3">
    <vt:lpwstr>2026-09-22T19:01:22Z</vt:lpwstr>
  </property>
  <property name="MSIP_Label_0559fe9b-6987-45ef-b918-e76911e153f0_Method" fmtid="{D5CDD505-2E9C-101B-9397-08002B2CF9AE}" pid="4">
    <vt:lpwstr>Privileged</vt:lpwstr>
  </property>
  <property name="MSIP_Label_0559fe9b-6987-45ef-b918-e76911e153f0_Name" fmtid="{D5CDD505-2E9C-101B-9397-08002B2CF9AE}" pid="5">
    <vt:lpwstr>Público</vt:lpwstr>
  </property>
  <property name="MSIP_Label_0559fe9b-6987-45ef-b918-e76911e153f0_SiteId" fmtid="{D5CDD505-2E9C-101B-9397-08002B2CF9AE}" pid="6">
    <vt:lpwstr>eb090420-444c-43f7-91f2-4b8da6bfe8e1</vt:lpwstr>
  </property>
  <property name="MSIP_Label_0559fe9b-6987-45ef-b918-e76911e153f0_ActionId" fmtid="{D5CDD505-2E9C-101B-9397-08002B2CF9AE}" pid="7">
    <vt:lpwstr>cea9dc23-cbfb-48a1-98bf-b6e356ea03b3</vt:lpwstr>
  </property>
  <property name="MSIP_Label_0559fe9b-6987-45ef-b918-e76911e153f0_ContentBits" fmtid="{D5CDD505-2E9C-101B-9397-08002B2CF9AE}" pid="8">
    <vt:lpwstr>0</vt:lpwstr>
  </property>
  <property name="MSIP_Label_0559fe9b-6987-45ef-b918-e76911e153f0_Tag" fmtid="{D5CDD505-2E9C-101B-9397-08002B2CF9AE}" pid="9">
    <vt:lpwstr>10, 0, 1, 1</vt:lpwstr>
  </property>
</Properties>
</file>