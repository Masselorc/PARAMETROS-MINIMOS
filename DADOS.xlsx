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usticagovbr-my.sharepoint.com/personal/marcelo_cortez_mj_gov_br1/Documents/1. SENAPPEN/2. OUVIDORIA/GITHUB/PARAMETROS MINIMOS/"/>
    </mc:Choice>
  </mc:AlternateContent>
  <xr:revisionPtr revIDLastSave="523" documentId="11_C2318B871671820C540791CC0C0EFCB85A7F69AA" xr6:coauthVersionLast="47" xr6:coauthVersionMax="47" xr10:uidLastSave="{DDBF98C4-2906-4A1F-8597-21E0CDC6E6F6}"/>
  <bookViews>
    <workbookView xWindow="-108" yWindow="-108" windowWidth="23256" windowHeight="12456" firstSheet="1" activeTab="1" xr2:uid="{00000000-000D-0000-FFFF-FFFF00000000}"/>
  </bookViews>
  <sheets>
    <sheet name="00_Metodologia" sheetId="1" r:id="rId1"/>
    <sheet name="01_Institucionalização" sheetId="2" r:id="rId2"/>
    <sheet name="02_Autonomia" sheetId="3" r:id="rId3"/>
    <sheet name="03_Imparcialidade" sheetId="4" r:id="rId4"/>
    <sheet name="04_Acessibilidade" sheetId="5" r:id="rId5"/>
    <sheet name="05_Transparência" sheetId="6" r:id="rId6"/>
    <sheet name="06_Integração Tec" sheetId="7" r:id="rId7"/>
    <sheet name="07_Maturidade" sheetId="8" r:id="rId8"/>
    <sheet name="08_Resum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9" l="1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AD34" i="7"/>
  <c r="Z34" i="7"/>
  <c r="V34" i="7"/>
  <c r="R34" i="7"/>
  <c r="N34" i="7"/>
  <c r="J34" i="7"/>
  <c r="F34" i="7"/>
  <c r="AE34" i="7" s="1"/>
  <c r="H32" i="9" s="1"/>
  <c r="AD33" i="7"/>
  <c r="Z33" i="7"/>
  <c r="V33" i="7"/>
  <c r="R33" i="7"/>
  <c r="N33" i="7"/>
  <c r="J33" i="7"/>
  <c r="F33" i="7"/>
  <c r="AE33" i="7" s="1"/>
  <c r="H31" i="9" s="1"/>
  <c r="AD32" i="7"/>
  <c r="Z32" i="7"/>
  <c r="V32" i="7"/>
  <c r="R32" i="7"/>
  <c r="N32" i="7"/>
  <c r="J32" i="7"/>
  <c r="F32" i="7"/>
  <c r="AE32" i="7" s="1"/>
  <c r="H30" i="9" s="1"/>
  <c r="AD31" i="7"/>
  <c r="Z31" i="7"/>
  <c r="V31" i="7"/>
  <c r="R31" i="7"/>
  <c r="N31" i="7"/>
  <c r="J31" i="7"/>
  <c r="F31" i="7"/>
  <c r="AD30" i="7"/>
  <c r="Z30" i="7"/>
  <c r="V30" i="7"/>
  <c r="R30" i="7"/>
  <c r="N30" i="7"/>
  <c r="J30" i="7"/>
  <c r="F30" i="7"/>
  <c r="AD29" i="7"/>
  <c r="Z29" i="7"/>
  <c r="V29" i="7"/>
  <c r="R29" i="7"/>
  <c r="N29" i="7"/>
  <c r="J29" i="7"/>
  <c r="F29" i="7"/>
  <c r="AD28" i="7"/>
  <c r="Z28" i="7"/>
  <c r="V28" i="7"/>
  <c r="R28" i="7"/>
  <c r="N28" i="7"/>
  <c r="J28" i="7"/>
  <c r="F28" i="7"/>
  <c r="AD27" i="7"/>
  <c r="Z27" i="7"/>
  <c r="V27" i="7"/>
  <c r="R27" i="7"/>
  <c r="N27" i="7"/>
  <c r="J27" i="7"/>
  <c r="F27" i="7"/>
  <c r="AE27" i="7" s="1"/>
  <c r="H25" i="9" s="1"/>
  <c r="AD26" i="7"/>
  <c r="Z26" i="7"/>
  <c r="V26" i="7"/>
  <c r="R26" i="7"/>
  <c r="N26" i="7"/>
  <c r="J26" i="7"/>
  <c r="F26" i="7"/>
  <c r="AD25" i="7"/>
  <c r="Z25" i="7"/>
  <c r="V25" i="7"/>
  <c r="R25" i="7"/>
  <c r="N25" i="7"/>
  <c r="J25" i="7"/>
  <c r="F25" i="7"/>
  <c r="AE25" i="7" s="1"/>
  <c r="H23" i="9" s="1"/>
  <c r="AD24" i="7"/>
  <c r="Z24" i="7"/>
  <c r="V24" i="7"/>
  <c r="R24" i="7"/>
  <c r="N24" i="7"/>
  <c r="J24" i="7"/>
  <c r="F24" i="7"/>
  <c r="AD23" i="7"/>
  <c r="Z23" i="7"/>
  <c r="V23" i="7"/>
  <c r="R23" i="7"/>
  <c r="N23" i="7"/>
  <c r="J23" i="7"/>
  <c r="F23" i="7"/>
  <c r="AE23" i="7" s="1"/>
  <c r="H21" i="9" s="1"/>
  <c r="AD22" i="7"/>
  <c r="Z22" i="7"/>
  <c r="V22" i="7"/>
  <c r="R22" i="7"/>
  <c r="N22" i="7"/>
  <c r="J22" i="7"/>
  <c r="F22" i="7"/>
  <c r="AD21" i="7"/>
  <c r="Z21" i="7"/>
  <c r="V21" i="7"/>
  <c r="R21" i="7"/>
  <c r="N21" i="7"/>
  <c r="J21" i="7"/>
  <c r="F21" i="7"/>
  <c r="AE21" i="7" s="1"/>
  <c r="H19" i="9" s="1"/>
  <c r="AD20" i="7"/>
  <c r="Z20" i="7"/>
  <c r="V20" i="7"/>
  <c r="R20" i="7"/>
  <c r="N20" i="7"/>
  <c r="J20" i="7"/>
  <c r="F20" i="7"/>
  <c r="AD19" i="7"/>
  <c r="Z19" i="7"/>
  <c r="V19" i="7"/>
  <c r="R19" i="7"/>
  <c r="N19" i="7"/>
  <c r="J19" i="7"/>
  <c r="F19" i="7"/>
  <c r="AE19" i="7" s="1"/>
  <c r="H17" i="9" s="1"/>
  <c r="AD18" i="7"/>
  <c r="Z18" i="7"/>
  <c r="V18" i="7"/>
  <c r="R18" i="7"/>
  <c r="N18" i="7"/>
  <c r="J18" i="7"/>
  <c r="F18" i="7"/>
  <c r="AD17" i="7"/>
  <c r="Z17" i="7"/>
  <c r="V17" i="7"/>
  <c r="R17" i="7"/>
  <c r="N17" i="7"/>
  <c r="J17" i="7"/>
  <c r="F17" i="7"/>
  <c r="AD16" i="7"/>
  <c r="Z16" i="7"/>
  <c r="V16" i="7"/>
  <c r="R16" i="7"/>
  <c r="N16" i="7"/>
  <c r="J16" i="7"/>
  <c r="F16" i="7"/>
  <c r="AE16" i="7" s="1"/>
  <c r="H14" i="9" s="1"/>
  <c r="AD15" i="7"/>
  <c r="Z15" i="7"/>
  <c r="V15" i="7"/>
  <c r="R15" i="7"/>
  <c r="N15" i="7"/>
  <c r="J15" i="7"/>
  <c r="F15" i="7"/>
  <c r="AE15" i="7" s="1"/>
  <c r="H13" i="9" s="1"/>
  <c r="AD14" i="7"/>
  <c r="Z14" i="7"/>
  <c r="V14" i="7"/>
  <c r="R14" i="7"/>
  <c r="N14" i="7"/>
  <c r="J14" i="7"/>
  <c r="F14" i="7"/>
  <c r="AE14" i="7" s="1"/>
  <c r="H12" i="9" s="1"/>
  <c r="AD13" i="7"/>
  <c r="Z13" i="7"/>
  <c r="V13" i="7"/>
  <c r="R13" i="7"/>
  <c r="N13" i="7"/>
  <c r="J13" i="7"/>
  <c r="F13" i="7"/>
  <c r="AE13" i="7" s="1"/>
  <c r="H11" i="9" s="1"/>
  <c r="AD12" i="7"/>
  <c r="Z12" i="7"/>
  <c r="V12" i="7"/>
  <c r="R12" i="7"/>
  <c r="N12" i="7"/>
  <c r="J12" i="7"/>
  <c r="F12" i="7"/>
  <c r="AD11" i="7"/>
  <c r="Z11" i="7"/>
  <c r="V11" i="7"/>
  <c r="R11" i="7"/>
  <c r="N11" i="7"/>
  <c r="J11" i="7"/>
  <c r="F11" i="7"/>
  <c r="AE11" i="7" s="1"/>
  <c r="H9" i="9" s="1"/>
  <c r="AD10" i="7"/>
  <c r="Z10" i="7"/>
  <c r="V10" i="7"/>
  <c r="R10" i="7"/>
  <c r="N10" i="7"/>
  <c r="J10" i="7"/>
  <c r="F10" i="7"/>
  <c r="AD9" i="7"/>
  <c r="Z9" i="7"/>
  <c r="V9" i="7"/>
  <c r="R9" i="7"/>
  <c r="N9" i="7"/>
  <c r="J9" i="7"/>
  <c r="F9" i="7"/>
  <c r="AD8" i="7"/>
  <c r="Z8" i="7"/>
  <c r="V8" i="7"/>
  <c r="R8" i="7"/>
  <c r="N8" i="7"/>
  <c r="J8" i="7"/>
  <c r="F8" i="7"/>
  <c r="AE8" i="7" s="1"/>
  <c r="H6" i="9" s="1"/>
  <c r="AD7" i="7"/>
  <c r="Z7" i="7"/>
  <c r="V7" i="7"/>
  <c r="R7" i="7"/>
  <c r="N7" i="7"/>
  <c r="J7" i="7"/>
  <c r="F7" i="7"/>
  <c r="J34" i="6"/>
  <c r="F34" i="6"/>
  <c r="K34" i="6" s="1"/>
  <c r="G32" i="9" s="1"/>
  <c r="J33" i="6"/>
  <c r="F33" i="6"/>
  <c r="J32" i="6"/>
  <c r="F32" i="6"/>
  <c r="K32" i="6" s="1"/>
  <c r="G30" i="9" s="1"/>
  <c r="J31" i="6"/>
  <c r="F31" i="6"/>
  <c r="J30" i="6"/>
  <c r="F30" i="6"/>
  <c r="J29" i="6"/>
  <c r="F29" i="6"/>
  <c r="J28" i="6"/>
  <c r="F28" i="6"/>
  <c r="K28" i="6" s="1"/>
  <c r="G26" i="9" s="1"/>
  <c r="J27" i="6"/>
  <c r="F27" i="6"/>
  <c r="K27" i="6" s="1"/>
  <c r="G25" i="9" s="1"/>
  <c r="J26" i="6"/>
  <c r="F26" i="6"/>
  <c r="K26" i="6" s="1"/>
  <c r="G24" i="9" s="1"/>
  <c r="J25" i="6"/>
  <c r="F25" i="6"/>
  <c r="K25" i="6" s="1"/>
  <c r="G23" i="9" s="1"/>
  <c r="J24" i="6"/>
  <c r="F24" i="6"/>
  <c r="K24" i="6" s="1"/>
  <c r="G22" i="9" s="1"/>
  <c r="J23" i="6"/>
  <c r="F23" i="6"/>
  <c r="K23" i="6" s="1"/>
  <c r="G21" i="9" s="1"/>
  <c r="J22" i="6"/>
  <c r="F22" i="6"/>
  <c r="K22" i="6" s="1"/>
  <c r="G20" i="9" s="1"/>
  <c r="J21" i="6"/>
  <c r="F21" i="6"/>
  <c r="J20" i="6"/>
  <c r="F20" i="6"/>
  <c r="K20" i="6" s="1"/>
  <c r="G18" i="9" s="1"/>
  <c r="J19" i="6"/>
  <c r="F19" i="6"/>
  <c r="K19" i="6" s="1"/>
  <c r="G17" i="9" s="1"/>
  <c r="J18" i="6"/>
  <c r="F18" i="6"/>
  <c r="K18" i="6" s="1"/>
  <c r="G16" i="9" s="1"/>
  <c r="J17" i="6"/>
  <c r="F17" i="6"/>
  <c r="J16" i="6"/>
  <c r="F16" i="6"/>
  <c r="K16" i="6" s="1"/>
  <c r="G14" i="9" s="1"/>
  <c r="J15" i="6"/>
  <c r="F15" i="6"/>
  <c r="J14" i="6"/>
  <c r="F14" i="6"/>
  <c r="K14" i="6" s="1"/>
  <c r="G12" i="9" s="1"/>
  <c r="J13" i="6"/>
  <c r="F13" i="6"/>
  <c r="K13" i="6" s="1"/>
  <c r="G11" i="9" s="1"/>
  <c r="J12" i="6"/>
  <c r="F12" i="6"/>
  <c r="K12" i="6" s="1"/>
  <c r="G10" i="9" s="1"/>
  <c r="J11" i="6"/>
  <c r="F11" i="6"/>
  <c r="K11" i="6" s="1"/>
  <c r="G9" i="9" s="1"/>
  <c r="J10" i="6"/>
  <c r="F10" i="6"/>
  <c r="K10" i="6" s="1"/>
  <c r="G8" i="9" s="1"/>
  <c r="J9" i="6"/>
  <c r="F9" i="6"/>
  <c r="J8" i="6"/>
  <c r="F8" i="6"/>
  <c r="K8" i="6" s="1"/>
  <c r="G6" i="9" s="1"/>
  <c r="J7" i="6"/>
  <c r="F7" i="6"/>
  <c r="K7" i="6" s="1"/>
  <c r="G5" i="9" s="1"/>
  <c r="Z34" i="5"/>
  <c r="V34" i="5"/>
  <c r="R34" i="5"/>
  <c r="N34" i="5"/>
  <c r="J34" i="5"/>
  <c r="F34" i="5"/>
  <c r="AA34" i="5" s="1"/>
  <c r="F32" i="9" s="1"/>
  <c r="Z33" i="5"/>
  <c r="V33" i="5"/>
  <c r="R33" i="5"/>
  <c r="N33" i="5"/>
  <c r="J33" i="5"/>
  <c r="F33" i="5"/>
  <c r="Z32" i="5"/>
  <c r="V32" i="5"/>
  <c r="R32" i="5"/>
  <c r="N32" i="5"/>
  <c r="J32" i="5"/>
  <c r="F32" i="5"/>
  <c r="Z31" i="5"/>
  <c r="V31" i="5"/>
  <c r="R31" i="5"/>
  <c r="N31" i="5"/>
  <c r="J31" i="5"/>
  <c r="F31" i="5"/>
  <c r="Z30" i="5"/>
  <c r="V30" i="5"/>
  <c r="R30" i="5"/>
  <c r="N30" i="5"/>
  <c r="J30" i="5"/>
  <c r="F30" i="5"/>
  <c r="Z29" i="5"/>
  <c r="V29" i="5"/>
  <c r="R29" i="5"/>
  <c r="N29" i="5"/>
  <c r="J29" i="5"/>
  <c r="F29" i="5"/>
  <c r="Z28" i="5"/>
  <c r="V28" i="5"/>
  <c r="R28" i="5"/>
  <c r="N28" i="5"/>
  <c r="J28" i="5"/>
  <c r="F28" i="5"/>
  <c r="Z27" i="5"/>
  <c r="V27" i="5"/>
  <c r="R27" i="5"/>
  <c r="N27" i="5"/>
  <c r="J27" i="5"/>
  <c r="F27" i="5"/>
  <c r="AA27" i="5" s="1"/>
  <c r="F25" i="9" s="1"/>
  <c r="Z26" i="5"/>
  <c r="V26" i="5"/>
  <c r="R26" i="5"/>
  <c r="N26" i="5"/>
  <c r="J26" i="5"/>
  <c r="F26" i="5"/>
  <c r="AA26" i="5" s="1"/>
  <c r="F24" i="9" s="1"/>
  <c r="Z25" i="5"/>
  <c r="V25" i="5"/>
  <c r="R25" i="5"/>
  <c r="N25" i="5"/>
  <c r="J25" i="5"/>
  <c r="F25" i="5"/>
  <c r="AA25" i="5" s="1"/>
  <c r="F23" i="9" s="1"/>
  <c r="Z24" i="5"/>
  <c r="V24" i="5"/>
  <c r="R24" i="5"/>
  <c r="N24" i="5"/>
  <c r="J24" i="5"/>
  <c r="F24" i="5"/>
  <c r="Z23" i="5"/>
  <c r="V23" i="5"/>
  <c r="R23" i="5"/>
  <c r="N23" i="5"/>
  <c r="J23" i="5"/>
  <c r="F23" i="5"/>
  <c r="AA23" i="5" s="1"/>
  <c r="F21" i="9" s="1"/>
  <c r="Z22" i="5"/>
  <c r="V22" i="5"/>
  <c r="R22" i="5"/>
  <c r="N22" i="5"/>
  <c r="J22" i="5"/>
  <c r="F22" i="5"/>
  <c r="AA22" i="5" s="1"/>
  <c r="F20" i="9" s="1"/>
  <c r="Z21" i="5"/>
  <c r="V21" i="5"/>
  <c r="R21" i="5"/>
  <c r="N21" i="5"/>
  <c r="J21" i="5"/>
  <c r="F21" i="5"/>
  <c r="Z20" i="5"/>
  <c r="V20" i="5"/>
  <c r="R20" i="5"/>
  <c r="N20" i="5"/>
  <c r="J20" i="5"/>
  <c r="F20" i="5"/>
  <c r="Z19" i="5"/>
  <c r="V19" i="5"/>
  <c r="R19" i="5"/>
  <c r="N19" i="5"/>
  <c r="J19" i="5"/>
  <c r="F19" i="5"/>
  <c r="Z18" i="5"/>
  <c r="V18" i="5"/>
  <c r="R18" i="5"/>
  <c r="N18" i="5"/>
  <c r="J18" i="5"/>
  <c r="F18" i="5"/>
  <c r="AA18" i="5" s="1"/>
  <c r="F16" i="9" s="1"/>
  <c r="Z17" i="5"/>
  <c r="V17" i="5"/>
  <c r="R17" i="5"/>
  <c r="N17" i="5"/>
  <c r="J17" i="5"/>
  <c r="F17" i="5"/>
  <c r="AA17" i="5" s="1"/>
  <c r="F15" i="9" s="1"/>
  <c r="Z16" i="5"/>
  <c r="V16" i="5"/>
  <c r="R16" i="5"/>
  <c r="N16" i="5"/>
  <c r="J16" i="5"/>
  <c r="F16" i="5"/>
  <c r="Z15" i="5"/>
  <c r="V15" i="5"/>
  <c r="R15" i="5"/>
  <c r="N15" i="5"/>
  <c r="J15" i="5"/>
  <c r="F15" i="5"/>
  <c r="Z14" i="5"/>
  <c r="V14" i="5"/>
  <c r="R14" i="5"/>
  <c r="N14" i="5"/>
  <c r="J14" i="5"/>
  <c r="F14" i="5"/>
  <c r="Z13" i="5"/>
  <c r="V13" i="5"/>
  <c r="R13" i="5"/>
  <c r="N13" i="5"/>
  <c r="J13" i="5"/>
  <c r="F13" i="5"/>
  <c r="Z12" i="5"/>
  <c r="V12" i="5"/>
  <c r="R12" i="5"/>
  <c r="N12" i="5"/>
  <c r="J12" i="5"/>
  <c r="F12" i="5"/>
  <c r="AA12" i="5" s="1"/>
  <c r="F10" i="9" s="1"/>
  <c r="Z11" i="5"/>
  <c r="V11" i="5"/>
  <c r="R11" i="5"/>
  <c r="N11" i="5"/>
  <c r="J11" i="5"/>
  <c r="F11" i="5"/>
  <c r="Z10" i="5"/>
  <c r="V10" i="5"/>
  <c r="R10" i="5"/>
  <c r="N10" i="5"/>
  <c r="J10" i="5"/>
  <c r="F10" i="5"/>
  <c r="AA10" i="5" s="1"/>
  <c r="F8" i="9" s="1"/>
  <c r="Z9" i="5"/>
  <c r="V9" i="5"/>
  <c r="R9" i="5"/>
  <c r="N9" i="5"/>
  <c r="J9" i="5"/>
  <c r="F9" i="5"/>
  <c r="Z8" i="5"/>
  <c r="V8" i="5"/>
  <c r="R8" i="5"/>
  <c r="N8" i="5"/>
  <c r="J8" i="5"/>
  <c r="F8" i="5"/>
  <c r="Z7" i="5"/>
  <c r="V7" i="5"/>
  <c r="R7" i="5"/>
  <c r="N7" i="5"/>
  <c r="J7" i="5"/>
  <c r="F7" i="5"/>
  <c r="J34" i="4"/>
  <c r="F34" i="4"/>
  <c r="K34" i="4" s="1"/>
  <c r="E32" i="9" s="1"/>
  <c r="J33" i="4"/>
  <c r="K33" i="4" s="1"/>
  <c r="E31" i="9" s="1"/>
  <c r="F33" i="4"/>
  <c r="J32" i="4"/>
  <c r="F32" i="4"/>
  <c r="K32" i="4" s="1"/>
  <c r="E30" i="9" s="1"/>
  <c r="J31" i="4"/>
  <c r="F31" i="4"/>
  <c r="J30" i="4"/>
  <c r="F30" i="4"/>
  <c r="K30" i="4" s="1"/>
  <c r="E28" i="9" s="1"/>
  <c r="J29" i="4"/>
  <c r="F29" i="4"/>
  <c r="K29" i="4" s="1"/>
  <c r="E27" i="9" s="1"/>
  <c r="J28" i="4"/>
  <c r="F28" i="4"/>
  <c r="J27" i="4"/>
  <c r="F27" i="4"/>
  <c r="K27" i="4" s="1"/>
  <c r="E25" i="9" s="1"/>
  <c r="J26" i="4"/>
  <c r="F26" i="4"/>
  <c r="K26" i="4" s="1"/>
  <c r="E24" i="9" s="1"/>
  <c r="J25" i="4"/>
  <c r="F25" i="4"/>
  <c r="J24" i="4"/>
  <c r="F24" i="4"/>
  <c r="K24" i="4" s="1"/>
  <c r="E22" i="9" s="1"/>
  <c r="J23" i="4"/>
  <c r="F23" i="4"/>
  <c r="J22" i="4"/>
  <c r="F22" i="4"/>
  <c r="K22" i="4" s="1"/>
  <c r="E20" i="9" s="1"/>
  <c r="J21" i="4"/>
  <c r="F21" i="4"/>
  <c r="K21" i="4" s="1"/>
  <c r="E19" i="9" s="1"/>
  <c r="J20" i="4"/>
  <c r="F20" i="4"/>
  <c r="J19" i="4"/>
  <c r="F19" i="4"/>
  <c r="K19" i="4" s="1"/>
  <c r="E17" i="9" s="1"/>
  <c r="J18" i="4"/>
  <c r="F18" i="4"/>
  <c r="J17" i="4"/>
  <c r="F17" i="4"/>
  <c r="K17" i="4" s="1"/>
  <c r="E15" i="9" s="1"/>
  <c r="J16" i="4"/>
  <c r="F16" i="4"/>
  <c r="K16" i="4" s="1"/>
  <c r="E14" i="9" s="1"/>
  <c r="J15" i="4"/>
  <c r="F15" i="4"/>
  <c r="J14" i="4"/>
  <c r="F14" i="4"/>
  <c r="K14" i="4" s="1"/>
  <c r="E12" i="9" s="1"/>
  <c r="J13" i="4"/>
  <c r="F13" i="4"/>
  <c r="K13" i="4" s="1"/>
  <c r="E11" i="9" s="1"/>
  <c r="J12" i="4"/>
  <c r="F12" i="4"/>
  <c r="K12" i="4" s="1"/>
  <c r="E10" i="9" s="1"/>
  <c r="J11" i="4"/>
  <c r="F11" i="4"/>
  <c r="K11" i="4" s="1"/>
  <c r="E9" i="9" s="1"/>
  <c r="J10" i="4"/>
  <c r="F10" i="4"/>
  <c r="K10" i="4" s="1"/>
  <c r="E8" i="9" s="1"/>
  <c r="J9" i="4"/>
  <c r="F9" i="4"/>
  <c r="K9" i="4" s="1"/>
  <c r="E7" i="9" s="1"/>
  <c r="J8" i="4"/>
  <c r="F8" i="4"/>
  <c r="J7" i="4"/>
  <c r="F7" i="4"/>
  <c r="V34" i="3"/>
  <c r="R34" i="3"/>
  <c r="N34" i="3"/>
  <c r="J34" i="3"/>
  <c r="F34" i="3"/>
  <c r="W34" i="3" s="1"/>
  <c r="D32" i="9" s="1"/>
  <c r="V33" i="3"/>
  <c r="R33" i="3"/>
  <c r="N33" i="3"/>
  <c r="J33" i="3"/>
  <c r="F33" i="3"/>
  <c r="W33" i="3" s="1"/>
  <c r="D31" i="9" s="1"/>
  <c r="V32" i="3"/>
  <c r="R32" i="3"/>
  <c r="N32" i="3"/>
  <c r="J32" i="3"/>
  <c r="F32" i="3"/>
  <c r="V31" i="3"/>
  <c r="R31" i="3"/>
  <c r="N31" i="3"/>
  <c r="J31" i="3"/>
  <c r="F31" i="3"/>
  <c r="V30" i="3"/>
  <c r="R30" i="3"/>
  <c r="N30" i="3"/>
  <c r="J30" i="3"/>
  <c r="F30" i="3"/>
  <c r="V29" i="3"/>
  <c r="R29" i="3"/>
  <c r="N29" i="3"/>
  <c r="J29" i="3"/>
  <c r="F29" i="3"/>
  <c r="V28" i="3"/>
  <c r="R28" i="3"/>
  <c r="N28" i="3"/>
  <c r="J28" i="3"/>
  <c r="F28" i="3"/>
  <c r="V27" i="3"/>
  <c r="R27" i="3"/>
  <c r="N27" i="3"/>
  <c r="J27" i="3"/>
  <c r="F27" i="3"/>
  <c r="W27" i="3" s="1"/>
  <c r="D25" i="9" s="1"/>
  <c r="V26" i="3"/>
  <c r="R26" i="3"/>
  <c r="N26" i="3"/>
  <c r="J26" i="3"/>
  <c r="F26" i="3"/>
  <c r="W26" i="3" s="1"/>
  <c r="D24" i="9" s="1"/>
  <c r="V25" i="3"/>
  <c r="R25" i="3"/>
  <c r="N25" i="3"/>
  <c r="J25" i="3"/>
  <c r="F25" i="3"/>
  <c r="V24" i="3"/>
  <c r="R24" i="3"/>
  <c r="N24" i="3"/>
  <c r="J24" i="3"/>
  <c r="F24" i="3"/>
  <c r="V23" i="3"/>
  <c r="R23" i="3"/>
  <c r="N23" i="3"/>
  <c r="J23" i="3"/>
  <c r="F23" i="3"/>
  <c r="V22" i="3"/>
  <c r="R22" i="3"/>
  <c r="N22" i="3"/>
  <c r="J22" i="3"/>
  <c r="F22" i="3"/>
  <c r="V21" i="3"/>
  <c r="R21" i="3"/>
  <c r="N21" i="3"/>
  <c r="J21" i="3"/>
  <c r="F21" i="3"/>
  <c r="W21" i="3" s="1"/>
  <c r="D19" i="9" s="1"/>
  <c r="V20" i="3"/>
  <c r="R20" i="3"/>
  <c r="N20" i="3"/>
  <c r="J20" i="3"/>
  <c r="F20" i="3"/>
  <c r="V19" i="3"/>
  <c r="R19" i="3"/>
  <c r="N19" i="3"/>
  <c r="J19" i="3"/>
  <c r="F19" i="3"/>
  <c r="V18" i="3"/>
  <c r="R18" i="3"/>
  <c r="N18" i="3"/>
  <c r="J18" i="3"/>
  <c r="F18" i="3"/>
  <c r="V17" i="3"/>
  <c r="R17" i="3"/>
  <c r="N17" i="3"/>
  <c r="J17" i="3"/>
  <c r="F17" i="3"/>
  <c r="W17" i="3" s="1"/>
  <c r="D15" i="9" s="1"/>
  <c r="V16" i="3"/>
  <c r="R16" i="3"/>
  <c r="N16" i="3"/>
  <c r="J16" i="3"/>
  <c r="F16" i="3"/>
  <c r="W16" i="3" s="1"/>
  <c r="D14" i="9" s="1"/>
  <c r="V15" i="3"/>
  <c r="R15" i="3"/>
  <c r="N15" i="3"/>
  <c r="J15" i="3"/>
  <c r="F15" i="3"/>
  <c r="V14" i="3"/>
  <c r="R14" i="3"/>
  <c r="N14" i="3"/>
  <c r="J14" i="3"/>
  <c r="F14" i="3"/>
  <c r="V13" i="3"/>
  <c r="R13" i="3"/>
  <c r="N13" i="3"/>
  <c r="J13" i="3"/>
  <c r="F13" i="3"/>
  <c r="W13" i="3" s="1"/>
  <c r="D11" i="9" s="1"/>
  <c r="V12" i="3"/>
  <c r="R12" i="3"/>
  <c r="N12" i="3"/>
  <c r="J12" i="3"/>
  <c r="F12" i="3"/>
  <c r="W12" i="3" s="1"/>
  <c r="D10" i="9" s="1"/>
  <c r="V11" i="3"/>
  <c r="R11" i="3"/>
  <c r="N11" i="3"/>
  <c r="J11" i="3"/>
  <c r="F11" i="3"/>
  <c r="V10" i="3"/>
  <c r="R10" i="3"/>
  <c r="N10" i="3"/>
  <c r="J10" i="3"/>
  <c r="F10" i="3"/>
  <c r="V9" i="3"/>
  <c r="R9" i="3"/>
  <c r="N9" i="3"/>
  <c r="J9" i="3"/>
  <c r="F9" i="3"/>
  <c r="V8" i="3"/>
  <c r="R8" i="3"/>
  <c r="N8" i="3"/>
  <c r="J8" i="3"/>
  <c r="F8" i="3"/>
  <c r="W8" i="3" s="1"/>
  <c r="D6" i="9" s="1"/>
  <c r="V7" i="3"/>
  <c r="R7" i="3"/>
  <c r="N7" i="3"/>
  <c r="J7" i="3"/>
  <c r="F7" i="3"/>
  <c r="H34" i="2"/>
  <c r="M32" i="9" s="1"/>
  <c r="F34" i="2"/>
  <c r="G34" i="2" s="1"/>
  <c r="C32" i="9" s="1"/>
  <c r="H33" i="2"/>
  <c r="M31" i="9" s="1"/>
  <c r="F33" i="2"/>
  <c r="G33" i="2" s="1"/>
  <c r="C31" i="9" s="1"/>
  <c r="H32" i="2"/>
  <c r="M30" i="9" s="1"/>
  <c r="F32" i="2"/>
  <c r="G32" i="2" s="1"/>
  <c r="C30" i="9" s="1"/>
  <c r="H31" i="2"/>
  <c r="M29" i="9" s="1"/>
  <c r="F31" i="2"/>
  <c r="G31" i="2" s="1"/>
  <c r="C29" i="9" s="1"/>
  <c r="H30" i="2"/>
  <c r="M28" i="9" s="1"/>
  <c r="F30" i="2"/>
  <c r="G30" i="2" s="1"/>
  <c r="C28" i="9" s="1"/>
  <c r="H29" i="2"/>
  <c r="M27" i="9" s="1"/>
  <c r="F29" i="2"/>
  <c r="G29" i="2" s="1"/>
  <c r="C27" i="9" s="1"/>
  <c r="H28" i="2"/>
  <c r="M26" i="9" s="1"/>
  <c r="F28" i="2"/>
  <c r="G28" i="2" s="1"/>
  <c r="C26" i="9" s="1"/>
  <c r="H27" i="2"/>
  <c r="M25" i="9" s="1"/>
  <c r="F27" i="2"/>
  <c r="G27" i="2" s="1"/>
  <c r="C25" i="9" s="1"/>
  <c r="H26" i="2"/>
  <c r="M24" i="9" s="1"/>
  <c r="F26" i="2"/>
  <c r="G26" i="2" s="1"/>
  <c r="C24" i="9" s="1"/>
  <c r="H25" i="2"/>
  <c r="M23" i="9" s="1"/>
  <c r="F25" i="2"/>
  <c r="G25" i="2" s="1"/>
  <c r="C23" i="9" s="1"/>
  <c r="H24" i="2"/>
  <c r="M22" i="9" s="1"/>
  <c r="F24" i="2"/>
  <c r="G24" i="2" s="1"/>
  <c r="C22" i="9" s="1"/>
  <c r="H23" i="2"/>
  <c r="M21" i="9" s="1"/>
  <c r="F23" i="2"/>
  <c r="G23" i="2" s="1"/>
  <c r="C21" i="9" s="1"/>
  <c r="H22" i="2"/>
  <c r="M20" i="9" s="1"/>
  <c r="F22" i="2"/>
  <c r="G22" i="2" s="1"/>
  <c r="C20" i="9" s="1"/>
  <c r="H21" i="2"/>
  <c r="M19" i="9" s="1"/>
  <c r="F21" i="2"/>
  <c r="G21" i="2" s="1"/>
  <c r="C19" i="9" s="1"/>
  <c r="H20" i="2"/>
  <c r="M18" i="9" s="1"/>
  <c r="F20" i="2"/>
  <c r="G20" i="2" s="1"/>
  <c r="C18" i="9" s="1"/>
  <c r="H19" i="2"/>
  <c r="M17" i="9" s="1"/>
  <c r="F19" i="2"/>
  <c r="G19" i="2" s="1"/>
  <c r="C17" i="9" s="1"/>
  <c r="H18" i="2"/>
  <c r="M16" i="9" s="1"/>
  <c r="F18" i="2"/>
  <c r="G18" i="2" s="1"/>
  <c r="C16" i="9" s="1"/>
  <c r="H17" i="2"/>
  <c r="M15" i="9" s="1"/>
  <c r="F17" i="2"/>
  <c r="G17" i="2" s="1"/>
  <c r="C15" i="9" s="1"/>
  <c r="H16" i="2"/>
  <c r="M14" i="9" s="1"/>
  <c r="F16" i="2"/>
  <c r="G16" i="2" s="1"/>
  <c r="C14" i="9" s="1"/>
  <c r="H15" i="2"/>
  <c r="M13" i="9" s="1"/>
  <c r="F15" i="2"/>
  <c r="G15" i="2" s="1"/>
  <c r="C13" i="9" s="1"/>
  <c r="H14" i="2"/>
  <c r="M12" i="9" s="1"/>
  <c r="F14" i="2"/>
  <c r="G14" i="2" s="1"/>
  <c r="C12" i="9" s="1"/>
  <c r="H13" i="2"/>
  <c r="M11" i="9" s="1"/>
  <c r="F13" i="2"/>
  <c r="G13" i="2" s="1"/>
  <c r="C11" i="9" s="1"/>
  <c r="H12" i="2"/>
  <c r="M10" i="9" s="1"/>
  <c r="F12" i="2"/>
  <c r="G12" i="2" s="1"/>
  <c r="C10" i="9" s="1"/>
  <c r="H11" i="2"/>
  <c r="M9" i="9" s="1"/>
  <c r="F11" i="2"/>
  <c r="G11" i="2" s="1"/>
  <c r="C9" i="9" s="1"/>
  <c r="H10" i="2"/>
  <c r="M8" i="9" s="1"/>
  <c r="F10" i="2"/>
  <c r="G10" i="2" s="1"/>
  <c r="C8" i="9" s="1"/>
  <c r="H9" i="2"/>
  <c r="M7" i="9" s="1"/>
  <c r="F9" i="2"/>
  <c r="G9" i="2" s="1"/>
  <c r="C7" i="9" s="1"/>
  <c r="H8" i="2"/>
  <c r="M6" i="9" s="1"/>
  <c r="F8" i="2"/>
  <c r="G8" i="2" s="1"/>
  <c r="C6" i="9" s="1"/>
  <c r="H7" i="2"/>
  <c r="M5" i="9" s="1"/>
  <c r="F7" i="2"/>
  <c r="G7" i="2" s="1"/>
  <c r="C5" i="9" s="1"/>
  <c r="AE31" i="7" l="1"/>
  <c r="H29" i="9" s="1"/>
  <c r="AE22" i="7"/>
  <c r="H20" i="9" s="1"/>
  <c r="AE17" i="7"/>
  <c r="H15" i="9" s="1"/>
  <c r="AE9" i="7"/>
  <c r="H7" i="9" s="1"/>
  <c r="AE20" i="7"/>
  <c r="H18" i="9" s="1"/>
  <c r="AE26" i="7"/>
  <c r="H24" i="9" s="1"/>
  <c r="AE24" i="7"/>
  <c r="H22" i="9" s="1"/>
  <c r="AE10" i="7"/>
  <c r="H8" i="9" s="1"/>
  <c r="AE30" i="7"/>
  <c r="H28" i="9" s="1"/>
  <c r="AE28" i="7"/>
  <c r="H26" i="9" s="1"/>
  <c r="AE18" i="7"/>
  <c r="H16" i="9" s="1"/>
  <c r="AE12" i="7"/>
  <c r="H10" i="9" s="1"/>
  <c r="AE7" i="7"/>
  <c r="H5" i="9" s="1"/>
  <c r="AE29" i="7"/>
  <c r="H27" i="9" s="1"/>
  <c r="K30" i="6"/>
  <c r="G28" i="9" s="1"/>
  <c r="K17" i="6"/>
  <c r="G15" i="9" s="1"/>
  <c r="K15" i="6"/>
  <c r="G13" i="9" s="1"/>
  <c r="K9" i="6"/>
  <c r="G7" i="9" s="1"/>
  <c r="K21" i="6"/>
  <c r="G19" i="9" s="1"/>
  <c r="K29" i="6"/>
  <c r="G27" i="9" s="1"/>
  <c r="K31" i="6"/>
  <c r="G29" i="9" s="1"/>
  <c r="K33" i="6"/>
  <c r="G31" i="9" s="1"/>
  <c r="AA32" i="5"/>
  <c r="F30" i="9" s="1"/>
  <c r="AA24" i="5"/>
  <c r="F22" i="9" s="1"/>
  <c r="AA20" i="5"/>
  <c r="F18" i="9" s="1"/>
  <c r="AA21" i="5"/>
  <c r="F19" i="9" s="1"/>
  <c r="AA9" i="5"/>
  <c r="F7" i="9" s="1"/>
  <c r="AA8" i="5"/>
  <c r="F6" i="9" s="1"/>
  <c r="I6" i="9" s="1"/>
  <c r="AA7" i="5"/>
  <c r="F5" i="9" s="1"/>
  <c r="AA19" i="5"/>
  <c r="F17" i="9" s="1"/>
  <c r="AA31" i="5"/>
  <c r="F29" i="9" s="1"/>
  <c r="AA30" i="5"/>
  <c r="F28" i="9" s="1"/>
  <c r="AA14" i="5"/>
  <c r="F12" i="9" s="1"/>
  <c r="AA29" i="5"/>
  <c r="F27" i="9" s="1"/>
  <c r="AA13" i="5"/>
  <c r="F11" i="9" s="1"/>
  <c r="AA33" i="5"/>
  <c r="F31" i="9" s="1"/>
  <c r="AA28" i="5"/>
  <c r="F26" i="9" s="1"/>
  <c r="AA16" i="5"/>
  <c r="F14" i="9" s="1"/>
  <c r="AA15" i="5"/>
  <c r="F13" i="9" s="1"/>
  <c r="AA11" i="5"/>
  <c r="F9" i="9" s="1"/>
  <c r="K28" i="4"/>
  <c r="E26" i="9" s="1"/>
  <c r="K25" i="4"/>
  <c r="E23" i="9" s="1"/>
  <c r="K23" i="4"/>
  <c r="E21" i="9" s="1"/>
  <c r="N21" i="9" s="1"/>
  <c r="K20" i="4"/>
  <c r="E18" i="9" s="1"/>
  <c r="K18" i="4"/>
  <c r="E16" i="9" s="1"/>
  <c r="K15" i="4"/>
  <c r="E13" i="9" s="1"/>
  <c r="K8" i="4"/>
  <c r="E6" i="9" s="1"/>
  <c r="N6" i="9" s="1"/>
  <c r="K7" i="4"/>
  <c r="E5" i="9" s="1"/>
  <c r="K31" i="4"/>
  <c r="E29" i="9" s="1"/>
  <c r="W32" i="3"/>
  <c r="D30" i="9" s="1"/>
  <c r="W25" i="3"/>
  <c r="D23" i="9" s="1"/>
  <c r="W20" i="3"/>
  <c r="D18" i="9" s="1"/>
  <c r="W15" i="3"/>
  <c r="D13" i="9" s="1"/>
  <c r="W7" i="3"/>
  <c r="D5" i="9" s="1"/>
  <c r="W9" i="3"/>
  <c r="D7" i="9" s="1"/>
  <c r="W10" i="3"/>
  <c r="D8" i="9" s="1"/>
  <c r="W11" i="3"/>
  <c r="D9" i="9" s="1"/>
  <c r="W14" i="3"/>
  <c r="D12" i="9" s="1"/>
  <c r="W18" i="3"/>
  <c r="D16" i="9" s="1"/>
  <c r="W23" i="3"/>
  <c r="D21" i="9" s="1"/>
  <c r="W24" i="3"/>
  <c r="D22" i="9" s="1"/>
  <c r="W28" i="3"/>
  <c r="D26" i="9" s="1"/>
  <c r="W30" i="3"/>
  <c r="D28" i="9" s="1"/>
  <c r="W29" i="3"/>
  <c r="D27" i="9" s="1"/>
  <c r="W19" i="3"/>
  <c r="D17" i="9" s="1"/>
  <c r="W22" i="3"/>
  <c r="D20" i="9" s="1"/>
  <c r="W31" i="3"/>
  <c r="D29" i="9" s="1"/>
  <c r="N32" i="9"/>
  <c r="O32" i="9"/>
  <c r="P32" i="9"/>
  <c r="I32" i="9"/>
  <c r="J32" i="9"/>
  <c r="K32" i="9"/>
  <c r="L32" i="9"/>
  <c r="J31" i="9"/>
  <c r="N30" i="9"/>
  <c r="I30" i="9"/>
  <c r="J30" i="9"/>
  <c r="J29" i="9"/>
  <c r="J28" i="9"/>
  <c r="N27" i="9"/>
  <c r="O27" i="9"/>
  <c r="P27" i="9"/>
  <c r="I27" i="9"/>
  <c r="J27" i="9"/>
  <c r="K27" i="9"/>
  <c r="L27" i="9"/>
  <c r="J26" i="9"/>
  <c r="N25" i="9"/>
  <c r="I25" i="9"/>
  <c r="J25" i="9"/>
  <c r="J24" i="9"/>
  <c r="N23" i="9"/>
  <c r="I23" i="9"/>
  <c r="J23" i="9"/>
  <c r="J22" i="9"/>
  <c r="J21" i="9"/>
  <c r="J20" i="9"/>
  <c r="N19" i="9"/>
  <c r="O19" i="9"/>
  <c r="P19" i="9"/>
  <c r="I19" i="9"/>
  <c r="J19" i="9"/>
  <c r="K19" i="9"/>
  <c r="L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S6" i="9"/>
  <c r="S7" i="9"/>
  <c r="S8" i="9"/>
  <c r="J5" i="9"/>
  <c r="N29" i="9" l="1"/>
  <c r="I29" i="9"/>
  <c r="K29" i="9" s="1"/>
  <c r="K25" i="9"/>
  <c r="K6" i="9"/>
  <c r="N24" i="9"/>
  <c r="I24" i="9"/>
  <c r="K24" i="9" s="1"/>
  <c r="N10" i="9"/>
  <c r="I10" i="9"/>
  <c r="N15" i="9"/>
  <c r="I15" i="9"/>
  <c r="I11" i="9"/>
  <c r="N11" i="9"/>
  <c r="N31" i="9"/>
  <c r="O31" i="9" s="1"/>
  <c r="I31" i="9"/>
  <c r="K31" i="9" s="1"/>
  <c r="N14" i="9"/>
  <c r="I14" i="9"/>
  <c r="K14" i="9" s="1"/>
  <c r="I21" i="9"/>
  <c r="N13" i="9"/>
  <c r="I13" i="9"/>
  <c r="N28" i="9"/>
  <c r="I28" i="9"/>
  <c r="K28" i="9" s="1"/>
  <c r="N26" i="9"/>
  <c r="I26" i="9"/>
  <c r="N18" i="9"/>
  <c r="I18" i="9"/>
  <c r="N16" i="9"/>
  <c r="I16" i="9"/>
  <c r="N5" i="9"/>
  <c r="I5" i="9"/>
  <c r="K5" i="9" s="1"/>
  <c r="N7" i="9"/>
  <c r="I7" i="9"/>
  <c r="N8" i="9"/>
  <c r="I8" i="9"/>
  <c r="N9" i="9"/>
  <c r="I9" i="9"/>
  <c r="N12" i="9"/>
  <c r="I12" i="9"/>
  <c r="N22" i="9"/>
  <c r="I22" i="9"/>
  <c r="K22" i="9" s="1"/>
  <c r="N20" i="9"/>
  <c r="I20" i="9"/>
  <c r="N17" i="9"/>
  <c r="I17" i="9"/>
  <c r="K23" i="9"/>
  <c r="K30" i="9"/>
  <c r="L29" i="9" l="1"/>
  <c r="O29" i="9" s="1"/>
  <c r="P29" i="9"/>
  <c r="L25" i="9"/>
  <c r="O25" i="9" s="1"/>
  <c r="P25" i="9"/>
  <c r="P6" i="9"/>
  <c r="L6" i="9"/>
  <c r="O6" i="9" s="1"/>
  <c r="P24" i="9"/>
  <c r="L24" i="9"/>
  <c r="O24" i="9" s="1"/>
  <c r="K10" i="9"/>
  <c r="K15" i="9"/>
  <c r="K11" i="9"/>
  <c r="L22" i="9"/>
  <c r="O22" i="9" s="1"/>
  <c r="P22" i="9"/>
  <c r="K21" i="9"/>
  <c r="K13" i="9"/>
  <c r="K26" i="9"/>
  <c r="K18" i="9"/>
  <c r="K16" i="9"/>
  <c r="K7" i="9"/>
  <c r="K8" i="9"/>
  <c r="K9" i="9"/>
  <c r="K12" i="9"/>
  <c r="K20" i="9"/>
  <c r="K17" i="9"/>
  <c r="P14" i="9"/>
  <c r="L14" i="9"/>
  <c r="O14" i="9" s="1"/>
  <c r="P30" i="9"/>
  <c r="L30" i="9"/>
  <c r="O30" i="9" s="1"/>
  <c r="P23" i="9"/>
  <c r="L23" i="9"/>
  <c r="O23" i="9" s="1"/>
  <c r="P28" i="9"/>
  <c r="L28" i="9"/>
  <c r="O28" i="9" s="1"/>
  <c r="P31" i="9"/>
  <c r="L31" i="9"/>
  <c r="P5" i="9"/>
  <c r="L5" i="9"/>
  <c r="O5" i="9" s="1"/>
  <c r="P10" i="9" l="1"/>
  <c r="L10" i="9"/>
  <c r="O10" i="9" s="1"/>
  <c r="P15" i="9"/>
  <c r="L15" i="9"/>
  <c r="O15" i="9" s="1"/>
  <c r="P11" i="9"/>
  <c r="L11" i="9"/>
  <c r="O11" i="9" s="1"/>
  <c r="P13" i="9"/>
  <c r="L13" i="9"/>
  <c r="O13" i="9" s="1"/>
  <c r="P21" i="9"/>
  <c r="L21" i="9"/>
  <c r="O21" i="9" s="1"/>
  <c r="P7" i="9"/>
  <c r="L7" i="9"/>
  <c r="O7" i="9" s="1"/>
  <c r="P18" i="9"/>
  <c r="L18" i="9"/>
  <c r="O18" i="9" s="1"/>
  <c r="P26" i="9"/>
  <c r="L26" i="9"/>
  <c r="O26" i="9" s="1"/>
  <c r="P16" i="9"/>
  <c r="L16" i="9"/>
  <c r="O16" i="9" s="1"/>
  <c r="P8" i="9"/>
  <c r="L8" i="9"/>
  <c r="O8" i="9" s="1"/>
  <c r="P9" i="9"/>
  <c r="L9" i="9"/>
  <c r="O9" i="9" s="1"/>
  <c r="P12" i="9"/>
  <c r="L12" i="9"/>
  <c r="O12" i="9" s="1"/>
  <c r="P17" i="9"/>
  <c r="L17" i="9"/>
  <c r="O17" i="9" s="1"/>
  <c r="P20" i="9"/>
  <c r="L20" i="9"/>
  <c r="O20" i="9" s="1"/>
  <c r="S10" i="9" l="1"/>
  <c r="S9" i="9"/>
  <c r="S12" i="9"/>
  <c r="S11" i="9"/>
</calcChain>
</file>

<file path=xl/sharedStrings.xml><?xml version="1.0" encoding="utf-8"?>
<sst xmlns="http://schemas.openxmlformats.org/spreadsheetml/2006/main" count="3602" uniqueCount="526">
  <si>
    <t>Matriz de Aderência à IN GABSEC/SENAPPEN/MJSP nº 75/2026</t>
  </si>
  <si>
    <t>Modelo de monitoramento ONASP. Regra metodológica: cada pergunta do diagnóstico integra uma única dimensão ou, quando aplicável, exclusivamente o bloco de bônus.</t>
  </si>
  <si>
    <t>Dimensão</t>
  </si>
  <si>
    <t>Peso-base</t>
  </si>
  <si>
    <t>Perguntas do diagnóstico</t>
  </si>
  <si>
    <t>Quantidade de perguntas</t>
  </si>
  <si>
    <t>Função</t>
  </si>
  <si>
    <t>Regra geral</t>
  </si>
  <si>
    <t>Fundamento predominante</t>
  </si>
  <si>
    <t>Regra de unicidade</t>
  </si>
  <si>
    <t>Observação</t>
  </si>
  <si>
    <t>Bônus?</t>
  </si>
  <si>
    <t>Aba</t>
  </si>
  <si>
    <t>01 — Institucionalização</t>
  </si>
  <si>
    <t>M1-11</t>
  </si>
  <si>
    <t>Instituição formal e porta de entrada</t>
  </si>
  <si>
    <t>Sim = 15; Não/Sem evidência = 0</t>
  </si>
  <si>
    <t>Art. 6º, caput</t>
  </si>
  <si>
    <t>M1-11 só aparece nesta dimensão.</t>
  </si>
  <si>
    <t>Também funciona como requisito de entrada.</t>
  </si>
  <si>
    <t>Não</t>
  </si>
  <si>
    <t>01_Institucionalização</t>
  </si>
  <si>
    <t>02 — Autonomia técnica e funcional</t>
  </si>
  <si>
    <t>M3-56; M3-57; M1-12; M4-67; M4-68</t>
  </si>
  <si>
    <t>Autonomia institucional e condições de atuação</t>
  </si>
  <si>
    <t>Atende = integral; Parcial = 50%; demais = 0</t>
  </si>
  <si>
    <t>Arts. 4º, I; 6º; 8º; 10; 13</t>
  </si>
  <si>
    <t>Nenhuma pergunta é reutilizada em outra dimensão.</t>
  </si>
  <si>
    <t>5 perguntas × 3 pontos.</t>
  </si>
  <si>
    <t>02_Autonomia</t>
  </si>
  <si>
    <t>03 — Imparcialidade, sigilo e proteção</t>
  </si>
  <si>
    <t>M4-69; M3-63</t>
  </si>
  <si>
    <t>Proteção de denúncias sensíveis e compromisso de sigilo</t>
  </si>
  <si>
    <t>Arts. 4º, II; 9º; 10</t>
  </si>
  <si>
    <t>M4-66 e M2-37 foram retiradas desta dimensão e permanecem em Integração tecnológica.</t>
  </si>
  <si>
    <t>Pesos: 8 + 7.</t>
  </si>
  <si>
    <t>03_Imparcialidade</t>
  </si>
  <si>
    <t>04 — Acessibilidade e atendimento humanizado</t>
  </si>
  <si>
    <t>M2-41; M2-43; M2-47; M2-16; M1-13; M4-64</t>
  </si>
  <si>
    <t>Canais, espaço físico e alcance dos públicos</t>
  </si>
  <si>
    <t>Arts. 4º, III; 7º; 10</t>
  </si>
  <si>
    <t>M2-45 foi retirada desta dimensão e permanece em Integração tecnológica.</t>
  </si>
  <si>
    <t>Pesos: 2+2+2+3+3+3.</t>
  </si>
  <si>
    <t>04_Acessibilidade</t>
  </si>
  <si>
    <t>05 — Transparência e publicidade</t>
  </si>
  <si>
    <t>M2-35; M4-71</t>
  </si>
  <si>
    <t>Visibilidade e publicidade das ações</t>
  </si>
  <si>
    <t>Arts. 4º, IV; 7º; 10; 12</t>
  </si>
  <si>
    <t>M1-12 foi retirada desta dimensão e permanece em Autonomia.</t>
  </si>
  <si>
    <t>Pesos: 5 + 10.</t>
  </si>
  <si>
    <t>05_Transparência</t>
  </si>
  <si>
    <t>06 — Integração tecnológica</t>
  </si>
  <si>
    <t>M2-45; M4-66; M2-37; M2-17; M2-19; M2-21; M2-27</t>
  </si>
  <si>
    <t>Canal/sistema, protocolo, segurança e equipamentos</t>
  </si>
  <si>
    <t>Arts. 4º, V; 7º; 11; 13</t>
  </si>
  <si>
    <t>M4-67 foi retirada desta dimensão e permanece em Autonomia.</t>
  </si>
  <si>
    <t>Pesos: 5+5+5+4+2+2+2.</t>
  </si>
  <si>
    <t>06_Integração Tec</t>
  </si>
  <si>
    <t>TOTAL BASE</t>
  </si>
  <si>
    <t>—</t>
  </si>
  <si>
    <t>Nota-base</t>
  </si>
  <si>
    <t>Soma das seis dimensões</t>
  </si>
  <si>
    <t>Metodologia ONASP</t>
  </si>
  <si>
    <t>Nenhuma pergunta-base é repetida.</t>
  </si>
  <si>
    <t>Nota-base máxima = 100.</t>
  </si>
  <si>
    <t>08_Resumo</t>
  </si>
  <si>
    <t>07 — Maturidade / bônus</t>
  </si>
  <si>
    <t>M2-46; M0-08; M3-60; M3-58; M2-50; M2-49; M2-36</t>
  </si>
  <si>
    <t>Características adicionais de maturidade</t>
  </si>
  <si>
    <t>Sim = bônus integral; demais = 0</t>
  </si>
  <si>
    <t>Arts. 4º; 6º; 7º; 8º; 9º</t>
  </si>
  <si>
    <t>Nenhuma pergunta do bônus aparece na pontuação-base.</t>
  </si>
  <si>
    <t>Aplicado somente até completar 100.</t>
  </si>
  <si>
    <t>Sim</t>
  </si>
  <si>
    <t>07_Maturidade</t>
  </si>
  <si>
    <t>Tratamento da base: Espírito Santo permanece com duas unidades de avaliação (Polícia Penal e SEJUS/ES). RO e SC permanecem com as respostas mais recentes já consolidadas na planilha de origem. Todas as colunas de evidências/observações mantêm a referência Doc. SEI 37070578.</t>
  </si>
  <si>
    <t>Peso: 15 pontos. A existência de ato normativo específico também funciona como requisito de entrada para a classificação de aderência.</t>
  </si>
  <si>
    <t>Identificação</t>
  </si>
  <si>
    <t>Item 1 — Instituição formal da Ouvidoria de Serviços Penais</t>
  </si>
  <si>
    <t>Resultado</t>
  </si>
  <si>
    <t>UF</t>
  </si>
  <si>
    <t>Unidade Federativa</t>
  </si>
  <si>
    <t>M1-11 — Existe ato normativo específico que cria a Ouvidoria de Serviços Penais ou núcleo especializado?</t>
  </si>
  <si>
    <t>Resposta do diagnóstico</t>
  </si>
  <si>
    <t>Fundamentação na IN nº 75/2026</t>
  </si>
  <si>
    <t>15 pts</t>
  </si>
  <si>
    <t>Pontuação /15</t>
  </si>
  <si>
    <t>Situação institucional</t>
  </si>
  <si>
    <t>Evidências / observações</t>
  </si>
  <si>
    <t>Como aplicar / resposta / fundamento →</t>
  </si>
  <si>
    <t>15 pts: existe ato normativo específico vigente que cria/institui a Ouvidoria de Serviços Penais ou núcleo especializado. 0 pt: não existe ato específico ou não há evidência suficiente. Sem o ato, a unidade é classificada como Não instituída.</t>
  </si>
  <si>
    <t>Resposta original consolidada do diagnóstico.</t>
  </si>
  <si>
    <t>Art. 6º, caput.</t>
  </si>
  <si>
    <t>15 = instituída
0 = não instituída / sem evidência</t>
  </si>
  <si>
    <t>Pontuação automática.</t>
  </si>
  <si>
    <t>Sem ato, não há classificação ordinária de aderência.</t>
  </si>
  <si>
    <t>Doc. SEI 37070578</t>
  </si>
  <si>
    <t>AC</t>
  </si>
  <si>
    <t>Acre</t>
  </si>
  <si>
    <t>Existe ato infralegal (portaria, resolução, ordem de serviço) que cria ouvidoria de serviços penais ou núcleo especializado</t>
  </si>
  <si>
    <t>AL</t>
  </si>
  <si>
    <t>Alagoas</t>
  </si>
  <si>
    <t>Existe lei ou decreto que cria ouvidoria de serviços penais ou núcleo especializado</t>
  </si>
  <si>
    <t>AP</t>
  </si>
  <si>
    <t>Amapá</t>
  </si>
  <si>
    <t>AM</t>
  </si>
  <si>
    <t>Amazonas</t>
  </si>
  <si>
    <t>BA</t>
  </si>
  <si>
    <t>Bahia</t>
  </si>
  <si>
    <t>CE</t>
  </si>
  <si>
    <t>Ceará</t>
  </si>
  <si>
    <t>DF</t>
  </si>
  <si>
    <t>Distrito Federal</t>
  </si>
  <si>
    <t>ES</t>
  </si>
  <si>
    <t>Espírito Santo — Polícia Penal</t>
  </si>
  <si>
    <t>Espírito Santo — SEJUS/ES</t>
  </si>
  <si>
    <t>GO</t>
  </si>
  <si>
    <t>Goiás</t>
  </si>
  <si>
    <t>MA</t>
  </si>
  <si>
    <t>Maranhão</t>
  </si>
  <si>
    <t>MT</t>
  </si>
  <si>
    <t>Mato Grosso</t>
  </si>
  <si>
    <t>MS</t>
  </si>
  <si>
    <t>Mato Grosso do Sul</t>
  </si>
  <si>
    <t>Existe apenas ato de ouvidoria geral do Estado, sem criação de unidade/núcleo específico para serviços penais</t>
  </si>
  <si>
    <t>MG</t>
  </si>
  <si>
    <t>Minas Gerais</t>
  </si>
  <si>
    <t>PA</t>
  </si>
  <si>
    <t>Pará</t>
  </si>
  <si>
    <t>Não há normativos específicos da Secretaria, apenas do Estado</t>
  </si>
  <si>
    <t>PB</t>
  </si>
  <si>
    <t>Paraíba</t>
  </si>
  <si>
    <t>PR</t>
  </si>
  <si>
    <t>Paraná</t>
  </si>
  <si>
    <t>PE</t>
  </si>
  <si>
    <t>Pernambuco</t>
  </si>
  <si>
    <t>PI</t>
  </si>
  <si>
    <t>Piauí</t>
  </si>
  <si>
    <t>RJ</t>
  </si>
  <si>
    <t>Rio de Janeiro</t>
  </si>
  <si>
    <t>RN</t>
  </si>
  <si>
    <t>Rio Grande do Norte</t>
  </si>
  <si>
    <t>RS</t>
  </si>
  <si>
    <t>Rio Grande do Sul</t>
  </si>
  <si>
    <t>RO</t>
  </si>
  <si>
    <t>Rondônia</t>
  </si>
  <si>
    <t>Não existe qualquer ato específico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</si>
  <si>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</si>
  <si>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</si>
  <si>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</si>
  <si>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</si>
  <si>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</si>
  <si>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</si>
  <si>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</si>
  <si>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</si>
  <si>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Sem resposta no diagnóstico</t>
  </si>
  <si>
    <t>TO</t>
  </si>
  <si>
    <t>Tocantins</t>
  </si>
  <si>
    <t>Peso da dimensão: 15 pontos. Cada pergunta do diagnóstico pertence exclusivamente a uma única dimensão da matriz.</t>
  </si>
  <si>
    <t>Item 1 — Garantia normativa de autonomia técnica/funcional</t>
  </si>
  <si>
    <t>Item 2 — Condições institucionais de atuação sem interferência indevida</t>
  </si>
  <si>
    <t>Resultado da dimensão</t>
  </si>
  <si>
    <t>M3-56 — Vinculação institucional da Ouvidoria de Serviços Penais</t>
  </si>
  <si>
    <t>3 pts</t>
  </si>
  <si>
    <t>M3-57 — Existência e designação do(a) Ouvidor(a) de Serviços Penais</t>
  </si>
  <si>
    <t>M1-12 — Conteúdo do ato de criação da Ouvidoria de Serviços Penais</t>
  </si>
  <si>
    <t>M4-67 — Fluxo de trabalho interno da Ouvidoria de Serviços Penais</t>
  </si>
  <si>
    <t>M4-68 — Prazos e qualidade da resposta às manifestações</t>
  </si>
  <si>
    <t>3 pts: vinculada diretamente ao Gabinete/autoridade máxima, ou situação equivalente que assegure posição institucional autônoma. 1,5 pt: vinculada à estrutura central, sem subordinação a área operacional. 0 pt: vinculada a área operacional, não se aplica ou sem evidência.</t>
  </si>
  <si>
    <t>Resposta original consolidada do diagnóstico das Ouvidorias Estaduais de Serviços Penais.</t>
  </si>
  <si>
    <t>Art. 4º, I; art. 6º, §1º, I.</t>
  </si>
  <si>
    <t>3 = atende
1.5 = parcial
0 = não atende / sem evidência</t>
  </si>
  <si>
    <t>3 pts: há Ouvidor(a) formalmente designado(a) pela autoridade máxima ou autoridade superior equivalente. 1,5 pt: designação formal em condição intermediária. 0 pt: ponto focal informal, inexistência de Ouvidor específico ou sem evidência.</t>
  </si>
  <si>
    <t>Art. 4º, I; art. 8º, caput.</t>
  </si>
  <si>
    <t>3 pts: o ato prevê simultaneamente dever de colaboração das áreas e prerrogativa de solicitar informações/documentos e requisitar apuração. 1,5 pt: apenas um desses elementos. 0 pt: nenhum ou sem evidência.</t>
  </si>
  <si>
    <t>Art. 6º, §1º, III; art. 10, II.</t>
  </si>
  <si>
    <t>3 pts: fluxo formalizado e efetivamente utilizado, contemplando recebimento, registro, encaminhamento, acompanhamento e devolutiva. 1,5 pt: fluxo descrito, mas pouco aplicado. 0 pt: fluxo informal/inexistente ou sem evidência.</t>
  </si>
  <si>
    <t>Art. 13, caput e incisos I a V.</t>
  </si>
  <si>
    <t>3 pts: prazos claros e registrados, monitoramento e medidas diante de descumprimento. 1,5 pt: há prazos, mas sem controle sistemático. 0 pt: inexistência de prazos/monitoramento ou sem evidência.</t>
  </si>
  <si>
    <t>Art. 6º, §1º, IV; art. 10, II e IV; art. 13, IV e V.</t>
  </si>
  <si>
    <t>Soma automática das perguntas desta dimensão.</t>
  </si>
  <si>
    <t>Referência documental geral das respostas: Doc. SEI 37070578.</t>
  </si>
  <si>
    <t>Vinculada diretamente ao Gabinete ou à autoridade máxima do órgão gestor do sistema penal</t>
  </si>
  <si>
    <t>Há ouvidor(a) designado(a) formalmente pela autoridade máxima do órgão gestor do sistema penal</t>
  </si>
  <si>
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familiares;Garante a proteção da identidade do(a) manifestante e a confidencialidade das informações;Enuncia a finalidade da Ouvidoria de Serviços Penais como instância permanente de interlocução entre cidadãos, pessoas privadas de liberdade, familiares e servidores(as) penais e a administração penitenciária;</t>
  </si>
  <si>
    <t>Há fluxo descrito, mas pouco aplicado na prática</t>
  </si>
  <si>
    <t>Há prazos definidos (em norma ou ato interno), com tentativas de cumprimento, mas sem controle sistemático</t>
  </si>
  <si>
    <t>Não há normativa;</t>
  </si>
  <si>
    <t>Há fluxo informal (cada caso é tratado de forma diferente, sem padronização)</t>
  </si>
  <si>
    <t>Há prazos claros e registrados, com monitoramento das respostas das áreas e medidas adotadas em caso de descumprimento (cobrança, reencaminhamento, informação a instâncias superiores etc.)</t>
  </si>
  <si>
    <t>Indica a denominação da Ouvidoria de Serviços Penais e sua vinculação na estrutura organizacional do órgão;Estabelece prazos para resposta das áreas competentes e para devolutiva ao(à) manifestante;Define as competências básicas, compreendendo o recebimento, a análise, o encaminhamento e a resposta às manifestações;Garante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contínuas;Enuncia a finalidade da Ouvidoria de Serviços Penais como instância permanente de interlocução entre cidadãos, pessoas privadas de liberdade, familiares e servidores(as) penais e a administração penitenciária;Prevê que a Ouvidoria pode solicitar informações e documentos e requisitar apuração às áreas competentes, com prazos definidos;</t>
  </si>
  <si>
    <t>Há fluxo formalizado e efetivamente utilizado, contemplando, no mínimo, recebimento, registro, encaminhamento à área competente, acompanhamento da resposta e devolutiva ao(à) manifestante, quando aplicável</t>
  </si>
  <si>
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</si>
  <si>
    <t>Indica a denominação da Ouvidoria de Serviços Penais e sua vinculação na estrutura organizacional do órgão;Define as competências básicas, compreendendo o recebimento, a análise, o encaminhamento e a resposta às manifestações;</t>
  </si>
  <si>
    <t>Indica a denominação da Ouvidoria de Serviços Penais e sua vinculação na estrutura organizacional do órgão;</t>
  </si>
  <si>
    <t>Estabelece prazos para resposta das áreas competentes e para devolutiva ao(à) manifestante;Prevê que a Ouvidoria pode solicitar informações e documentos e requisitar apuração às áreas competentes, com prazos definidos;Estabelece o dever de colaboração das áreas técnicas e administrativas do órgão com as demandas encaminhadas pela Ouvidoria;Define as competências básicas, compreendendo o recebimento, a análise, o encaminhamento e a resposta às manifestações;Garante a proteção da identidade do(a) manifestante e a confidencialidade das informações;Define mandato, regras de substituição e regras de confidencialidade aplicáveis ao(à) Ouvidor(a) e à equipe;Prevê que a resposta ao(à) manifestante deve ser prestada em linguagem clara, acessível e respeitosa;Indica a denominação da Ouvidoria de Serviços Penais e sua vinculação na estrutura organizacional do órgão;</t>
  </si>
  <si>
    <t>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respeitosa;Define as competências básicas, compreendendo o recebimento, a análise, o encaminhamento e a resposta às manifestações;Estabelece o dever de colaboração das áreas técnicas e administrativas do órgão com as demandas encaminhadas pela Ouvidoria;</t>
  </si>
  <si>
    <t>Define mandato, regras de substituição e regras de confidencialidade aplicáveis ao(à) Ouvidor(a) e à equipe;Enuncia a finalidade da Ouvidoria de Serviços Penais como instância permanente de interlocução entre cidadãos, pessoas privadas de liberdade, familiares e servidores(as) penais e a administração penitenciária;Prevê a elaboração e publicação de relatórios periódicos de atividades, com dados estatísticos e indicadores de desempenho;Determina que a Ouvidoria deve identificar padrões e tendências nas manifestações para elaborar diagnósticos e propor melhorias contínuas;Prevê que a resposta ao(à) manifestante deve ser prestada em linguagem clara, acessível e respeitosa;Garante a proteção da identidade do(a) manifestante e a confidencialidade das informações;Estabelece prazos para resposta das áreas competentes e para devolutiva ao(à) manifestante;Prevê que a Ouvidoria pode solicitar informações e documentos e requisitar apuração às áreas competentes, com prazos definidos;Estabelece o dever de colaboração das áreas técnicas e administrativas do órgão com as demandas encaminhadas pela Ouvidoria;Especifica, entre o público atendido, cidadãos, servidores(as), pessoas privadas de liberdade e seus familiares;Define as competências básicas, compreendendo o recebimento, a análise, o encaminhamento e a resposta às manifestações;Indica a denominação da Ouvidoria de Serviços Penais e sua vinculação na estrutura organizacional do órgão;</t>
  </si>
  <si>
    <t>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Ouvidoria;Enuncia a finalidade da Ouvidoria de Serviços Penais como instância permanente de interlocução entre cidadãos, pessoas privadas de liberdade, familiares e servidores(as) penais e a administração penitenciária;Determina que a Ouvidoria deve identificar padrões e tendências nas manifestações para elaborar diagnósticos e propor melhorias contínuas;Prevê que a Ouvidoria pode solicitar informações e documentos e requisitar apuração às áreas competentes, com prazos definidos;Especifica, entre o público atendido, cidadãos, servidores(as), pessoas privadas de liberdade e seus familiares;</t>
  </si>
  <si>
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penitenciária;Define mandato, regras de substituição e regras de confidencialidade aplicáveis ao(à) Ouvidor(a) e à equipe;Prevê que a Ouvidoria pode solicitar informações e documentos e requisitar apuração às áreas competentes, com prazos definidos;</t>
  </si>
  <si>
    <t>A Ouvidoria do Sistema Penitenciário e Socieducativo é uma das 10 ouvidorias temáticas integrantes da estrutura da Ouvidoria-Geral do Estado de Minas Gerais (OGE/MG), órgão autônomo subordinado ao Governador do Estado.</t>
  </si>
  <si>
    <t>O cargo de Ouvidor do Sistema Penitenciário e Socioeducativo é provido por ato do Governador do Estado.</t>
  </si>
  <si>
    <t>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</si>
  <si>
    <t>Não se aplica (não há ouvidoria própria prevista)</t>
  </si>
  <si>
    <t>Há ponto focal informal, sem designação formal</t>
  </si>
  <si>
    <t>Não há Ouvidoria constituída na Secretaria;</t>
  </si>
  <si>
    <t>Não há Ouvidoria consituída</t>
  </si>
  <si>
    <t>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Ouvidoria;Define mandato, regras de substituição e regras de confidencialidade aplicáveis ao(à) Ouvidor(a) e à equipe;</t>
  </si>
  <si>
    <t>Vinculada a área operacional (diretoria, coordenação de unidade, etc.)</t>
  </si>
  <si>
    <t>Especifica, entre o público atendido, cidadãos, servidores(as), pessoas privadas de liberdade e seus familiares;Indica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definidos;Prevê a elaboração e publicação de relatórios periódicos de atividades, com dados estatísticos e indicadores de desempenho;Garante a proteção da identidade do(a) manifestante e a confidencialidade das informações;</t>
  </si>
  <si>
    <t>Indica a denominação da Ouvidoria de Serviços Penais e sua vinculação na estrutura organizacional do órgão;Define as competências básicas, compreendendo o recebimento, a análise, o encaminhamento e a resposta às manifestações;Prevê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</si>
  <si>
    <t>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</t>
  </si>
  <si>
    <t>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respeitosa;Enuncia a finalidade da Ouvidoria de Serviços Penais como instância permanente de interlocução entre cidadãos, pessoas privadas de liberdade, familiares e servidores(as) penais e a administração penitenciária;</t>
  </si>
  <si>
    <t>Especifica, entre o público atendido, cidadãos, servidores(as), pessoas privadas de liberdade e seus familiares;Define as competências básicas, compreendendo o recebimento, a análise, o encaminhamento e a resposta às manifestações;Indica a denominação da Ouvidoria de Serviços Penais e sua vinculação na estrutura organizacional do órgão;Estabelece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manifestante;Prevê que a resposta ao(à) manifestante deve ser prestada em linguagem clara, acessível e respeitosa;Garante a proteção da identidade do(a) manifestante e a confidencialidade das informações;Determina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penitenciária;Define mandato, regras de substituição e regras de confidencialidade aplicáveis ao(à) Ouvidor(a) e à equipe;</t>
  </si>
  <si>
    <t>Item 1 — Proteção e tratamento de denúncias graves e sensíveis</t>
  </si>
  <si>
    <t>Item 2 — Confidencialidade e sigilo da equipe</t>
  </si>
  <si>
    <t>M4-69 — Tratamento de denúncias graves e sensíveis</t>
  </si>
  <si>
    <t>8 pts</t>
  </si>
  <si>
    <t>M3-63 — Compromisso de sigilo da equipe</t>
  </si>
  <si>
    <t>7 pts</t>
  </si>
  <si>
    <t>8 pts: há tratamento específico para denúncias graves/sensíveis, com proteção da identidade, sigilo reforçado ou restrição de acesso e encaminhamento adequado. 4 pts: tratamento diferenciado, mas incompleto. 0 pt: inexistência de proteção específica ou sem evidência.</t>
  </si>
  <si>
    <t>Art. 4º, II e §2º; art. 10, III.</t>
  </si>
  <si>
    <t>8 = atende
4 = parcial
0 = não atende / sem evidência</t>
  </si>
  <si>
    <t>7 pts: equipe e colaboradores possuem compromisso formal de sigilo. 3,5 pts: compromisso parcial, informal ou não abrangente. 0 pt: inexistente ou sem evidência.</t>
  </si>
  <si>
    <t>Art. 9º, §4º.</t>
  </si>
  <si>
    <t>7 = atende
3.5 = parcial
0 = não atende / sem evidência</t>
  </si>
  <si>
    <t>Protocolo para situações de risco à vida ou à integridade de pessoas privadas de liberdade;</t>
  </si>
  <si>
    <t>Há cláusulas genéricas de sigilo em códigos de ética ou normativos equivalentes</t>
  </si>
  <si>
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</si>
  <si>
    <t>Não há qualquer instrumento formal de sigilo para a equipe da Ouvidoria</t>
  </si>
  <si>
    <t>Protocolo para casos de tortura ou tratamento cruel, desumano ou degradante em unidades penais;Protocolo para ameaças, retaliações ou perseguições contra servidores(as) penais em razão de manifestações ou denúncias;</t>
  </si>
  <si>
    <t>A equipe assina Termo de Compromisso de Manutenção de Sigilo Funcional específico para atuação na Ouvidoria de Serviços Penais</t>
  </si>
  <si>
    <t>Além do termo, há rotinas de reforço e capacitação periódica sobre sigilo e proteção de dados pessoais</t>
  </si>
  <si>
    <t>Protocolo para ameaças, retaliações ou perseguições contra servidores(as) penais em razão de manifestações ou denúncias;Protocolo para assédio moral ou sexual envolvendo servidores(as) penais;Protocolo para outras formas de violência institucional em unidades penais;Protocolo para situações de risco à vida ou à integridade de pessoas privadas de liberdade;Protocolo para casos de tortura ou tratamento cruel, desumano ou degradante em unidades penais;</t>
  </si>
  <si>
    <t>Protocolo para casos de tortura ou tratamento cruel, desumano ou degradante em unidades penais;</t>
  </si>
  <si>
    <t>Procedimentos de sigilo reforçado, restrição de acesso e fluxos de emergência para esses casos;Protocolo para assédio moral ou sexual envolvendo servidores(as) penais;</t>
  </si>
  <si>
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denúncias;Procedimentos de sigilo reforçado, restrição de acesso e fluxos de emergência para esses casos;Protocolo para corrupção e irregularidades graves na gestão dos serviços penais;</t>
  </si>
  <si>
    <t>Protocolo para assédio moral ou sexual envolvendo servidores(as) penais;</t>
  </si>
  <si>
    <t>Procedimentos de sigilo reforçado, restrição de acesso e fluxos de emergência para esses casos;Protocolo para situações de risco à vida ou à integridade de pessoas privadas de liberdade;Protocolo para assédio moral ou sexual envolvendo servidores(as) penais;Protocolo para outras formas de violência institucional em unidades penais;Protocolo para corrupção e irregularidades graves na gestão dos serviços penais;Protocolo para ameaças, retaliações ou perseguições contra servidores(as) penais em razão de manifestações ou denúncias;Protocolo para casos de tortura ou tratamento cruel, desumano ou degradante em unidades penais;</t>
  </si>
  <si>
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penais;Procedimentos de sigilo reforçado, restrição de acesso e fluxos de emergência para esses casos;</t>
  </si>
  <si>
    <t>Procedimentos de sigilo reforçado, restrição de acesso e fluxos de emergência para esses casos;Protocolo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</t>
  </si>
  <si>
    <t>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casos;A OGE/MG possui uma Ouvidoria de Prevenção e Combate ao Assédio Moral e Sexual, bem como Ouvidoria de Prevenção e Combate a Corrupção. ;</t>
  </si>
  <si>
    <t>Não há Ouvidoria consituída;</t>
  </si>
  <si>
    <t>Não há equipe</t>
  </si>
  <si>
    <t>Protocolo para situações de risco à vida ou à integridade de pessoas privadas de liberdade;Protocolo para casos de tortura ou tratamento cruel, desumano ou degradante em unidades penais;Protocolo para assédio moral ou sexual envolvendo servidores(as) penais;Protocolo para ameaças, retaliações ou perseguições contra servidores(as) penais em razão de manifestações ou denúncias;</t>
  </si>
  <si>
    <t>Procedimentos de sigilo reforçado, restrição de acesso e fluxos de emergência para esses casos;Protocolo para corrupção e irregularidades graves na gestão dos serviços penais;Protocolo para ameaças, retaliações ou perseguições contra servidores(as) penais em razão de manifestações ou denúncias;Protocolo para assédio moral ou sexual envolvendo servidores(as) penais;Protocolo para outras formas de violência institucional em unidades penais;Protocolo para casos de tortura ou tratamento cruel, desumano ou degradante em unidades penais;Protocolo para situações de risco à vida ou à integridade de pessoas privadas de liberdade;</t>
  </si>
  <si>
    <t>Protocolo para situações de risco à vida ou à integridade de pessoas privadas de liberdade;Protocolo para casos de tortura ou tratamento cruel, desumano ou degradante em unidades penais;Protocolo para assédio moral ou sexual envolvendo servidores(as) penais;</t>
  </si>
  <si>
    <t>Protocolo para situações de risco à vida ou à integridade de pessoas privadas de liberdade;Protocolo para ameaças, retaliações ou perseguições contra servidores(as) penais em razão de manifestações ou denúncias;Protocolo para assédio moral ou sexual envolvendo servidores(as) penais;Protocolo para corrupção e irregularidades graves na gestão dos serviços penais;Procedimentos de sigilo reforçado, restrição de acesso e fluxos de emergência para esses casos;Protocolo para casos de tortura ou tratamento cruel, desumano ou degradante em unidades penais;Protocolo para outras formas de violência institucional em unidades penais;</t>
  </si>
  <si>
    <t>Procedimentos de sigilo reforçado, restrição de acesso e fluxos de emergência para esses casos;Protocolo para corrupção e irregularidades graves na gestão dos serviços penais;</t>
  </si>
  <si>
    <t>Protocolo para situações de risco à vida ou à integridade de pessoas privadas de liberdade;Protocolo para casos de tortura ou tratamento cruel, desumano ou degradante em unidades penais;Protocolo para assédio moral ou sexual envolvendo servidores(as) penais;Procedimentos de sigilo reforçado, restrição de acesso e fluxos de emergência para esses casos;</t>
  </si>
  <si>
    <t>Protocolo para situações de risco à vida ou à integridade de pessoas privadas de liberdade;Protocolo para casos de tortura ou tratamento cruel, desumano ou degradante em unidades penais;Protocolo para assédio moral ou sexual envolvendo servidores(as) penais;Protocolo para outras formas de violência institucional em unidades penais;</t>
  </si>
  <si>
    <t>Item 1 — Canais institucionais acessíveis</t>
  </si>
  <si>
    <t>Item 2 — Condições de atendimento reservado e acessível</t>
  </si>
  <si>
    <t>Item 3 — Alcance dos públicos dos serviços penais</t>
  </si>
  <si>
    <t>M2-41 — E-mail institucional exclusivo</t>
  </si>
  <si>
    <t>2 pts</t>
  </si>
  <si>
    <t>M2-43 — Linha telefônica funcional de uso restrito</t>
  </si>
  <si>
    <t>M2-47 — Endereço postal próprio ou referência clara</t>
  </si>
  <si>
    <t>M2-16 — Espaço físico da Ouvidoria</t>
  </si>
  <si>
    <t>M1-13 — Públicos atendidos no plano normativo</t>
  </si>
  <si>
    <t>M4-64 — Públicos atendidos na prática</t>
  </si>
  <si>
    <t>2 pts: possui e-mail institucional exclusivo ativo. 1 pt: e-mail institucional não exclusivo ou com limitação relevante. 0 pt: inexistente ou sem evidência.</t>
  </si>
  <si>
    <t>Art. 7º, §2º, I.</t>
  </si>
  <si>
    <t>2 = atende
1 = parcial
0 = não atende / sem evidência</t>
  </si>
  <si>
    <t>2 pts: possui telefone/ramal funcional de uso restrito. 1 pt: telefone compartilhado ou limitado. 0 pt: inexistente ou sem evidência.</t>
  </si>
  <si>
    <t>Art. 7º, §2º, II.</t>
  </si>
  <si>
    <t>2 pts: existe endereço postal próprio ou referência institucional clara. 1 pt: referência indireta/compartilhada que ainda permite recebimento. 0 pt: inexistente ou sem evidência.</t>
  </si>
  <si>
    <t>Art. 7º, §2º, IV.</t>
  </si>
  <si>
    <t>3 pts: espaço com privacidade, confidencialidade e condições de acessibilidade/atendimento. 1,5 pt: espaço existente com limitações relevantes. 0 pt: sem espaço adequado ou sem evidência.</t>
  </si>
  <si>
    <t>Art. 7º, §1º, I e II.</t>
  </si>
  <si>
    <t>3 pts: previsão normativa contempla amplamente os públicos dos serviços penais. 1,5 pt: contempla apenas parte relevante dos públicos. 0 pt: previsão restrita/inexistente ou sem evidência.</t>
  </si>
  <si>
    <t>Art. 4º, III; art. 10, I.</t>
  </si>
  <si>
    <t>3 pts: atendimento alcança de forma ampla os principais públicos dos serviços penais. 1,5 pt: alcance parcial ou com barreiras relevantes. 0 pt: alcance muito restrito ou sem evidência.</t>
  </si>
  <si>
    <t>Possui instalação física própria, com privacidade, acessibilidade e condições adequadas de atendimento</t>
  </si>
  <si>
    <t>Pessoas privadas de liberdade;Familiares / pessoas de referência de pessoas privadas de liberdade;Servidores(as) penais e demais trabalhadores(as) dos serviços penais;Demais cidadãos e usuários de serviços relacionados ao sistema penal;</t>
  </si>
  <si>
    <t>Pessoas privadas de liberdade: Nunca recebe manifestações desse público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</si>
  <si>
    <t>Não existe normativa;</t>
  </si>
  <si>
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raramente</t>
  </si>
  <si>
    <t>Possui sala definida, mas com limitações relevantes (privacidade, acessibilidade, mobiliário)</t>
  </si>
  <si>
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</si>
  <si>
    <t>Pessoas privadas de liberdade: Recebe com alguma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</si>
  <si>
    <t>Demais cidadãos e usuários de serviços relacionados ao sistema penal;</t>
  </si>
  <si>
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</si>
  <si>
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</si>
  <si>
    <t>Pessoas privadas de liberdade: Recebe raramente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</si>
  <si>
    <t>Pessoas privadas de liberdade: Recebe raramente | Familiares / pessoas de referência de pessoas privadas de liberdade: Recebe com alguma frequência | Servidores(as) penais e demais trabalhadores(as) dos serviços penais: Recebe com alguma frequência | Outros cidadãos e usuários de serviços relacionados ao sistema penal: Recebe com alguma frequência</t>
  </si>
  <si>
    <t>Não há espaço físico identificado</t>
  </si>
  <si>
    <t>Demais cidadãos e usuários de serviços relacionados ao sistema penal;Servidores(as) penais e demais trabalhadores(as) dos serviços penais;Familiares / pessoas de referência de pessoas privadas de liberdade;Pessoas privadas de liberdade;</t>
  </si>
  <si>
    <t>Pessoas privadas de liberdade: Recebe com alguma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</si>
  <si>
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</si>
  <si>
    <t>Não há Ouvidoria constituída na Secretaria</t>
  </si>
  <si>
    <t>Pessoas privadas de liberdade: Nunca recebe manifestações desse público | Familiares / pessoas de referência de pessoas privadas de liberdade: Nunca recebe manifestações desse público | Servidores(as) penais e demais trabalhadores(as) dos serviços penais: Nunca recebe manifestações desse público | Outros cidadãos e usuários de serviços relacionados ao sistema penal: Nunca recebe manifestações desse público</t>
  </si>
  <si>
    <t>Pessoas privadas de liberdade;Familiares / pessoas de referência de pessoas privadas de liberdade;</t>
  </si>
  <si>
    <t>Pessoas privadas de liberdade: Recebe com alguma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</si>
  <si>
    <t>Pessoas privadas de liberdade: Recebe com alta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</si>
  <si>
    <t>Pessoas privadas de liberdade: Recebe com alta frequência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</si>
  <si>
    <t>Pessoas privadas de liberdade: Recebe com alta frequência | Familiares / pessoas de referência de pessoas privadas de liberdade: Recebe com alguma frequência | Servidores(as) penais e demais trabalhadores(as) dos serviços penais: Recebe com alguma frequência | Outros cidadãos e usuários de serviços relacionados ao sistema penal: Recebe raramente</t>
  </si>
  <si>
    <t>Pessoas privadas de liberdade: Recebe raramente | Familiares / pessoas de referência de pessoas privadas de liberdade: Recebe raramente | Servidores(as) penais e demais trabalhadores(as) dos serviços penais: Recebe com alguma frequência | Outros cidadãos e usuários de serviços relacionados ao sistema penal: Recebe raramente</t>
  </si>
  <si>
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alguma frequência</t>
  </si>
  <si>
    <t>Item 1 — Visibilidade institucional e divulgação dos canais</t>
  </si>
  <si>
    <t>Item 2 — Publicidade das ações e atividades</t>
  </si>
  <si>
    <t>M2-35 — Placas e cartazes da Ouvidoria</t>
  </si>
  <si>
    <t>5 pts</t>
  </si>
  <si>
    <t>M4-71 — Monitoramento, relatórios e recomendações</t>
  </si>
  <si>
    <t>10 pts</t>
  </si>
  <si>
    <t>5 pts: existem placas/cartazes institucionais que dão visibilidade à Ouvidoria e a seus canais. 2,5 pts: divulgação física limitada ou parcial. 0 pt: inexistente ou sem evidência. A IN trata esses instrumentos como recomendados.</t>
  </si>
  <si>
    <t>Art. 4º, IV; art. 7º, §6º, III.</t>
  </si>
  <si>
    <t>5 = atende
2.5 = parcial
0 = não atende / sem evidência</t>
  </si>
  <si>
    <t>10 pts: há produção/divulgação periódica de relatórios, monitoramento ou recomendações sobre a atuação. 5 pts: prática parcial ou esporádica. 0 pt: inexistente ou sem evidência. A pergunta não substitui eventual verificação adicional do art. 7º, §3º, sobre área no sítio eletrônico oficial.</t>
  </si>
  <si>
    <t>Art. 4º, IV; art. 10, VI; art. 12, §3º.</t>
  </si>
  <si>
    <t>10 = atende
5 = parcial
0 = não atende / sem evidência</t>
  </si>
  <si>
    <t>A Ouvidoria não dispõe de placas/cartazes próprios fixados nas unidades prisionais nem em locais de atendimento ao público, familiares e servidores(as)</t>
  </si>
  <si>
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</si>
  <si>
    <t>A Ouvidoria dispõe de placas/cartazes em algumas unidades ou pontos de atendimento, de forma pontual e sem padronização</t>
  </si>
  <si>
    <t>Há relatórios periódicos, mas com pouco uso gerencial e sem indicadores estruturados</t>
  </si>
  <si>
    <t>A Ouvidoria dispõe de placas/cartazes padronizados em todas ou na maior parte das unidades prisionais e dos locais de atendimento ao público, familiares e servidores(as), com indicação clara dos canais de contato</t>
  </si>
  <si>
    <t>Há relatórios pontuais, sem periodicidade definida</t>
  </si>
  <si>
    <t>Há relatórios periódicos com dados estatísticos e análise de manifestações.</t>
  </si>
  <si>
    <t>Peso da dimensão: 25 pontos. Cada pergunta do diagnóstico pertence exclusivamente a uma única dimensão da matriz.</t>
  </si>
  <si>
    <t>Item 1 — Canal eletrônico e solução para registro e gestão das manifestações</t>
  </si>
  <si>
    <t>Item 2 — Registro, protocolo, rastreabilidade e acompanhamento</t>
  </si>
  <si>
    <t>Item 3 — Sigilo, autenticação e controle de acesso</t>
  </si>
  <si>
    <t>Item 4 — Computadores e acesso à internet</t>
  </si>
  <si>
    <t>Item 5 — Impressoras e scanners</t>
  </si>
  <si>
    <t>Item 6 — Aparelhos de telefone celular</t>
  </si>
  <si>
    <t>M2-45 — Sistemas ou canais eletrônicos utilizados para registro e gestão</t>
  </si>
  <si>
    <t>M4-66 — Registro, protocolo e classificação das manifestações</t>
  </si>
  <si>
    <t>M2-37 — Recursos específicos de segurança da informação</t>
  </si>
  <si>
    <t>M2-17 — Quantidade atualmente disponível de computadores com acesso à internet</t>
  </si>
  <si>
    <t>4 pts</t>
  </si>
  <si>
    <t>M2-19 — Impressoras multifuncionais atualmente disponíveis</t>
  </si>
  <si>
    <t>M2-21 — Scanners atualmente disponíveis</t>
  </si>
  <si>
    <t>M2-27 — Smartphones atualmente disponíveis</t>
  </si>
  <si>
    <t>Pontuação /25</t>
  </si>
  <si>
    <t>5 pts: utiliza solução eletrônica institucional capaz de receber/registrar e apoiar a gestão das manifestações. 2,5 pts: solução parcial, manual ou limitada. 0 pt: inexistente ou sem evidência.</t>
  </si>
  <si>
    <t>Art. 4º, V; art. 7º, §2º, III; §4º, II; §5º.</t>
  </si>
  <si>
    <t>5 pts: manifestações são registradas/classificadas e recebem protocolo que permita acompanhamento e rastreabilidade. 2,5 pts: registro/protocolo parcial. 0 pt: inexistente ou sem evidência.</t>
  </si>
  <si>
    <t>Art. 11; art. 13, II.</t>
  </si>
  <si>
    <t>5 pts: há autenticação, restrição de acesso e mecanismos compatíveis de segurança da informação. 2,5 pts: controles básicos ou incompletos. 0 pt: inexistentes ou sem evidência.</t>
  </si>
  <si>
    <t>Art. 4º, §2º; art. 7º, §4º, II e III; §5º.</t>
  </si>
  <si>
    <t>4 pts: há computador(es) com acesso à internet disponível(is) para a Ouvidoria. 2 pts: disponibilidade compartilhada/limitada que compromete a rotina. 0 pt: quantidade zero ou sem evidência. A IN não fixa quantitativo mínimo.</t>
  </si>
  <si>
    <t>Art. 7º, §4º, I.</t>
  </si>
  <si>
    <t>4 = atende
2 = parcial
0 = não atende / sem evidência</t>
  </si>
  <si>
    <t>2 pts: há ao menos uma impressora multifuncional disponível regularmente. 1 pt: acesso compartilhado/limitado. 0 pt: inexistente ou sem evidência. Recurso recomendado na IN.</t>
  </si>
  <si>
    <t>Art. 7º, §6º, I.</t>
  </si>
  <si>
    <t>2 pts: há scanner disponível regularmente. 1 pt: acesso compartilhado/limitado. 0 pt: inexistente ou sem evidência. A referência normativa é indireta quando se trata de scanner autônomo.</t>
  </si>
  <si>
    <t>Art. 7º, §6º, I — impressora multifuncional; scanner autônomo não é citado expressamente.</t>
  </si>
  <si>
    <t>2 pts: há aparelho celular institucional disponível para a Ouvidoria. 1 pt: aparelho compartilhado/uso limitado. 0 pt: inexistente ou sem evidência. Recurso recomendado na IN.</t>
  </si>
  <si>
    <t>Art. 7º, §6º, IV.</t>
  </si>
  <si>
    <t>Possui canal próprio na Plataforma Fala.BR (CGU);Não utiliza nenhum sistema estruturado; registros são feitos em planilha ou outro meio manual;</t>
  </si>
  <si>
    <t>Toda manifestação é registrada com número de protocolo, é classificada por tipo e passa por análise preliminar, com critérios para arquivamento fundamentado e para o tratamento de manifestações anônimas</t>
  </si>
  <si>
    <t>Antivírus institucional instalado nas estações de trabalho;Mecanismos de autenticação e controle de acesso aos dados;Acesso restrito a pastas/sistemas que contenham manifestações;Política interna ou instruções sobre tratamento de dados pessoais;</t>
  </si>
  <si>
    <t>3</t>
  </si>
  <si>
    <t>1</t>
  </si>
  <si>
    <t>0</t>
  </si>
  <si>
    <t>Utiliza apenas outro sistema eletrônico de ouvidoria (estadual ou próprio do órgão);</t>
  </si>
  <si>
    <t>As manifestações são registradas, mas sem número de protocolo individual</t>
  </si>
  <si>
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</si>
  <si>
    <t>Acesso restrito a pastas/sistemas que contenham manifestações;Mecanismos de autenticação e controle de acesso aos dados;</t>
  </si>
  <si>
    <t>2</t>
  </si>
  <si>
    <t>Possui canal próprio na Plataforma Fala.BR (CGU);Utiliza apenas outro sistema eletrônico de ouvidoria (estadual ou próprio do órgão);</t>
  </si>
  <si>
    <t>10</t>
  </si>
  <si>
    <t>Antivírus institucional instalado nas estações de trabalho;Rotina de backup periódico dos dados da Ouvidoria;Acesso restrito a pastas/sistemas que contenham manifestações;Política interna ou instruções sobre tratamento de dados pessoais;</t>
  </si>
  <si>
    <t>5</t>
  </si>
  <si>
    <t>4</t>
  </si>
  <si>
    <t>Não possui canal próprio na Fala.BR, mas utiliza o canal Fala.BR da Ouvidoria-Geral do Estado ou outra ouvidoria central;Utiliza apenas outro sistema eletrônico de ouvidoria (estadual ou próprio do órgão);</t>
  </si>
  <si>
    <t>Antivírus institucional instalado nas estações de trabalho;Acesso restrito a pastas/sistemas que contenham manifestações;Mecanismos de autenticação e controle de acesso aos dados;Rotina de backup periódico dos dados da Ouvidoria;Política interna ou instruções sobre tratamento de dados pessoais;</t>
  </si>
  <si>
    <t>9</t>
  </si>
  <si>
    <t>Possui canal próprio na Plataforma Fala.BR (CGU);</t>
  </si>
  <si>
    <t>Acesso restrito a pastas/sistemas que contenham manifestações;</t>
  </si>
  <si>
    <t>6</t>
  </si>
  <si>
    <t>Não possui canal próprio na Fala.BR, mas utiliza o canal Fala.BR da Ouvidoria-Geral do Estado ou outra ouvidoria central;emails da secretaria;</t>
  </si>
  <si>
    <t>Antivírus institucional instalado nas estações de trabalho;Rotina de backup periódico dos dados da Ouvidoria;Acesso restrito a pastas/sistemas que contenham manifestações;Política interna ou instruções sobre tratamento de dados pessoais;Mecanismos de autenticação e controle de acesso aos dados;</t>
  </si>
  <si>
    <t>Rotina de backup periódico dos dados da Ouvidoria;Política interna ou instruções sobre tratamento de dados pessoais;</t>
  </si>
  <si>
    <t>Mecanismos de autenticação e controle de acesso aos dados;Acesso restrito a pastas/sistemas que contenham manifestações;</t>
  </si>
  <si>
    <t>Antivírus institucional instalado nas estações de trabalho;Acesso restrito a pastas/sistemas que contenham manifestações;</t>
  </si>
  <si>
    <t>Antivírus institucional instalado nas estações de trabalho;Acesso restrito a pastas/sistemas que contenham manifestações;Política interna ou instruções sobre tratamento de dados pessoais;</t>
  </si>
  <si>
    <t>Política interna ou instruções sobre tratamento de dados pessoais;Acesso restrito a pastas/sistemas que contenham manifestações;Rotina de backup periódico dos dados da Ouvidoria;Mecanismos de autenticação e controle de acesso aos dados;Antivírus institucional instalado nas estações de trabalho;</t>
  </si>
  <si>
    <t>Política interna ou instruções sobre tratamento de dados pessoais;</t>
  </si>
  <si>
    <t>As manifestações são registradas com número de protocolo, mas sem classificação ou critérios claros de análise preliminar</t>
  </si>
  <si>
    <t>Antivírus institucional instalado nas estações de trabalho;Mecanismos de autenticação e controle de acesso aos dados;Acesso restrito a pastas/sistemas que contenham manifestações;</t>
  </si>
  <si>
    <t>Antivírus institucional instalado nas estações de trabalho;Mecanismos de autenticação e controle de acesso aos dados;Política interna ou instruções sobre tratamento de dados pessoais;Acesso restrito a pastas/sistemas que contenham manifestações;Rotina de backup periódico dos dados da Ouvidoria;</t>
  </si>
  <si>
    <t>12</t>
  </si>
  <si>
    <t>Não possui canal próprio na Fala.BR, mas utiliza o canal Fala.BR da Ouvidoria-Geral do Estado ou outra ouvidoria central;</t>
  </si>
  <si>
    <t>Bônus disponível: até 10 pontos. Cada pergunta deste bloco é exclusiva do bônus e não aparece nas dimensões de pontuação-base.</t>
  </si>
  <si>
    <t>Bônus — Uso do canal Fala.BR</t>
  </si>
  <si>
    <t>Bônus — Designação por mandato</t>
  </si>
  <si>
    <t>Bônus — Dedicação da equipe</t>
  </si>
  <si>
    <t>Bônus — Requisitos de perfil para o cargo de Ouvidor</t>
  </si>
  <si>
    <t>Bônus — WhatsApp institucional</t>
  </si>
  <si>
    <t>Bônus — Outros canais eletrônicos institucionais</t>
  </si>
  <si>
    <t>Bônus — Materiais adicionais de divulgação e educação em direitos</t>
  </si>
  <si>
    <t>Resultado do bônus</t>
  </si>
  <si>
    <t>M2-46 — Uso do canal Fala.BR (+3)</t>
  </si>
  <si>
    <t>M0-08 — Designação por mandato (+1)</t>
  </si>
  <si>
    <t>M3-60 — Dedicação da equipe (+1)</t>
  </si>
  <si>
    <t>M3-58 — Requisitos de perfil para o cargo de Ouvidor (+1)</t>
  </si>
  <si>
    <t>M2-50 — WhatsApp institucional (+1)</t>
  </si>
  <si>
    <t>M2-49 — Outros canais eletrônicos institucionais (+1)</t>
  </si>
  <si>
    <t>M2-36 — Materiais adicionais de divulgação e educação em direitos (+2)</t>
  </si>
  <si>
    <t>Bônus disponível /10</t>
  </si>
  <si>
    <t>SIM: utiliza o Fala.BR. NÃO/SEM EVIDÊNCIA: 0. Valor: +3 ponto(s).</t>
  </si>
  <si>
    <t>Art. 4º, V; art. 7º, §2º, III, e §5º.</t>
  </si>
  <si>
    <t>SIM: existe mandato fixo formalmente previsto. NÃO/SEM EVIDÊNCIA: 0. Valor: +1 ponto(s).</t>
  </si>
  <si>
    <t>Art. 6º, §2º; art. 8º, §2º.</t>
  </si>
  <si>
    <t>SIM: há dedicação exclusiva da equipe. NÃO/SEM EVIDÊNCIA: 0. Valor: +1 ponto(s).</t>
  </si>
  <si>
    <t>Art. 9º, caput.</t>
  </si>
  <si>
    <t>SIM: perfil atende aos requisitos preferenciais indicados na IN. NÃO/SEM EVIDÊNCIA: 0. Valor: +1 ponto(s).</t>
  </si>
  <si>
    <t>Art. 8º, §1º.</t>
  </si>
  <si>
    <t>SIM: existe WhatsApp institucional utilizado pela Ouvidoria. NÃO/SEM EVIDÊNCIA: 0. Valor: +1 ponto(s).</t>
  </si>
  <si>
    <t>Art. 4º, III e V; art. 7º, §2º — canal adicional não previsto nominalmente.</t>
  </si>
  <si>
    <t>SIM: existem outros canais eletrônicos institucionais adicionais. NÃO/SEM EVIDÊNCIA: 0. Valor: +1 ponto(s).</t>
  </si>
  <si>
    <t>Art. 4º, III e V; art. 7º, §2º.</t>
  </si>
  <si>
    <t>SIM: existem materiais adicionais de divulgação/educação em direitos. NÃO/SEM EVIDÊNCIA: 0. Valor: +2 ponto(s).</t>
  </si>
  <si>
    <t>Art. 7º, §6º, III.</t>
  </si>
  <si>
    <t>Soma dos bônus comprovados.</t>
  </si>
  <si>
    <t>O Fala.BR é utilizado apenas para parte das manifestações</t>
  </si>
  <si>
    <t>Sem mandato</t>
  </si>
  <si>
    <t>A equipe atua com dedicação exclusiva na Ouvidoria de Serviços Penais</t>
  </si>
  <si>
    <t>Reputação ilibada;Conhecimento em gestão pública;Conhecimento em direitos humanos ou sistema penal;</t>
  </si>
  <si>
    <t>68 98112-4517</t>
  </si>
  <si>
    <t>WhatsApp institucional ou outro aplicativo de mensagem;ouvidoriaiapen@gmail.com;</t>
  </si>
  <si>
    <t>Cartões de contato da Ouvidoria;Conteúdos digitais no site ou portal institucional específicos da Ouvidoria de Serviços Penais;</t>
  </si>
  <si>
    <t>Não utiliza o Fala.BR</t>
  </si>
  <si>
    <t>não</t>
  </si>
  <si>
    <t>82-98802-5049</t>
  </si>
  <si>
    <t>WhatsApp institucional ou outro aplicativo de mensagem;</t>
  </si>
  <si>
    <t>Folders, panfletos ou guias impressos explicando o papel da Ouvidoria e seus canais;Materiais educativos voltados a pessoas privadas de liberdade, familiares ou servidores(as) penais;Conteúdos digitais no site ou portal institucional específicos da Ouvidoria de Serviços Penais;</t>
  </si>
  <si>
    <t>Reputação ilibada;Conhecimento em gestão pública;Conhecimento em direitos humanos ou sistema penal;Experiência prévia em ouvidoria pública;</t>
  </si>
  <si>
    <t>96 98414-9015</t>
  </si>
  <si>
    <t>WhatsApp institucional ou outro aplicativo de mensagem;E-mail ;</t>
  </si>
  <si>
    <t>Conteúdos digitais no site ou portal institucional específicos da Ouvidoria de Serviços Penais;Outras peças ou campanhas de comunicação ou educação em direitos;</t>
  </si>
  <si>
    <t>Negativo</t>
  </si>
  <si>
    <t>92 9981033886 /92 99389-0160</t>
  </si>
  <si>
    <t>Conteúdos digitais no site ou portal institucional específicos da Ouvidoria de Serviços Penais;Materiais educativos voltados a pessoas privadas de liberdade, familiares ou servidores(as) penais;Folders, panfletos ou guias impressos explicando o papel da Ouvidoria e seus canais;</t>
  </si>
  <si>
    <t>Parte da equipe tem dedicação prioritária, mas acumula outras funções relevantes</t>
  </si>
  <si>
    <t>Reputação ilibada;</t>
  </si>
  <si>
    <t>e-mail, telefone, TAG (sistema das ouvidorias - site e 0800);</t>
  </si>
  <si>
    <t>Cartões de contato da Ouvidoria;</t>
  </si>
  <si>
    <t>Não. No Ceará designação se dá por livre nomeação e exoneração.</t>
  </si>
  <si>
    <t>155</t>
  </si>
  <si>
    <t>cearatransparente.ce.gov.br ;</t>
  </si>
  <si>
    <t>Folders, panfletos ou guias impressos explicando o papel da Ouvidoria e seus canais;</t>
  </si>
  <si>
    <t>Não.</t>
  </si>
  <si>
    <t>Reputação ilibada;Conhecimento em gestão pública;</t>
  </si>
  <si>
    <t>Não se aplica. Vedação legal do GDF;</t>
  </si>
  <si>
    <t>Folders, panfletos ou guias impressos explicando o papel da Ouvidoria e seus canais;Conteúdos digitais no site ou portal institucional específicos da Ouvidoria de Serviços Penais;</t>
  </si>
  <si>
    <t>05/01/2026 a 03/02/2026</t>
  </si>
  <si>
    <t>Reputação ilibada;Conhecimento em direitos humanos ou sistema penal;Conhecimento em gestão pública;</t>
  </si>
  <si>
    <t>(27) 99316-7687</t>
  </si>
  <si>
    <t>Folders, panfletos ou guias impressos explicando o papel da Ouvidoria e seus canais;Conteúdos digitais no site ou portal institucional específicos da Ouvidoria de Serviços Penais;Outras peças ou campanhas de comunicação ou educação em direitos;</t>
  </si>
  <si>
    <t>A equipe atua de forma predominantemente residual (ouvidoria é atividade secundária)</t>
  </si>
  <si>
    <t>Não tem.</t>
  </si>
  <si>
    <t>Os canais da Ouvidoria Geral são: Presencial, site, e-mail e telefone.;</t>
  </si>
  <si>
    <t>Outras peças ou campanhas de comunicação ou educação em direitos;</t>
  </si>
  <si>
    <t>Serviço 0800 ou linha telefônica especial;</t>
  </si>
  <si>
    <t>Conteúdos digitais no site ou portal institucional específicos da Ouvidoria de Serviços Penais;</t>
  </si>
  <si>
    <t>NÃO</t>
  </si>
  <si>
    <t>Reputação ilibada;Conhecimento em gestão pública;Experiência prévia em ouvidoria pública;</t>
  </si>
  <si>
    <t>(98) 99181-7012</t>
  </si>
  <si>
    <t>WhatsApp institucional ou outro aplicativo de mensagem;Serviço 0800 ou linha telefônica especial;</t>
  </si>
  <si>
    <t>O Fala.BR é utilizado como sistema principal de registro e gestão das manifestações</t>
  </si>
  <si>
    <t>permanente</t>
  </si>
  <si>
    <t>+556581300380</t>
  </si>
  <si>
    <t>WhatsApp institucional ou outro aplicativo de mensagem;fala Cidadão;</t>
  </si>
  <si>
    <t>Cartões de contato da Ouvidoria;Folders, panfletos ou guias impressos explicando o papel da Ouvidoria e seus canais;Materiais educativos voltados a pessoas privadas de liberdade, familiares ou servidores(as) penais;Conteúdos digitais no site ou portal institucional específicos da Ouvidoria de Serviços Penais;Outras peças ou campanhas de comunicação ou educação em direitos;</t>
  </si>
  <si>
    <t>(67)99971-4323</t>
  </si>
  <si>
    <t>(31) 3915-2022</t>
  </si>
  <si>
    <t>Folders, panfletos ou guias impressos explicando o papel da Ouvidoria e seus canais;Outras peças ou campanhas de comunicação ou educação em direitos;</t>
  </si>
  <si>
    <t>Não temos</t>
  </si>
  <si>
    <t>Não temos;</t>
  </si>
  <si>
    <t>Conhecimento em direitos humanos ou sistema penal;Experiência prévia em ouvidoria pública;</t>
  </si>
  <si>
    <t>83 99121-7665</t>
  </si>
  <si>
    <t>Sem mandato definido.</t>
  </si>
  <si>
    <t>41 3294-2958</t>
  </si>
  <si>
    <t>Folders, panfletos ou guias impressos explicando o papel da Ouvidoria e seus canais;Conteúdos digitais no site ou portal institucional específicos da Ouvidoria de Serviços Penais;Cartões de contato da Ouvidoria;</t>
  </si>
  <si>
    <t>Reputação ilibada;Experiência prévia em ouvidoria pública;</t>
  </si>
  <si>
    <t>81 - 9 8491 6545</t>
  </si>
  <si>
    <t>Designação por nomeação, sem prazo de duração estabelecido.</t>
  </si>
  <si>
    <t>Conhecimento em direitos humanos ou sistema penal;Experiência prévia em ouvidoria pública;Conhecimento em gestão pública;Reputação ilibada;</t>
  </si>
  <si>
    <t>email institucional;</t>
  </si>
  <si>
    <t>(21) 97067-0584 Atendimento virtual sem interação humana</t>
  </si>
  <si>
    <t>WhatsApp institucional ou outro aplicativo de mensagem;Serviço 0800 ou linha telefônica especial;OUVERJ;</t>
  </si>
  <si>
    <t>Mandato de 02 anos</t>
  </si>
  <si>
    <t>84981305243</t>
  </si>
  <si>
    <t>WhatsApp institucional ou outro aplicativo de mensagem;e-mail FalaBR SEIRN;</t>
  </si>
  <si>
    <t>Folders, panfletos ou guias impressos explicando o papel da Ouvidoria e seus canais;Outras peças ou campanhas de comunicação ou educação em direitos;Conteúdos digitais no site ou portal institucional específicos da Ouvidoria de Serviços Penais;</t>
  </si>
  <si>
    <t>NÃO.</t>
  </si>
  <si>
    <t>E POR NOMEAÇÃO;</t>
  </si>
  <si>
    <t>NÃO HÁ</t>
  </si>
  <si>
    <t>Materiais educativos voltados a pessoas privadas de liberdade, familiares ou servidores(as) penais;</t>
  </si>
  <si>
    <t>EM</t>
  </si>
  <si>
    <t>NÃO TEM;</t>
  </si>
  <si>
    <t>Conteúdos digitais no site ou portal institucional específicos da Ouvidoria de Serviços Penais;Folders, panfletos ou guias impressos explicando o papel da Ouvidoria e seus canais;Cartões de contato da Ouvidoria;</t>
  </si>
  <si>
    <t>Canais de Ouvidoria do Estado Santa Catarina;</t>
  </si>
  <si>
    <t>Duração de 02 anos</t>
  </si>
  <si>
    <t>Reputação ilibada;Conhecimento em direitos humanos ou sistema penal;</t>
  </si>
  <si>
    <t>011 3206-4759</t>
  </si>
  <si>
    <t>Resumo e classificação por unidade de avaliação</t>
  </si>
  <si>
    <t>Pontuação-base máxima: 100. Bônus disponível: até 10. Nenhuma pergunta é contabilizada em mais de uma dimensão.</t>
  </si>
  <si>
    <t>Institucionalização /15</t>
  </si>
  <si>
    <t>Autonomia /15</t>
  </si>
  <si>
    <t>Imparcialidade /15</t>
  </si>
  <si>
    <t>Acessibilidade /15</t>
  </si>
  <si>
    <t>Transparência /15</t>
  </si>
  <si>
    <t>Integração tecnológica /25</t>
  </si>
  <si>
    <t>Nota-base /100</t>
  </si>
  <si>
    <t>Bônus aplicado</t>
  </si>
  <si>
    <t>Nota final /100</t>
  </si>
  <si>
    <t>Trava dimensão zerada</t>
  </si>
  <si>
    <t>Classificação</t>
  </si>
  <si>
    <t>Indicador</t>
  </si>
  <si>
    <t>Valor</t>
  </si>
  <si>
    <t>Unidades de avaliação</t>
  </si>
  <si>
    <t>Instituídas</t>
  </si>
  <si>
    <t>Não instituídas</t>
  </si>
  <si>
    <t>Sem evidência institucional</t>
  </si>
  <si>
    <t>Elevada aderência</t>
  </si>
  <si>
    <t>Aderência satisfatória</t>
  </si>
  <si>
    <t>Aderência parcial</t>
  </si>
  <si>
    <t>Baixa/insuficiente aderência</t>
  </si>
  <si>
    <t>Atende</t>
  </si>
  <si>
    <t>Sem evidência</t>
  </si>
  <si>
    <t>Não atende</t>
  </si>
  <si>
    <t>Parcial</t>
  </si>
  <si>
    <t>Decreto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</si>
</sst>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5"/>
      <color rgb="FFFFFFFF"/>
      <name val="Carlito"/>
    </font>
    <font>
      <sz val="9"/>
      <color rgb="FF7F6000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9"/>
      <color rgb="FF1F1F1F"/>
      <name val="Carlito"/>
    </font>
    <font>
      <sz val="9"/>
      <color rgb="FF40404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6" fillId="8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87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sqref="A1:K1"/>
    </sheetView>
  </sheetViews>
  <sheetFormatPr defaultRowHeight="14.4" x14ac:dyDescent="0.3"/>
  <cols>
    <col min="1" max="1" width="29" customWidth="1"/>
    <col min="2" max="2" width="12" customWidth="1"/>
    <col min="3" max="3" width="46" customWidth="1"/>
    <col min="4" max="4" width="16" customWidth="1"/>
    <col min="5" max="5" width="38" customWidth="1"/>
    <col min="6" max="6" width="34" customWidth="1"/>
    <col min="7" max="7" width="30" customWidth="1"/>
    <col min="8" max="8" width="43" customWidth="1"/>
    <col min="9" max="9" width="38" customWidth="1"/>
    <col min="10" max="10" width="10" customWidth="1"/>
    <col min="11" max="11" width="24" customWidth="1"/>
  </cols>
  <sheetData>
    <row r="1" spans="1:11" ht="22.3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8.4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8.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spans="1:11" ht="28.8" x14ac:dyDescent="0.3">
      <c r="A5" s="3" t="s">
        <v>13</v>
      </c>
      <c r="B5" s="3">
        <v>15</v>
      </c>
      <c r="C5" s="3" t="s">
        <v>14</v>
      </c>
      <c r="D5" s="3">
        <v>1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 spans="1:11" ht="28.8" x14ac:dyDescent="0.3">
      <c r="A6" s="3" t="s">
        <v>22</v>
      </c>
      <c r="B6" s="3">
        <v>15</v>
      </c>
      <c r="C6" s="3" t="s">
        <v>23</v>
      </c>
      <c r="D6" s="3">
        <v>5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28</v>
      </c>
      <c r="J6" s="3" t="s">
        <v>20</v>
      </c>
      <c r="K6" s="3" t="s">
        <v>29</v>
      </c>
    </row>
    <row r="7" spans="1:11" ht="28.8" x14ac:dyDescent="0.3">
      <c r="A7" s="3" t="s">
        <v>30</v>
      </c>
      <c r="B7" s="3">
        <v>15</v>
      </c>
      <c r="C7" s="3" t="s">
        <v>31</v>
      </c>
      <c r="D7" s="3">
        <v>2</v>
      </c>
      <c r="E7" s="3" t="s">
        <v>32</v>
      </c>
      <c r="F7" s="3" t="s">
        <v>25</v>
      </c>
      <c r="G7" s="3" t="s">
        <v>33</v>
      </c>
      <c r="H7" s="3" t="s">
        <v>34</v>
      </c>
      <c r="I7" s="3" t="s">
        <v>35</v>
      </c>
      <c r="J7" s="3" t="s">
        <v>20</v>
      </c>
      <c r="K7" s="3" t="s">
        <v>36</v>
      </c>
    </row>
    <row r="8" spans="1:11" ht="28.8" x14ac:dyDescent="0.3">
      <c r="A8" s="3" t="s">
        <v>37</v>
      </c>
      <c r="B8" s="3">
        <v>15</v>
      </c>
      <c r="C8" s="3" t="s">
        <v>38</v>
      </c>
      <c r="D8" s="3">
        <v>6</v>
      </c>
      <c r="E8" s="3" t="s">
        <v>39</v>
      </c>
      <c r="F8" s="3" t="s">
        <v>25</v>
      </c>
      <c r="G8" s="3" t="s">
        <v>40</v>
      </c>
      <c r="H8" s="3" t="s">
        <v>41</v>
      </c>
      <c r="I8" s="3" t="s">
        <v>42</v>
      </c>
      <c r="J8" s="3" t="s">
        <v>20</v>
      </c>
      <c r="K8" s="3" t="s">
        <v>43</v>
      </c>
    </row>
    <row r="9" spans="1:11" ht="28.8" x14ac:dyDescent="0.3">
      <c r="A9" s="3" t="s">
        <v>44</v>
      </c>
      <c r="B9" s="3">
        <v>15</v>
      </c>
      <c r="C9" s="3" t="s">
        <v>45</v>
      </c>
      <c r="D9" s="3">
        <v>2</v>
      </c>
      <c r="E9" s="3" t="s">
        <v>46</v>
      </c>
      <c r="F9" s="3" t="s">
        <v>25</v>
      </c>
      <c r="G9" s="3" t="s">
        <v>47</v>
      </c>
      <c r="H9" s="3" t="s">
        <v>48</v>
      </c>
      <c r="I9" s="3" t="s">
        <v>49</v>
      </c>
      <c r="J9" s="3" t="s">
        <v>20</v>
      </c>
      <c r="K9" s="3" t="s">
        <v>50</v>
      </c>
    </row>
    <row r="10" spans="1:11" ht="28.8" x14ac:dyDescent="0.3">
      <c r="A10" s="3" t="s">
        <v>51</v>
      </c>
      <c r="B10" s="3">
        <v>25</v>
      </c>
      <c r="C10" s="3" t="s">
        <v>52</v>
      </c>
      <c r="D10" s="3">
        <v>7</v>
      </c>
      <c r="E10" s="3" t="s">
        <v>53</v>
      </c>
      <c r="F10" s="3" t="s">
        <v>25</v>
      </c>
      <c r="G10" s="3" t="s">
        <v>54</v>
      </c>
      <c r="H10" s="3" t="s">
        <v>55</v>
      </c>
      <c r="I10" s="3" t="s">
        <v>56</v>
      </c>
      <c r="J10" s="3" t="s">
        <v>20</v>
      </c>
      <c r="K10" s="3" t="s">
        <v>57</v>
      </c>
    </row>
    <row r="11" spans="1:11" x14ac:dyDescent="0.3">
      <c r="A11" s="3" t="s">
        <v>58</v>
      </c>
      <c r="B11" s="3">
        <v>100</v>
      </c>
      <c r="C11" s="3" t="s">
        <v>59</v>
      </c>
      <c r="D11" s="3">
        <v>23</v>
      </c>
      <c r="E11" s="3" t="s">
        <v>60</v>
      </c>
      <c r="F11" s="3" t="s">
        <v>61</v>
      </c>
      <c r="G11" s="3" t="s">
        <v>62</v>
      </c>
      <c r="H11" s="3" t="s">
        <v>63</v>
      </c>
      <c r="I11" s="3" t="s">
        <v>64</v>
      </c>
      <c r="J11" s="3" t="s">
        <v>59</v>
      </c>
      <c r="K11" s="3" t="s">
        <v>65</v>
      </c>
    </row>
    <row r="12" spans="1:11" ht="28.8" x14ac:dyDescent="0.3">
      <c r="A12" s="3" t="s">
        <v>66</v>
      </c>
      <c r="B12" s="3">
        <v>10</v>
      </c>
      <c r="C12" s="3" t="s">
        <v>67</v>
      </c>
      <c r="D12" s="3">
        <v>7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  <c r="J12" s="3" t="s">
        <v>73</v>
      </c>
      <c r="K12" s="3" t="s">
        <v>74</v>
      </c>
    </row>
    <row r="14" spans="1:11" ht="43.95" customHeight="1" x14ac:dyDescent="0.3">
      <c r="A14" s="9" t="s">
        <v>75</v>
      </c>
      <c r="B14" s="9"/>
      <c r="C14" s="9"/>
      <c r="D14" s="9"/>
      <c r="E14" s="9"/>
      <c r="F14" s="9"/>
      <c r="G14" s="9"/>
      <c r="H14" s="9"/>
      <c r="I14" s="9"/>
      <c r="J14" s="9"/>
      <c r="K14" s="9"/>
    </row>
  </sheetData>
  <mergeCells count="3">
    <mergeCell ref="A1:K1"/>
    <mergeCell ref="A2:K2"/>
    <mergeCell ref="A14:K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tabSelected="1" topLeftCell="A21" workbookViewId="0">
      <selection activeCell="I32" sqref="I32"/>
    </sheetView>
  </sheetViews>
  <sheetFormatPr defaultRowHeight="14.4" x14ac:dyDescent="0.3"/>
  <cols>
    <col min="1" max="1" width="8" customWidth="1"/>
    <col min="2" max="2" width="29" customWidth="1"/>
    <col min="3" max="4" width="42" customWidth="1"/>
    <col min="5" max="5" width="24" customWidth="1"/>
    <col min="6" max="6" width="10" customWidth="1"/>
    <col min="7" max="7" width="13" customWidth="1"/>
    <col min="8" max="8" width="18" customWidth="1"/>
    <col min="9" max="9" width="31" customWidth="1"/>
  </cols>
  <sheetData>
    <row r="1" spans="1:9" ht="22.35" customHeight="1" x14ac:dyDescent="0.3">
      <c r="A1" s="8" t="s">
        <v>13</v>
      </c>
      <c r="B1" s="8"/>
      <c r="C1" s="8"/>
      <c r="D1" s="8"/>
      <c r="E1" s="8"/>
      <c r="F1" s="8"/>
      <c r="G1" s="8"/>
      <c r="H1" s="8"/>
      <c r="I1" s="8"/>
    </row>
    <row r="2" spans="1:9" ht="38.4" customHeight="1" x14ac:dyDescent="0.3">
      <c r="A2" s="9" t="s">
        <v>76</v>
      </c>
      <c r="B2" s="9"/>
      <c r="C2" s="9"/>
      <c r="D2" s="9"/>
      <c r="E2" s="9"/>
      <c r="F2" s="9"/>
      <c r="G2" s="9"/>
      <c r="H2" s="9"/>
      <c r="I2" s="9"/>
    </row>
    <row r="4" spans="1:9" x14ac:dyDescent="0.3">
      <c r="A4" s="10" t="s">
        <v>77</v>
      </c>
      <c r="B4" s="10"/>
      <c r="C4" s="10" t="s">
        <v>78</v>
      </c>
      <c r="D4" s="10"/>
      <c r="E4" s="10"/>
      <c r="F4" s="10"/>
      <c r="G4" s="10" t="s">
        <v>79</v>
      </c>
      <c r="H4" s="10"/>
      <c r="I4" s="10"/>
    </row>
    <row r="5" spans="1:9" ht="43.2" x14ac:dyDescent="0.3">
      <c r="A5" s="2" t="s">
        <v>80</v>
      </c>
      <c r="B5" s="2" t="s">
        <v>81</v>
      </c>
      <c r="C5" s="2" t="s">
        <v>82</v>
      </c>
      <c r="D5" s="2" t="s">
        <v>83</v>
      </c>
      <c r="E5" s="2" t="s">
        <v>84</v>
      </c>
      <c r="F5" s="2" t="s">
        <v>85</v>
      </c>
      <c r="G5" s="2" t="s">
        <v>86</v>
      </c>
      <c r="H5" s="2" t="s">
        <v>87</v>
      </c>
      <c r="I5" s="2" t="s">
        <v>88</v>
      </c>
    </row>
    <row r="6" spans="1:9" ht="84" customHeight="1" x14ac:dyDescent="0.3">
      <c r="A6" s="7" t="s">
        <v>89</v>
      </c>
      <c r="B6" s="7"/>
      <c r="C6" s="4" t="s">
        <v>90</v>
      </c>
      <c r="D6" s="5" t="s">
        <v>91</v>
      </c>
      <c r="E6" s="6" t="s">
        <v>92</v>
      </c>
      <c r="F6" s="1" t="s">
        <v>93</v>
      </c>
      <c r="G6" s="1" t="s">
        <v>94</v>
      </c>
      <c r="H6" s="1" t="s">
        <v>95</v>
      </c>
      <c r="I6" s="1" t="s">
        <v>96</v>
      </c>
    </row>
    <row r="7" spans="1:9" ht="24" x14ac:dyDescent="0.3">
      <c r="A7" s="3" t="s">
        <v>97</v>
      </c>
      <c r="B7" s="3" t="s">
        <v>98</v>
      </c>
      <c r="C7" s="3" t="s">
        <v>73</v>
      </c>
      <c r="D7" s="5" t="s">
        <v>99</v>
      </c>
      <c r="E7" s="3" t="s">
        <v>92</v>
      </c>
      <c r="F7" s="3">
        <f t="shared" ref="F7:F34" si="0">IF(C7="Sim",15,0)</f>
        <v>15</v>
      </c>
      <c r="G7" s="3">
        <f t="shared" ref="G7:G34" si="1">F7</f>
        <v>15</v>
      </c>
      <c r="H7" s="3" t="str">
        <f t="shared" ref="H7:H34" si="2">IF(C7="Sim","Instituída",IF(C7="Não","Não instituída","Sem evidência"))</f>
        <v>Instituída</v>
      </c>
      <c r="I7" s="3" t="s">
        <v>96</v>
      </c>
    </row>
    <row r="8" spans="1:9" ht="24" x14ac:dyDescent="0.3">
      <c r="A8" s="3" t="s">
        <v>100</v>
      </c>
      <c r="B8" s="3" t="s">
        <v>101</v>
      </c>
      <c r="C8" s="3" t="s">
        <v>73</v>
      </c>
      <c r="D8" s="5" t="s">
        <v>102</v>
      </c>
      <c r="E8" s="3" t="s">
        <v>92</v>
      </c>
      <c r="F8" s="3">
        <f t="shared" si="0"/>
        <v>15</v>
      </c>
      <c r="G8" s="3">
        <f t="shared" si="1"/>
        <v>15</v>
      </c>
      <c r="H8" s="3" t="str">
        <f t="shared" si="2"/>
        <v>Instituída</v>
      </c>
      <c r="I8" s="3" t="s">
        <v>96</v>
      </c>
    </row>
    <row r="9" spans="1:9" ht="24" x14ac:dyDescent="0.3">
      <c r="A9" s="3" t="s">
        <v>103</v>
      </c>
      <c r="B9" s="3" t="s">
        <v>104</v>
      </c>
      <c r="C9" s="3" t="s">
        <v>73</v>
      </c>
      <c r="D9" s="5" t="s">
        <v>102</v>
      </c>
      <c r="E9" s="3" t="s">
        <v>92</v>
      </c>
      <c r="F9" s="3">
        <f t="shared" si="0"/>
        <v>15</v>
      </c>
      <c r="G9" s="3">
        <f t="shared" si="1"/>
        <v>15</v>
      </c>
      <c r="H9" s="3" t="str">
        <f t="shared" si="2"/>
        <v>Instituída</v>
      </c>
      <c r="I9" s="3" t="s">
        <v>96</v>
      </c>
    </row>
    <row r="10" spans="1:9" ht="24" x14ac:dyDescent="0.3">
      <c r="A10" s="3" t="s">
        <v>105</v>
      </c>
      <c r="B10" s="3" t="s">
        <v>106</v>
      </c>
      <c r="C10" s="3" t="s">
        <v>73</v>
      </c>
      <c r="D10" s="5" t="s">
        <v>102</v>
      </c>
      <c r="E10" s="3" t="s">
        <v>92</v>
      </c>
      <c r="F10" s="3">
        <f t="shared" si="0"/>
        <v>15</v>
      </c>
      <c r="G10" s="3">
        <f t="shared" si="1"/>
        <v>15</v>
      </c>
      <c r="H10" s="3" t="str">
        <f t="shared" si="2"/>
        <v>Instituída</v>
      </c>
      <c r="I10" s="3" t="s">
        <v>96</v>
      </c>
    </row>
    <row r="11" spans="1:9" ht="24" x14ac:dyDescent="0.3">
      <c r="A11" s="3" t="s">
        <v>107</v>
      </c>
      <c r="B11" s="3" t="s">
        <v>108</v>
      </c>
      <c r="C11" s="3" t="s">
        <v>73</v>
      </c>
      <c r="D11" s="5" t="s">
        <v>102</v>
      </c>
      <c r="E11" s="3" t="s">
        <v>92</v>
      </c>
      <c r="F11" s="3">
        <f t="shared" si="0"/>
        <v>15</v>
      </c>
      <c r="G11" s="3">
        <f t="shared" si="1"/>
        <v>15</v>
      </c>
      <c r="H11" s="3" t="str">
        <f t="shared" si="2"/>
        <v>Instituída</v>
      </c>
      <c r="I11" s="3" t="s">
        <v>96</v>
      </c>
    </row>
    <row r="12" spans="1:9" ht="24" x14ac:dyDescent="0.3">
      <c r="A12" s="3" t="s">
        <v>109</v>
      </c>
      <c r="B12" s="3" t="s">
        <v>110</v>
      </c>
      <c r="C12" s="3" t="s">
        <v>73</v>
      </c>
      <c r="D12" s="5" t="s">
        <v>102</v>
      </c>
      <c r="E12" s="3" t="s">
        <v>92</v>
      </c>
      <c r="F12" s="3">
        <f t="shared" si="0"/>
        <v>15</v>
      </c>
      <c r="G12" s="3">
        <f t="shared" si="1"/>
        <v>15</v>
      </c>
      <c r="H12" s="3" t="str">
        <f t="shared" si="2"/>
        <v>Instituída</v>
      </c>
      <c r="I12" s="3" t="s">
        <v>96</v>
      </c>
    </row>
    <row r="13" spans="1:9" ht="24" x14ac:dyDescent="0.3">
      <c r="A13" s="3" t="s">
        <v>111</v>
      </c>
      <c r="B13" s="3" t="s">
        <v>112</v>
      </c>
      <c r="C13" s="3" t="s">
        <v>73</v>
      </c>
      <c r="D13" s="5" t="s">
        <v>102</v>
      </c>
      <c r="E13" s="3" t="s">
        <v>92</v>
      </c>
      <c r="F13" s="3">
        <f t="shared" si="0"/>
        <v>15</v>
      </c>
      <c r="G13" s="3">
        <f t="shared" si="1"/>
        <v>15</v>
      </c>
      <c r="H13" s="3" t="str">
        <f t="shared" si="2"/>
        <v>Instituída</v>
      </c>
      <c r="I13" s="3" t="s">
        <v>96</v>
      </c>
    </row>
    <row r="14" spans="1:9" ht="24" x14ac:dyDescent="0.3">
      <c r="A14" s="3" t="s">
        <v>113</v>
      </c>
      <c r="B14" s="3" t="s">
        <v>114</v>
      </c>
      <c r="C14" s="3" t="s">
        <v>73</v>
      </c>
      <c r="D14" s="5" t="s">
        <v>102</v>
      </c>
      <c r="E14" s="3" t="s">
        <v>92</v>
      </c>
      <c r="F14" s="3">
        <f t="shared" si="0"/>
        <v>15</v>
      </c>
      <c r="G14" s="3">
        <f t="shared" si="1"/>
        <v>15</v>
      </c>
      <c r="H14" s="3" t="str">
        <f t="shared" si="2"/>
        <v>Instituída</v>
      </c>
      <c r="I14" s="3" t="s">
        <v>96</v>
      </c>
    </row>
    <row r="15" spans="1:9" ht="24" x14ac:dyDescent="0.3">
      <c r="A15" s="3" t="s">
        <v>113</v>
      </c>
      <c r="B15" s="3" t="s">
        <v>115</v>
      </c>
      <c r="C15" s="3" t="s">
        <v>73</v>
      </c>
      <c r="D15" s="5" t="s">
        <v>99</v>
      </c>
      <c r="E15" s="3" t="s">
        <v>92</v>
      </c>
      <c r="F15" s="3">
        <f t="shared" si="0"/>
        <v>15</v>
      </c>
      <c r="G15" s="3">
        <f t="shared" si="1"/>
        <v>15</v>
      </c>
      <c r="H15" s="3" t="str">
        <f t="shared" si="2"/>
        <v>Instituída</v>
      </c>
      <c r="I15" s="3" t="s">
        <v>96</v>
      </c>
    </row>
    <row r="16" spans="1:9" ht="24" x14ac:dyDescent="0.3">
      <c r="A16" s="3" t="s">
        <v>116</v>
      </c>
      <c r="B16" s="3" t="s">
        <v>117</v>
      </c>
      <c r="C16" s="3" t="s">
        <v>73</v>
      </c>
      <c r="D16" s="5" t="s">
        <v>99</v>
      </c>
      <c r="E16" s="3" t="s">
        <v>92</v>
      </c>
      <c r="F16" s="3">
        <f t="shared" si="0"/>
        <v>15</v>
      </c>
      <c r="G16" s="3">
        <f t="shared" si="1"/>
        <v>15</v>
      </c>
      <c r="H16" s="3" t="str">
        <f t="shared" si="2"/>
        <v>Instituída</v>
      </c>
      <c r="I16" s="3" t="s">
        <v>96</v>
      </c>
    </row>
    <row r="17" spans="1:9" ht="24" x14ac:dyDescent="0.3">
      <c r="A17" s="3" t="s">
        <v>118</v>
      </c>
      <c r="B17" s="3" t="s">
        <v>119</v>
      </c>
      <c r="C17" s="3" t="s">
        <v>73</v>
      </c>
      <c r="D17" s="5" t="s">
        <v>102</v>
      </c>
      <c r="E17" s="3" t="s">
        <v>92</v>
      </c>
      <c r="F17" s="3">
        <f t="shared" si="0"/>
        <v>15</v>
      </c>
      <c r="G17" s="3">
        <f t="shared" si="1"/>
        <v>15</v>
      </c>
      <c r="H17" s="3" t="str">
        <f t="shared" si="2"/>
        <v>Instituída</v>
      </c>
      <c r="I17" s="3" t="s">
        <v>96</v>
      </c>
    </row>
    <row r="18" spans="1:9" ht="24" x14ac:dyDescent="0.3">
      <c r="A18" s="3" t="s">
        <v>120</v>
      </c>
      <c r="B18" s="3" t="s">
        <v>121</v>
      </c>
      <c r="C18" s="3" t="s">
        <v>73</v>
      </c>
      <c r="D18" s="5" t="s">
        <v>102</v>
      </c>
      <c r="E18" s="3" t="s">
        <v>92</v>
      </c>
      <c r="F18" s="3">
        <f t="shared" si="0"/>
        <v>15</v>
      </c>
      <c r="G18" s="3">
        <f t="shared" si="1"/>
        <v>15</v>
      </c>
      <c r="H18" s="3" t="str">
        <f t="shared" si="2"/>
        <v>Instituída</v>
      </c>
      <c r="I18" s="3" t="s">
        <v>96</v>
      </c>
    </row>
    <row r="19" spans="1:9" ht="24" x14ac:dyDescent="0.3">
      <c r="A19" s="3" t="s">
        <v>122</v>
      </c>
      <c r="B19" s="3" t="s">
        <v>123</v>
      </c>
      <c r="C19" s="3" t="s">
        <v>73</v>
      </c>
      <c r="D19" s="5" t="s">
        <v>124</v>
      </c>
      <c r="E19" s="3" t="s">
        <v>92</v>
      </c>
      <c r="F19" s="3">
        <f t="shared" si="0"/>
        <v>15</v>
      </c>
      <c r="G19" s="3">
        <f t="shared" si="1"/>
        <v>15</v>
      </c>
      <c r="H19" s="3" t="str">
        <f t="shared" si="2"/>
        <v>Instituída</v>
      </c>
      <c r="I19" s="3" t="s">
        <v>96</v>
      </c>
    </row>
    <row r="20" spans="1:9" ht="24" x14ac:dyDescent="0.3">
      <c r="A20" s="3" t="s">
        <v>125</v>
      </c>
      <c r="B20" s="3" t="s">
        <v>126</v>
      </c>
      <c r="C20" s="3" t="s">
        <v>73</v>
      </c>
      <c r="D20" s="5" t="s">
        <v>102</v>
      </c>
      <c r="E20" s="3" t="s">
        <v>92</v>
      </c>
      <c r="F20" s="3">
        <f t="shared" si="0"/>
        <v>15</v>
      </c>
      <c r="G20" s="3">
        <f t="shared" si="1"/>
        <v>15</v>
      </c>
      <c r="H20" s="3" t="str">
        <f t="shared" si="2"/>
        <v>Instituída</v>
      </c>
      <c r="I20" s="3" t="s">
        <v>96</v>
      </c>
    </row>
    <row r="21" spans="1:9" ht="24" x14ac:dyDescent="0.3">
      <c r="A21" s="3" t="s">
        <v>127</v>
      </c>
      <c r="B21" s="3" t="s">
        <v>128</v>
      </c>
      <c r="C21" s="3" t="s">
        <v>20</v>
      </c>
      <c r="D21" s="5" t="s">
        <v>129</v>
      </c>
      <c r="E21" s="3" t="s">
        <v>92</v>
      </c>
      <c r="F21" s="3">
        <f t="shared" si="0"/>
        <v>0</v>
      </c>
      <c r="G21" s="3">
        <f t="shared" si="1"/>
        <v>0</v>
      </c>
      <c r="H21" s="3" t="str">
        <f t="shared" si="2"/>
        <v>Não instituída</v>
      </c>
      <c r="I21" s="3" t="s">
        <v>96</v>
      </c>
    </row>
    <row r="22" spans="1:9" ht="24" x14ac:dyDescent="0.3">
      <c r="A22" s="3" t="s">
        <v>130</v>
      </c>
      <c r="B22" s="3" t="s">
        <v>131</v>
      </c>
      <c r="C22" s="3" t="s">
        <v>73</v>
      </c>
      <c r="D22" s="5" t="s">
        <v>102</v>
      </c>
      <c r="E22" s="3" t="s">
        <v>92</v>
      </c>
      <c r="F22" s="3">
        <f t="shared" si="0"/>
        <v>15</v>
      </c>
      <c r="G22" s="3">
        <f t="shared" si="1"/>
        <v>15</v>
      </c>
      <c r="H22" s="3" t="str">
        <f t="shared" si="2"/>
        <v>Instituída</v>
      </c>
      <c r="I22" s="3" t="s">
        <v>96</v>
      </c>
    </row>
    <row r="23" spans="1:9" ht="24" x14ac:dyDescent="0.3">
      <c r="A23" s="3" t="s">
        <v>132</v>
      </c>
      <c r="B23" s="3" t="s">
        <v>133</v>
      </c>
      <c r="C23" s="3" t="s">
        <v>73</v>
      </c>
      <c r="D23" s="5" t="s">
        <v>124</v>
      </c>
      <c r="E23" s="3" t="s">
        <v>92</v>
      </c>
      <c r="F23" s="3">
        <f t="shared" si="0"/>
        <v>15</v>
      </c>
      <c r="G23" s="3">
        <f t="shared" si="1"/>
        <v>15</v>
      </c>
      <c r="H23" s="3" t="str">
        <f t="shared" si="2"/>
        <v>Instituída</v>
      </c>
      <c r="I23" s="3" t="s">
        <v>96</v>
      </c>
    </row>
    <row r="24" spans="1:9" ht="24" x14ac:dyDescent="0.3">
      <c r="A24" s="3" t="s">
        <v>134</v>
      </c>
      <c r="B24" s="3" t="s">
        <v>135</v>
      </c>
      <c r="C24" s="3" t="s">
        <v>73</v>
      </c>
      <c r="D24" s="5" t="s">
        <v>124</v>
      </c>
      <c r="E24" s="3" t="s">
        <v>92</v>
      </c>
      <c r="F24" s="3">
        <f t="shared" si="0"/>
        <v>15</v>
      </c>
      <c r="G24" s="3">
        <f t="shared" si="1"/>
        <v>15</v>
      </c>
      <c r="H24" s="3" t="str">
        <f t="shared" si="2"/>
        <v>Instituída</v>
      </c>
      <c r="I24" s="3" t="s">
        <v>96</v>
      </c>
    </row>
    <row r="25" spans="1:9" ht="24" x14ac:dyDescent="0.3">
      <c r="A25" s="3" t="s">
        <v>136</v>
      </c>
      <c r="B25" s="3" t="s">
        <v>137</v>
      </c>
      <c r="C25" s="3" t="s">
        <v>73</v>
      </c>
      <c r="D25" s="5" t="s">
        <v>102</v>
      </c>
      <c r="E25" s="3" t="s">
        <v>92</v>
      </c>
      <c r="F25" s="3">
        <f t="shared" si="0"/>
        <v>15</v>
      </c>
      <c r="G25" s="3">
        <f t="shared" si="1"/>
        <v>15</v>
      </c>
      <c r="H25" s="3" t="str">
        <f t="shared" si="2"/>
        <v>Instituída</v>
      </c>
      <c r="I25" s="3" t="s">
        <v>96</v>
      </c>
    </row>
    <row r="26" spans="1:9" ht="24" x14ac:dyDescent="0.3">
      <c r="A26" s="3" t="s">
        <v>138</v>
      </c>
      <c r="B26" s="3" t="s">
        <v>139</v>
      </c>
      <c r="C26" s="3" t="s">
        <v>73</v>
      </c>
      <c r="D26" s="5" t="s">
        <v>102</v>
      </c>
      <c r="E26" s="3" t="s">
        <v>92</v>
      </c>
      <c r="F26" s="3">
        <f t="shared" si="0"/>
        <v>15</v>
      </c>
      <c r="G26" s="3">
        <f t="shared" si="1"/>
        <v>15</v>
      </c>
      <c r="H26" s="3" t="str">
        <f t="shared" si="2"/>
        <v>Instituída</v>
      </c>
      <c r="I26" s="3" t="s">
        <v>96</v>
      </c>
    </row>
    <row r="27" spans="1:9" ht="24" x14ac:dyDescent="0.3">
      <c r="A27" s="3" t="s">
        <v>140</v>
      </c>
      <c r="B27" s="3" t="s">
        <v>141</v>
      </c>
      <c r="C27" s="3" t="s">
        <v>73</v>
      </c>
      <c r="D27" s="5" t="s">
        <v>102</v>
      </c>
      <c r="E27" s="3" t="s">
        <v>92</v>
      </c>
      <c r="F27" s="3">
        <f t="shared" si="0"/>
        <v>15</v>
      </c>
      <c r="G27" s="3">
        <f t="shared" si="1"/>
        <v>15</v>
      </c>
      <c r="H27" s="3" t="str">
        <f t="shared" si="2"/>
        <v>Instituída</v>
      </c>
      <c r="I27" s="3" t="s">
        <v>96</v>
      </c>
    </row>
    <row r="28" spans="1:9" ht="24" x14ac:dyDescent="0.3">
      <c r="A28" s="3" t="s">
        <v>142</v>
      </c>
      <c r="B28" s="3" t="s">
        <v>143</v>
      </c>
      <c r="C28" s="3" t="s">
        <v>73</v>
      </c>
      <c r="D28" s="5" t="s">
        <v>102</v>
      </c>
      <c r="E28" s="3" t="s">
        <v>92</v>
      </c>
      <c r="F28" s="3">
        <f t="shared" si="0"/>
        <v>15</v>
      </c>
      <c r="G28" s="3">
        <f t="shared" si="1"/>
        <v>15</v>
      </c>
      <c r="H28" s="3" t="str">
        <f t="shared" si="2"/>
        <v>Instituída</v>
      </c>
      <c r="I28" s="3" t="s">
        <v>96</v>
      </c>
    </row>
    <row r="29" spans="1:9" x14ac:dyDescent="0.3">
      <c r="A29" s="3" t="s">
        <v>144</v>
      </c>
      <c r="B29" s="3" t="s">
        <v>145</v>
      </c>
      <c r="C29" s="3" t="s">
        <v>20</v>
      </c>
      <c r="D29" s="5" t="s">
        <v>146</v>
      </c>
      <c r="E29" s="3" t="s">
        <v>92</v>
      </c>
      <c r="F29" s="3">
        <f t="shared" si="0"/>
        <v>0</v>
      </c>
      <c r="G29" s="3">
        <f t="shared" si="1"/>
        <v>0</v>
      </c>
      <c r="H29" s="3" t="str">
        <f t="shared" si="2"/>
        <v>Não instituída</v>
      </c>
      <c r="I29" s="3" t="s">
        <v>96</v>
      </c>
    </row>
    <row r="30" spans="1:9" ht="24" x14ac:dyDescent="0.3">
      <c r="A30" s="3" t="s">
        <v>147</v>
      </c>
      <c r="B30" s="3" t="s">
        <v>148</v>
      </c>
      <c r="C30" s="3" t="s">
        <v>73</v>
      </c>
      <c r="D30" s="5" t="s">
        <v>102</v>
      </c>
      <c r="E30" s="3" t="s">
        <v>92</v>
      </c>
      <c r="F30" s="3">
        <f t="shared" si="0"/>
        <v>15</v>
      </c>
      <c r="G30" s="3">
        <f t="shared" si="1"/>
        <v>15</v>
      </c>
      <c r="H30" s="3" t="str">
        <f t="shared" si="2"/>
        <v>Instituída</v>
      </c>
      <c r="I30" s="3" t="s">
        <v>96</v>
      </c>
    </row>
    <row r="31" spans="1:9" ht="24" x14ac:dyDescent="0.3">
      <c r="A31" s="3" t="s">
        <v>149</v>
      </c>
      <c r="B31" s="3" t="s">
        <v>150</v>
      </c>
      <c r="C31" s="3" t="s">
        <v>73</v>
      </c>
      <c r="D31" s="5" t="s">
        <v>99</v>
      </c>
      <c r="E31" s="3" t="s">
        <v>92</v>
      </c>
      <c r="F31" s="3">
        <f t="shared" si="0"/>
        <v>15</v>
      </c>
      <c r="G31" s="3">
        <f t="shared" si="1"/>
        <v>15</v>
      </c>
      <c r="H31" s="3" t="str">
        <f t="shared" si="2"/>
        <v>Instituída</v>
      </c>
      <c r="I31" s="3" t="s">
        <v>525</v>
      </c>
    </row>
    <row r="32" spans="1:9" ht="24" x14ac:dyDescent="0.3">
      <c r="A32" s="3" t="s">
        <v>151</v>
      </c>
      <c r="B32" s="3" t="s">
        <v>152</v>
      </c>
      <c r="C32" s="3" t="s">
        <v>73</v>
      </c>
      <c r="D32" s="5" t="s">
        <v>99</v>
      </c>
      <c r="E32" s="3" t="s">
        <v>92</v>
      </c>
      <c r="F32" s="3">
        <f t="shared" si="0"/>
        <v>15</v>
      </c>
      <c r="G32" s="3">
        <f t="shared" si="1"/>
        <v>15</v>
      </c>
      <c r="H32" s="3" t="str">
        <f t="shared" si="2"/>
        <v>Instituída</v>
      </c>
      <c r="I32" s="3" t="s">
        <v>96</v>
      </c>
    </row>
    <row r="33" spans="1:9" x14ac:dyDescent="0.3">
      <c r="A33" s="3" t="s">
        <v>153</v>
      </c>
      <c r="B33" s="3" t="s">
        <v>154</v>
      </c>
      <c r="C33" s="3" t="s">
        <v>73</v>
      </c>
      <c r="D33" s="5" t="s">
        <v>155</v>
      </c>
      <c r="E33" s="3" t="s">
        <v>92</v>
      </c>
      <c r="F33" s="3">
        <f t="shared" si="0"/>
        <v>15</v>
      </c>
      <c r="G33" s="3">
        <f t="shared" si="1"/>
        <v>15</v>
      </c>
      <c r="H33" s="3" t="str">
        <f t="shared" si="2"/>
        <v>Instituída</v>
      </c>
      <c r="I33" s="3"/>
    </row>
    <row r="34" spans="1:9" x14ac:dyDescent="0.3">
      <c r="A34" s="3" t="s">
        <v>156</v>
      </c>
      <c r="B34" s="3" t="s">
        <v>157</v>
      </c>
      <c r="C34" s="3" t="s">
        <v>20</v>
      </c>
      <c r="D34" s="5" t="s">
        <v>146</v>
      </c>
      <c r="E34" s="3" t="s">
        <v>92</v>
      </c>
      <c r="F34" s="3">
        <f t="shared" si="0"/>
        <v>0</v>
      </c>
      <c r="G34" s="3">
        <f t="shared" si="1"/>
        <v>0</v>
      </c>
      <c r="H34" s="3" t="str">
        <f t="shared" si="2"/>
        <v>Não instituída</v>
      </c>
      <c r="I34" s="3" t="s">
        <v>96</v>
      </c>
    </row>
  </sheetData>
  <mergeCells count="6">
    <mergeCell ref="A6:B6"/>
    <mergeCell ref="A1:I1"/>
    <mergeCell ref="A2:I2"/>
    <mergeCell ref="A4:B4"/>
    <mergeCell ref="C4:F4"/>
    <mergeCell ref="G4:I4"/>
  </mergeCells>
  <dataValidations count="1">
    <dataValidation type="list" sqref="C7:C34" xr:uid="{00000000-0002-0000-0100-000000000000}">
      <formula1>"Sim,Não,Sem evidência"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4"/>
  <sheetViews>
    <sheetView topLeftCell="A30" zoomScale="60" zoomScaleNormal="60" workbookViewId="0">
      <selection activeCell="G31" sqref="G31"/>
    </sheetView>
  </sheetViews>
  <sheetFormatPr defaultRowHeight="14.4" x14ac:dyDescent="0.3"/>
  <cols>
    <col min="1" max="1" width="8" customWidth="1"/>
    <col min="2" max="2" width="29" customWidth="1"/>
    <col min="3" max="3" width="31" customWidth="1"/>
    <col min="4" max="4" width="42" customWidth="1"/>
    <col min="5" max="5" width="25" customWidth="1"/>
    <col min="6" max="6" width="8" customWidth="1"/>
    <col min="7" max="7" width="31" customWidth="1"/>
    <col min="8" max="8" width="42" customWidth="1"/>
    <col min="9" max="9" width="25" customWidth="1"/>
    <col min="10" max="10" width="8" customWidth="1"/>
    <col min="11" max="11" width="31" customWidth="1"/>
    <col min="12" max="12" width="42" customWidth="1"/>
    <col min="13" max="13" width="25" customWidth="1"/>
    <col min="14" max="14" width="8" customWidth="1"/>
    <col min="15" max="15" width="31" customWidth="1"/>
    <col min="16" max="16" width="42" customWidth="1"/>
    <col min="17" max="17" width="25" customWidth="1"/>
    <col min="18" max="18" width="8" customWidth="1"/>
    <col min="19" max="19" width="31" customWidth="1"/>
    <col min="20" max="20" width="42" customWidth="1"/>
    <col min="21" max="21" width="25" customWidth="1"/>
    <col min="22" max="22" width="8" customWidth="1"/>
    <col min="23" max="23" width="14" customWidth="1"/>
    <col min="24" max="24" width="31" customWidth="1"/>
  </cols>
  <sheetData>
    <row r="1" spans="1:24" ht="22.35" customHeight="1" x14ac:dyDescent="0.3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38.4" customHeight="1" x14ac:dyDescent="0.3">
      <c r="A2" s="9" t="s">
        <v>158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4" spans="1:24" ht="40.049999999999997" customHeight="1" x14ac:dyDescent="0.3">
      <c r="A4" s="10" t="s">
        <v>77</v>
      </c>
      <c r="B4" s="10"/>
      <c r="C4" s="10" t="s">
        <v>159</v>
      </c>
      <c r="D4" s="10"/>
      <c r="E4" s="10"/>
      <c r="F4" s="10"/>
      <c r="G4" s="10"/>
      <c r="H4" s="10"/>
      <c r="I4" s="10"/>
      <c r="J4" s="10"/>
      <c r="K4" s="10" t="s">
        <v>160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 t="s">
        <v>161</v>
      </c>
      <c r="X4" s="10"/>
    </row>
    <row r="5" spans="1:24" ht="49.65" customHeight="1" x14ac:dyDescent="0.3">
      <c r="A5" s="2" t="s">
        <v>80</v>
      </c>
      <c r="B5" s="2" t="s">
        <v>81</v>
      </c>
      <c r="C5" s="2" t="s">
        <v>162</v>
      </c>
      <c r="D5" s="2" t="s">
        <v>83</v>
      </c>
      <c r="E5" s="2" t="s">
        <v>84</v>
      </c>
      <c r="F5" s="2" t="s">
        <v>163</v>
      </c>
      <c r="G5" s="2" t="s">
        <v>164</v>
      </c>
      <c r="H5" s="2" t="s">
        <v>83</v>
      </c>
      <c r="I5" s="2" t="s">
        <v>84</v>
      </c>
      <c r="J5" s="2" t="s">
        <v>163</v>
      </c>
      <c r="K5" s="2" t="s">
        <v>165</v>
      </c>
      <c r="L5" s="2" t="s">
        <v>83</v>
      </c>
      <c r="M5" s="2" t="s">
        <v>84</v>
      </c>
      <c r="N5" s="2" t="s">
        <v>163</v>
      </c>
      <c r="O5" s="2" t="s">
        <v>166</v>
      </c>
      <c r="P5" s="2" t="s">
        <v>83</v>
      </c>
      <c r="Q5" s="2" t="s">
        <v>84</v>
      </c>
      <c r="R5" s="2" t="s">
        <v>163</v>
      </c>
      <c r="S5" s="2" t="s">
        <v>167</v>
      </c>
      <c r="T5" s="2" t="s">
        <v>83</v>
      </c>
      <c r="U5" s="2" t="s">
        <v>84</v>
      </c>
      <c r="V5" s="2" t="s">
        <v>163</v>
      </c>
      <c r="W5" s="2" t="s">
        <v>86</v>
      </c>
      <c r="X5" s="2" t="s">
        <v>88</v>
      </c>
    </row>
    <row r="6" spans="1:24" ht="105.6" customHeight="1" x14ac:dyDescent="0.3">
      <c r="A6" s="7" t="s">
        <v>89</v>
      </c>
      <c r="B6" s="7"/>
      <c r="C6" s="4" t="s">
        <v>168</v>
      </c>
      <c r="D6" s="5" t="s">
        <v>169</v>
      </c>
      <c r="E6" s="6" t="s">
        <v>170</v>
      </c>
      <c r="F6" s="1" t="s">
        <v>171</v>
      </c>
      <c r="G6" s="4" t="s">
        <v>172</v>
      </c>
      <c r="H6" s="5" t="s">
        <v>169</v>
      </c>
      <c r="I6" s="6" t="s">
        <v>173</v>
      </c>
      <c r="J6" s="1" t="s">
        <v>171</v>
      </c>
      <c r="K6" s="4" t="s">
        <v>174</v>
      </c>
      <c r="L6" s="5" t="s">
        <v>169</v>
      </c>
      <c r="M6" s="6" t="s">
        <v>175</v>
      </c>
      <c r="N6" s="1" t="s">
        <v>171</v>
      </c>
      <c r="O6" s="4" t="s">
        <v>176</v>
      </c>
      <c r="P6" s="5" t="s">
        <v>169</v>
      </c>
      <c r="Q6" s="6" t="s">
        <v>177</v>
      </c>
      <c r="R6" s="1" t="s">
        <v>171</v>
      </c>
      <c r="S6" s="4" t="s">
        <v>178</v>
      </c>
      <c r="T6" s="5" t="s">
        <v>169</v>
      </c>
      <c r="U6" s="6" t="s">
        <v>179</v>
      </c>
      <c r="V6" s="1" t="s">
        <v>171</v>
      </c>
      <c r="W6" s="1" t="s">
        <v>180</v>
      </c>
      <c r="X6" s="1" t="s">
        <v>181</v>
      </c>
    </row>
    <row r="7" spans="1:24" ht="144" x14ac:dyDescent="0.3">
      <c r="A7" s="3" t="s">
        <v>97</v>
      </c>
      <c r="B7" s="3" t="s">
        <v>98</v>
      </c>
      <c r="C7" s="3" t="s">
        <v>521</v>
      </c>
      <c r="D7" s="5" t="s">
        <v>182</v>
      </c>
      <c r="E7" s="6" t="s">
        <v>170</v>
      </c>
      <c r="F7" s="3">
        <f t="shared" ref="F7:F34" si="0">IF(C7="Atende",3,IF(C7="Parcial",1.5,0))</f>
        <v>3</v>
      </c>
      <c r="G7" s="3" t="s">
        <v>521</v>
      </c>
      <c r="H7" s="5" t="s">
        <v>183</v>
      </c>
      <c r="I7" s="6" t="s">
        <v>173</v>
      </c>
      <c r="J7" s="3">
        <f t="shared" ref="J7:J34" si="1">IF(G7="Atende",3,IF(G7="Parcial",1.5,0))</f>
        <v>3</v>
      </c>
      <c r="K7" s="3" t="s">
        <v>521</v>
      </c>
      <c r="L7" s="5" t="s">
        <v>184</v>
      </c>
      <c r="M7" s="6" t="s">
        <v>175</v>
      </c>
      <c r="N7" s="3">
        <f t="shared" ref="N7:N34" si="2">IF(K7="Atende",3,IF(K7="Parcial",1.5,0))</f>
        <v>3</v>
      </c>
      <c r="O7" s="3" t="s">
        <v>524</v>
      </c>
      <c r="P7" s="5" t="s">
        <v>185</v>
      </c>
      <c r="Q7" s="6" t="s">
        <v>177</v>
      </c>
      <c r="R7" s="3">
        <f t="shared" ref="R7:R34" si="3">IF(O7="Atende",3,IF(O7="Parcial",1.5,0))</f>
        <v>1.5</v>
      </c>
      <c r="S7" s="3" t="s">
        <v>521</v>
      </c>
      <c r="T7" s="5" t="s">
        <v>186</v>
      </c>
      <c r="U7" s="6" t="s">
        <v>179</v>
      </c>
      <c r="V7" s="3">
        <f t="shared" ref="V7:V34" si="4">IF(S7="Atende",3,IF(S7="Parcial",1.5,0))</f>
        <v>3</v>
      </c>
      <c r="W7" s="3">
        <f t="shared" ref="W7:W34" si="5">SUM(F7,J7,N7,R7,V7)</f>
        <v>13.5</v>
      </c>
      <c r="X7" s="3" t="s">
        <v>96</v>
      </c>
    </row>
    <row r="8" spans="1:24" ht="48" x14ac:dyDescent="0.3">
      <c r="A8" s="3" t="s">
        <v>100</v>
      </c>
      <c r="B8" s="3" t="s">
        <v>101</v>
      </c>
      <c r="C8" s="3" t="s">
        <v>521</v>
      </c>
      <c r="D8" s="5" t="s">
        <v>182</v>
      </c>
      <c r="E8" s="6" t="s">
        <v>170</v>
      </c>
      <c r="F8" s="3">
        <f t="shared" si="0"/>
        <v>3</v>
      </c>
      <c r="G8" s="3" t="s">
        <v>521</v>
      </c>
      <c r="H8" s="5" t="s">
        <v>183</v>
      </c>
      <c r="I8" s="6" t="s">
        <v>173</v>
      </c>
      <c r="J8" s="3">
        <f t="shared" si="1"/>
        <v>3</v>
      </c>
      <c r="K8" s="3" t="s">
        <v>523</v>
      </c>
      <c r="L8" s="5" t="s">
        <v>187</v>
      </c>
      <c r="M8" s="6" t="s">
        <v>175</v>
      </c>
      <c r="N8" s="3">
        <f t="shared" si="2"/>
        <v>0</v>
      </c>
      <c r="O8" s="3" t="s">
        <v>523</v>
      </c>
      <c r="P8" s="5" t="s">
        <v>188</v>
      </c>
      <c r="Q8" s="6" t="s">
        <v>177</v>
      </c>
      <c r="R8" s="3">
        <f t="shared" si="3"/>
        <v>0</v>
      </c>
      <c r="S8" s="3" t="s">
        <v>521</v>
      </c>
      <c r="T8" s="5" t="s">
        <v>189</v>
      </c>
      <c r="U8" s="6" t="s">
        <v>179</v>
      </c>
      <c r="V8" s="3">
        <f t="shared" si="4"/>
        <v>3</v>
      </c>
      <c r="W8" s="3">
        <f t="shared" si="5"/>
        <v>9</v>
      </c>
      <c r="X8" s="3" t="s">
        <v>96</v>
      </c>
    </row>
    <row r="9" spans="1:24" ht="216" x14ac:dyDescent="0.3">
      <c r="A9" s="3" t="s">
        <v>103</v>
      </c>
      <c r="B9" s="3" t="s">
        <v>104</v>
      </c>
      <c r="C9" s="3" t="s">
        <v>521</v>
      </c>
      <c r="D9" s="5" t="s">
        <v>182</v>
      </c>
      <c r="E9" s="6" t="s">
        <v>170</v>
      </c>
      <c r="F9" s="3">
        <f t="shared" si="0"/>
        <v>3</v>
      </c>
      <c r="G9" s="3" t="s">
        <v>521</v>
      </c>
      <c r="H9" s="5" t="s">
        <v>183</v>
      </c>
      <c r="I9" s="6" t="s">
        <v>173</v>
      </c>
      <c r="J9" s="3">
        <f t="shared" si="1"/>
        <v>3</v>
      </c>
      <c r="K9" s="3" t="s">
        <v>521</v>
      </c>
      <c r="L9" s="5" t="s">
        <v>190</v>
      </c>
      <c r="M9" s="6" t="s">
        <v>175</v>
      </c>
      <c r="N9" s="3">
        <f t="shared" si="2"/>
        <v>3</v>
      </c>
      <c r="O9" s="3" t="s">
        <v>521</v>
      </c>
      <c r="P9" s="5" t="s">
        <v>191</v>
      </c>
      <c r="Q9" s="6" t="s">
        <v>177</v>
      </c>
      <c r="R9" s="3">
        <f t="shared" si="3"/>
        <v>3</v>
      </c>
      <c r="S9" s="3" t="s">
        <v>521</v>
      </c>
      <c r="T9" s="5" t="s">
        <v>189</v>
      </c>
      <c r="U9" s="6" t="s">
        <v>179</v>
      </c>
      <c r="V9" s="3">
        <f t="shared" si="4"/>
        <v>3</v>
      </c>
      <c r="W9" s="3">
        <f t="shared" si="5"/>
        <v>15</v>
      </c>
      <c r="X9" s="3" t="s">
        <v>96</v>
      </c>
    </row>
    <row r="10" spans="1:24" ht="300" x14ac:dyDescent="0.3">
      <c r="A10" s="3" t="s">
        <v>105</v>
      </c>
      <c r="B10" s="3" t="s">
        <v>106</v>
      </c>
      <c r="C10" s="3" t="s">
        <v>521</v>
      </c>
      <c r="D10" s="5" t="s">
        <v>182</v>
      </c>
      <c r="E10" s="6" t="s">
        <v>170</v>
      </c>
      <c r="F10" s="3">
        <f t="shared" si="0"/>
        <v>3</v>
      </c>
      <c r="G10" s="3" t="s">
        <v>521</v>
      </c>
      <c r="H10" s="5" t="s">
        <v>183</v>
      </c>
      <c r="I10" s="6" t="s">
        <v>173</v>
      </c>
      <c r="J10" s="3">
        <f t="shared" si="1"/>
        <v>3</v>
      </c>
      <c r="K10" s="3" t="s">
        <v>521</v>
      </c>
      <c r="L10" s="5" t="s">
        <v>192</v>
      </c>
      <c r="M10" s="6" t="s">
        <v>175</v>
      </c>
      <c r="N10" s="3">
        <f t="shared" si="2"/>
        <v>3</v>
      </c>
      <c r="O10" s="3" t="s">
        <v>521</v>
      </c>
      <c r="P10" s="5" t="s">
        <v>191</v>
      </c>
      <c r="Q10" s="6" t="s">
        <v>177</v>
      </c>
      <c r="R10" s="3">
        <f t="shared" si="3"/>
        <v>3</v>
      </c>
      <c r="S10" s="3" t="s">
        <v>521</v>
      </c>
      <c r="T10" s="5" t="s">
        <v>189</v>
      </c>
      <c r="U10" s="6" t="s">
        <v>179</v>
      </c>
      <c r="V10" s="3">
        <f t="shared" si="4"/>
        <v>3</v>
      </c>
      <c r="W10" s="3">
        <f t="shared" si="5"/>
        <v>15</v>
      </c>
      <c r="X10" s="3" t="s">
        <v>96</v>
      </c>
    </row>
    <row r="11" spans="1:24" ht="48" x14ac:dyDescent="0.3">
      <c r="A11" s="3" t="s">
        <v>107</v>
      </c>
      <c r="B11" s="3" t="s">
        <v>108</v>
      </c>
      <c r="C11" s="3" t="s">
        <v>521</v>
      </c>
      <c r="D11" s="5" t="s">
        <v>182</v>
      </c>
      <c r="E11" s="6" t="s">
        <v>170</v>
      </c>
      <c r="F11" s="3">
        <f t="shared" si="0"/>
        <v>3</v>
      </c>
      <c r="G11" s="3" t="s">
        <v>521</v>
      </c>
      <c r="H11" s="5" t="s">
        <v>183</v>
      </c>
      <c r="I11" s="6" t="s">
        <v>173</v>
      </c>
      <c r="J11" s="3">
        <f t="shared" si="1"/>
        <v>3</v>
      </c>
      <c r="K11" s="3" t="s">
        <v>521</v>
      </c>
      <c r="L11" s="5" t="s">
        <v>193</v>
      </c>
      <c r="M11" s="6" t="s">
        <v>175</v>
      </c>
      <c r="N11" s="3">
        <f t="shared" si="2"/>
        <v>3</v>
      </c>
      <c r="O11" s="3" t="s">
        <v>521</v>
      </c>
      <c r="P11" s="5" t="s">
        <v>191</v>
      </c>
      <c r="Q11" s="6" t="s">
        <v>177</v>
      </c>
      <c r="R11" s="3">
        <f t="shared" si="3"/>
        <v>3</v>
      </c>
      <c r="S11" s="3" t="s">
        <v>521</v>
      </c>
      <c r="T11" s="5" t="s">
        <v>189</v>
      </c>
      <c r="U11" s="6" t="s">
        <v>179</v>
      </c>
      <c r="V11" s="3">
        <f t="shared" si="4"/>
        <v>3</v>
      </c>
      <c r="W11" s="3">
        <f t="shared" si="5"/>
        <v>15</v>
      </c>
      <c r="X11" s="3" t="s">
        <v>96</v>
      </c>
    </row>
    <row r="12" spans="1:24" ht="300" x14ac:dyDescent="0.3">
      <c r="A12" s="3" t="s">
        <v>109</v>
      </c>
      <c r="B12" s="3" t="s">
        <v>110</v>
      </c>
      <c r="C12" s="3" t="s">
        <v>521</v>
      </c>
      <c r="D12" s="5" t="s">
        <v>182</v>
      </c>
      <c r="E12" s="6" t="s">
        <v>170</v>
      </c>
      <c r="F12" s="3">
        <f t="shared" si="0"/>
        <v>3</v>
      </c>
      <c r="G12" s="3" t="s">
        <v>521</v>
      </c>
      <c r="H12" s="5" t="s">
        <v>183</v>
      </c>
      <c r="I12" s="6" t="s">
        <v>173</v>
      </c>
      <c r="J12" s="3">
        <f t="shared" si="1"/>
        <v>3</v>
      </c>
      <c r="K12" s="3" t="s">
        <v>521</v>
      </c>
      <c r="L12" s="5" t="s">
        <v>192</v>
      </c>
      <c r="M12" s="6" t="s">
        <v>175</v>
      </c>
      <c r="N12" s="3">
        <f t="shared" si="2"/>
        <v>3</v>
      </c>
      <c r="O12" s="3" t="s">
        <v>521</v>
      </c>
      <c r="P12" s="5" t="s">
        <v>191</v>
      </c>
      <c r="Q12" s="6" t="s">
        <v>177</v>
      </c>
      <c r="R12" s="3">
        <f t="shared" si="3"/>
        <v>3</v>
      </c>
      <c r="S12" s="3" t="s">
        <v>521</v>
      </c>
      <c r="T12" s="5" t="s">
        <v>189</v>
      </c>
      <c r="U12" s="6" t="s">
        <v>179</v>
      </c>
      <c r="V12" s="3">
        <f t="shared" si="4"/>
        <v>3</v>
      </c>
      <c r="W12" s="3">
        <f t="shared" si="5"/>
        <v>15</v>
      </c>
      <c r="X12" s="3" t="s">
        <v>96</v>
      </c>
    </row>
    <row r="13" spans="1:24" ht="48" x14ac:dyDescent="0.3">
      <c r="A13" s="3" t="s">
        <v>111</v>
      </c>
      <c r="B13" s="3" t="s">
        <v>112</v>
      </c>
      <c r="C13" s="3" t="s">
        <v>521</v>
      </c>
      <c r="D13" s="5" t="s">
        <v>182</v>
      </c>
      <c r="E13" s="6" t="s">
        <v>170</v>
      </c>
      <c r="F13" s="3">
        <f t="shared" si="0"/>
        <v>3</v>
      </c>
      <c r="G13" s="3" t="s">
        <v>521</v>
      </c>
      <c r="H13" s="5" t="s">
        <v>183</v>
      </c>
      <c r="I13" s="6" t="s">
        <v>173</v>
      </c>
      <c r="J13" s="3">
        <f t="shared" si="1"/>
        <v>3</v>
      </c>
      <c r="K13" s="3" t="s">
        <v>523</v>
      </c>
      <c r="L13" s="5" t="s">
        <v>194</v>
      </c>
      <c r="M13" s="6" t="s">
        <v>175</v>
      </c>
      <c r="N13" s="3">
        <f t="shared" si="2"/>
        <v>0</v>
      </c>
      <c r="O13" s="3" t="s">
        <v>521</v>
      </c>
      <c r="P13" s="5" t="s">
        <v>191</v>
      </c>
      <c r="Q13" s="6" t="s">
        <v>177</v>
      </c>
      <c r="R13" s="3">
        <f t="shared" si="3"/>
        <v>3</v>
      </c>
      <c r="S13" s="3" t="s">
        <v>521</v>
      </c>
      <c r="T13" s="5" t="s">
        <v>189</v>
      </c>
      <c r="U13" s="6" t="s">
        <v>179</v>
      </c>
      <c r="V13" s="3">
        <f t="shared" si="4"/>
        <v>3</v>
      </c>
      <c r="W13" s="3">
        <f t="shared" si="5"/>
        <v>12</v>
      </c>
      <c r="X13" s="3" t="s">
        <v>96</v>
      </c>
    </row>
    <row r="14" spans="1:24" ht="204" x14ac:dyDescent="0.3">
      <c r="A14" s="3" t="s">
        <v>113</v>
      </c>
      <c r="B14" s="3" t="s">
        <v>114</v>
      </c>
      <c r="C14" s="3" t="s">
        <v>521</v>
      </c>
      <c r="D14" s="5" t="s">
        <v>182</v>
      </c>
      <c r="E14" s="6" t="s">
        <v>170</v>
      </c>
      <c r="F14" s="3">
        <f t="shared" si="0"/>
        <v>3</v>
      </c>
      <c r="G14" s="3" t="s">
        <v>521</v>
      </c>
      <c r="H14" s="5" t="s">
        <v>183</v>
      </c>
      <c r="I14" s="6" t="s">
        <v>173</v>
      </c>
      <c r="J14" s="3">
        <f t="shared" si="1"/>
        <v>3</v>
      </c>
      <c r="K14" s="3" t="s">
        <v>521</v>
      </c>
      <c r="L14" s="5" t="s">
        <v>195</v>
      </c>
      <c r="M14" s="6" t="s">
        <v>175</v>
      </c>
      <c r="N14" s="3">
        <f t="shared" si="2"/>
        <v>3</v>
      </c>
      <c r="O14" s="3" t="s">
        <v>521</v>
      </c>
      <c r="P14" s="5" t="s">
        <v>191</v>
      </c>
      <c r="Q14" s="6" t="s">
        <v>177</v>
      </c>
      <c r="R14" s="3">
        <f t="shared" si="3"/>
        <v>3</v>
      </c>
      <c r="S14" s="3" t="s">
        <v>521</v>
      </c>
      <c r="T14" s="5" t="s">
        <v>189</v>
      </c>
      <c r="U14" s="6" t="s">
        <v>179</v>
      </c>
      <c r="V14" s="3">
        <f t="shared" si="4"/>
        <v>3</v>
      </c>
      <c r="W14" s="3">
        <f t="shared" si="5"/>
        <v>15</v>
      </c>
      <c r="X14" s="3" t="s">
        <v>96</v>
      </c>
    </row>
    <row r="15" spans="1:24" ht="156" x14ac:dyDescent="0.3">
      <c r="A15" s="3" t="s">
        <v>113</v>
      </c>
      <c r="B15" s="3" t="s">
        <v>115</v>
      </c>
      <c r="C15" s="3" t="s">
        <v>521</v>
      </c>
      <c r="D15" s="5" t="s">
        <v>182</v>
      </c>
      <c r="E15" s="6" t="s">
        <v>170</v>
      </c>
      <c r="F15" s="3">
        <f t="shared" si="0"/>
        <v>3</v>
      </c>
      <c r="G15" s="3" t="s">
        <v>521</v>
      </c>
      <c r="H15" s="5" t="s">
        <v>183</v>
      </c>
      <c r="I15" s="6" t="s">
        <v>173</v>
      </c>
      <c r="J15" s="3">
        <f t="shared" si="1"/>
        <v>3</v>
      </c>
      <c r="K15" s="3" t="s">
        <v>521</v>
      </c>
      <c r="L15" s="5" t="s">
        <v>196</v>
      </c>
      <c r="M15" s="6" t="s">
        <v>175</v>
      </c>
      <c r="N15" s="3">
        <f t="shared" si="2"/>
        <v>3</v>
      </c>
      <c r="O15" s="3" t="s">
        <v>521</v>
      </c>
      <c r="P15" s="5" t="s">
        <v>191</v>
      </c>
      <c r="Q15" s="6" t="s">
        <v>177</v>
      </c>
      <c r="R15" s="3">
        <f t="shared" si="3"/>
        <v>3</v>
      </c>
      <c r="S15" s="3" t="s">
        <v>521</v>
      </c>
      <c r="T15" s="5" t="s">
        <v>189</v>
      </c>
      <c r="U15" s="6" t="s">
        <v>179</v>
      </c>
      <c r="V15" s="3">
        <f t="shared" si="4"/>
        <v>3</v>
      </c>
      <c r="W15" s="3">
        <f t="shared" si="5"/>
        <v>15</v>
      </c>
      <c r="X15" s="3" t="s">
        <v>96</v>
      </c>
    </row>
    <row r="16" spans="1:24" ht="324" x14ac:dyDescent="0.3">
      <c r="A16" s="3" t="s">
        <v>116</v>
      </c>
      <c r="B16" s="3" t="s">
        <v>117</v>
      </c>
      <c r="C16" s="3" t="s">
        <v>521</v>
      </c>
      <c r="D16" s="5" t="s">
        <v>182</v>
      </c>
      <c r="E16" s="6" t="s">
        <v>170</v>
      </c>
      <c r="F16" s="3">
        <f t="shared" si="0"/>
        <v>3</v>
      </c>
      <c r="G16" s="3" t="s">
        <v>521</v>
      </c>
      <c r="H16" s="5" t="s">
        <v>183</v>
      </c>
      <c r="I16" s="6" t="s">
        <v>173</v>
      </c>
      <c r="J16" s="3">
        <f t="shared" si="1"/>
        <v>3</v>
      </c>
      <c r="K16" s="3" t="s">
        <v>521</v>
      </c>
      <c r="L16" s="5" t="s">
        <v>197</v>
      </c>
      <c r="M16" s="6" t="s">
        <v>175</v>
      </c>
      <c r="N16" s="3">
        <f t="shared" si="2"/>
        <v>3</v>
      </c>
      <c r="O16" s="3" t="s">
        <v>521</v>
      </c>
      <c r="P16" s="5" t="s">
        <v>191</v>
      </c>
      <c r="Q16" s="6" t="s">
        <v>177</v>
      </c>
      <c r="R16" s="3">
        <f t="shared" si="3"/>
        <v>3</v>
      </c>
      <c r="S16" s="3" t="s">
        <v>521</v>
      </c>
      <c r="T16" s="5" t="s">
        <v>189</v>
      </c>
      <c r="U16" s="6" t="s">
        <v>179</v>
      </c>
      <c r="V16" s="3">
        <f t="shared" si="4"/>
        <v>3</v>
      </c>
      <c r="W16" s="3">
        <f t="shared" si="5"/>
        <v>15</v>
      </c>
      <c r="X16" s="3" t="s">
        <v>96</v>
      </c>
    </row>
    <row r="17" spans="1:24" ht="216" x14ac:dyDescent="0.3">
      <c r="A17" s="3" t="s">
        <v>118</v>
      </c>
      <c r="B17" s="3" t="s">
        <v>119</v>
      </c>
      <c r="C17" s="3" t="s">
        <v>521</v>
      </c>
      <c r="D17" s="5" t="s">
        <v>182</v>
      </c>
      <c r="E17" s="6" t="s">
        <v>170</v>
      </c>
      <c r="F17" s="3">
        <f t="shared" si="0"/>
        <v>3</v>
      </c>
      <c r="G17" s="3" t="s">
        <v>521</v>
      </c>
      <c r="H17" s="5" t="s">
        <v>183</v>
      </c>
      <c r="I17" s="6" t="s">
        <v>173</v>
      </c>
      <c r="J17" s="3">
        <f t="shared" si="1"/>
        <v>3</v>
      </c>
      <c r="K17" s="3" t="s">
        <v>521</v>
      </c>
      <c r="L17" s="5" t="s">
        <v>198</v>
      </c>
      <c r="M17" s="6" t="s">
        <v>175</v>
      </c>
      <c r="N17" s="3">
        <f t="shared" si="2"/>
        <v>3</v>
      </c>
      <c r="O17" s="3" t="s">
        <v>521</v>
      </c>
      <c r="P17" s="5" t="s">
        <v>191</v>
      </c>
      <c r="Q17" s="6" t="s">
        <v>177</v>
      </c>
      <c r="R17" s="3">
        <f t="shared" si="3"/>
        <v>3</v>
      </c>
      <c r="S17" s="3" t="s">
        <v>521</v>
      </c>
      <c r="T17" s="5" t="s">
        <v>189</v>
      </c>
      <c r="U17" s="6" t="s">
        <v>179</v>
      </c>
      <c r="V17" s="3">
        <f t="shared" si="4"/>
        <v>3</v>
      </c>
      <c r="W17" s="3">
        <f t="shared" si="5"/>
        <v>15</v>
      </c>
      <c r="X17" s="3" t="s">
        <v>96</v>
      </c>
    </row>
    <row r="18" spans="1:24" ht="324" x14ac:dyDescent="0.3">
      <c r="A18" s="3" t="s">
        <v>120</v>
      </c>
      <c r="B18" s="3" t="s">
        <v>121</v>
      </c>
      <c r="C18" s="3" t="s">
        <v>521</v>
      </c>
      <c r="D18" s="5" t="s">
        <v>182</v>
      </c>
      <c r="E18" s="6" t="s">
        <v>170</v>
      </c>
      <c r="F18" s="3">
        <f t="shared" si="0"/>
        <v>3</v>
      </c>
      <c r="G18" s="3" t="s">
        <v>521</v>
      </c>
      <c r="H18" s="5" t="s">
        <v>183</v>
      </c>
      <c r="I18" s="6" t="s">
        <v>173</v>
      </c>
      <c r="J18" s="3">
        <f t="shared" si="1"/>
        <v>3</v>
      </c>
      <c r="K18" s="3" t="s">
        <v>521</v>
      </c>
      <c r="L18" s="5" t="s">
        <v>199</v>
      </c>
      <c r="M18" s="6" t="s">
        <v>175</v>
      </c>
      <c r="N18" s="3">
        <f t="shared" si="2"/>
        <v>3</v>
      </c>
      <c r="O18" s="3" t="s">
        <v>521</v>
      </c>
      <c r="P18" s="5" t="s">
        <v>191</v>
      </c>
      <c r="Q18" s="6" t="s">
        <v>177</v>
      </c>
      <c r="R18" s="3">
        <f t="shared" si="3"/>
        <v>3</v>
      </c>
      <c r="S18" s="3" t="s">
        <v>521</v>
      </c>
      <c r="T18" s="5" t="s">
        <v>189</v>
      </c>
      <c r="U18" s="6" t="s">
        <v>179</v>
      </c>
      <c r="V18" s="3">
        <f t="shared" si="4"/>
        <v>3</v>
      </c>
      <c r="W18" s="3">
        <f t="shared" si="5"/>
        <v>15</v>
      </c>
      <c r="X18" s="3" t="s">
        <v>96</v>
      </c>
    </row>
    <row r="19" spans="1:24" ht="48" x14ac:dyDescent="0.3">
      <c r="A19" s="3" t="s">
        <v>122</v>
      </c>
      <c r="B19" s="3" t="s">
        <v>123</v>
      </c>
      <c r="C19" s="3" t="s">
        <v>521</v>
      </c>
      <c r="D19" s="5" t="s">
        <v>182</v>
      </c>
      <c r="E19" s="6" t="s">
        <v>170</v>
      </c>
      <c r="F19" s="3">
        <f t="shared" si="0"/>
        <v>3</v>
      </c>
      <c r="G19" s="3" t="s">
        <v>521</v>
      </c>
      <c r="H19" s="5" t="s">
        <v>183</v>
      </c>
      <c r="I19" s="6" t="s">
        <v>173</v>
      </c>
      <c r="J19" s="3">
        <f t="shared" si="1"/>
        <v>3</v>
      </c>
      <c r="K19" s="3" t="s">
        <v>523</v>
      </c>
      <c r="L19" s="5" t="s">
        <v>187</v>
      </c>
      <c r="M19" s="6" t="s">
        <v>175</v>
      </c>
      <c r="N19" s="3">
        <f t="shared" si="2"/>
        <v>0</v>
      </c>
      <c r="O19" s="3" t="s">
        <v>521</v>
      </c>
      <c r="P19" s="5" t="s">
        <v>191</v>
      </c>
      <c r="Q19" s="6" t="s">
        <v>177</v>
      </c>
      <c r="R19" s="3">
        <f t="shared" si="3"/>
        <v>3</v>
      </c>
      <c r="S19" s="3" t="s">
        <v>521</v>
      </c>
      <c r="T19" s="5" t="s">
        <v>189</v>
      </c>
      <c r="U19" s="6" t="s">
        <v>179</v>
      </c>
      <c r="V19" s="3">
        <f t="shared" si="4"/>
        <v>3</v>
      </c>
      <c r="W19" s="3">
        <f t="shared" si="5"/>
        <v>12</v>
      </c>
      <c r="X19" s="3" t="s">
        <v>96</v>
      </c>
    </row>
    <row r="20" spans="1:24" ht="276" x14ac:dyDescent="0.3">
      <c r="A20" s="3" t="s">
        <v>125</v>
      </c>
      <c r="B20" s="3" t="s">
        <v>126</v>
      </c>
      <c r="C20" s="3" t="s">
        <v>521</v>
      </c>
      <c r="D20" s="5" t="s">
        <v>200</v>
      </c>
      <c r="E20" s="6" t="s">
        <v>170</v>
      </c>
      <c r="F20" s="3">
        <f t="shared" si="0"/>
        <v>3</v>
      </c>
      <c r="G20" s="3" t="s">
        <v>521</v>
      </c>
      <c r="H20" s="5" t="s">
        <v>201</v>
      </c>
      <c r="I20" s="6" t="s">
        <v>173</v>
      </c>
      <c r="J20" s="3">
        <f t="shared" si="1"/>
        <v>3</v>
      </c>
      <c r="K20" s="3" t="s">
        <v>521</v>
      </c>
      <c r="L20" s="5" t="s">
        <v>202</v>
      </c>
      <c r="M20" s="6" t="s">
        <v>175</v>
      </c>
      <c r="N20" s="3">
        <f t="shared" si="2"/>
        <v>3</v>
      </c>
      <c r="O20" s="3" t="s">
        <v>521</v>
      </c>
      <c r="P20" s="5" t="s">
        <v>191</v>
      </c>
      <c r="Q20" s="6" t="s">
        <v>177</v>
      </c>
      <c r="R20" s="3">
        <f t="shared" si="3"/>
        <v>3</v>
      </c>
      <c r="S20" s="3" t="s">
        <v>521</v>
      </c>
      <c r="T20" s="5" t="s">
        <v>189</v>
      </c>
      <c r="U20" s="6" t="s">
        <v>179</v>
      </c>
      <c r="V20" s="3">
        <f t="shared" si="4"/>
        <v>3</v>
      </c>
      <c r="W20" s="3">
        <f t="shared" si="5"/>
        <v>15</v>
      </c>
      <c r="X20" s="3" t="s">
        <v>96</v>
      </c>
    </row>
    <row r="21" spans="1:24" ht="24" x14ac:dyDescent="0.3">
      <c r="A21" s="3" t="s">
        <v>127</v>
      </c>
      <c r="B21" s="3" t="s">
        <v>128</v>
      </c>
      <c r="C21" s="3" t="s">
        <v>522</v>
      </c>
      <c r="D21" s="5" t="s">
        <v>203</v>
      </c>
      <c r="E21" s="6" t="s">
        <v>170</v>
      </c>
      <c r="F21" s="3">
        <f t="shared" si="0"/>
        <v>0</v>
      </c>
      <c r="G21" s="3" t="s">
        <v>523</v>
      </c>
      <c r="H21" s="5" t="s">
        <v>204</v>
      </c>
      <c r="I21" s="6" t="s">
        <v>173</v>
      </c>
      <c r="J21" s="3">
        <f t="shared" si="1"/>
        <v>0</v>
      </c>
      <c r="K21" s="3" t="s">
        <v>523</v>
      </c>
      <c r="L21" s="5" t="s">
        <v>205</v>
      </c>
      <c r="M21" s="6" t="s">
        <v>175</v>
      </c>
      <c r="N21" s="3">
        <f t="shared" si="2"/>
        <v>0</v>
      </c>
      <c r="O21" s="3" t="s">
        <v>523</v>
      </c>
      <c r="P21" s="5" t="s">
        <v>206</v>
      </c>
      <c r="Q21" s="6" t="s">
        <v>177</v>
      </c>
      <c r="R21" s="3">
        <f t="shared" si="3"/>
        <v>0</v>
      </c>
      <c r="S21" s="3" t="s">
        <v>523</v>
      </c>
      <c r="T21" s="5" t="s">
        <v>206</v>
      </c>
      <c r="U21" s="6" t="s">
        <v>179</v>
      </c>
      <c r="V21" s="3">
        <f t="shared" si="4"/>
        <v>0</v>
      </c>
      <c r="W21" s="3">
        <f t="shared" si="5"/>
        <v>0</v>
      </c>
      <c r="X21" s="3" t="s">
        <v>96</v>
      </c>
    </row>
    <row r="22" spans="1:24" ht="108" x14ac:dyDescent="0.3">
      <c r="A22" s="3" t="s">
        <v>130</v>
      </c>
      <c r="B22" s="3" t="s">
        <v>131</v>
      </c>
      <c r="C22" s="3" t="s">
        <v>521</v>
      </c>
      <c r="D22" s="5" t="s">
        <v>182</v>
      </c>
      <c r="E22" s="6" t="s">
        <v>170</v>
      </c>
      <c r="F22" s="3">
        <f t="shared" si="0"/>
        <v>3</v>
      </c>
      <c r="G22" s="3" t="s">
        <v>521</v>
      </c>
      <c r="H22" s="5" t="s">
        <v>183</v>
      </c>
      <c r="I22" s="6" t="s">
        <v>173</v>
      </c>
      <c r="J22" s="3">
        <f t="shared" si="1"/>
        <v>3</v>
      </c>
      <c r="K22" s="3" t="s">
        <v>521</v>
      </c>
      <c r="L22" s="5" t="s">
        <v>207</v>
      </c>
      <c r="M22" s="6" t="s">
        <v>175</v>
      </c>
      <c r="N22" s="3">
        <f t="shared" si="2"/>
        <v>3</v>
      </c>
      <c r="O22" s="3" t="s">
        <v>521</v>
      </c>
      <c r="P22" s="5" t="s">
        <v>191</v>
      </c>
      <c r="Q22" s="6" t="s">
        <v>177</v>
      </c>
      <c r="R22" s="3">
        <f t="shared" si="3"/>
        <v>3</v>
      </c>
      <c r="S22" s="3" t="s">
        <v>521</v>
      </c>
      <c r="T22" s="5" t="s">
        <v>189</v>
      </c>
      <c r="U22" s="6" t="s">
        <v>179</v>
      </c>
      <c r="V22" s="3">
        <f t="shared" si="4"/>
        <v>3</v>
      </c>
      <c r="W22" s="3">
        <f t="shared" si="5"/>
        <v>15</v>
      </c>
      <c r="X22" s="3" t="s">
        <v>96</v>
      </c>
    </row>
    <row r="23" spans="1:24" ht="48" x14ac:dyDescent="0.3">
      <c r="A23" s="3" t="s">
        <v>132</v>
      </c>
      <c r="B23" s="3" t="s">
        <v>133</v>
      </c>
      <c r="C23" s="3" t="s">
        <v>521</v>
      </c>
      <c r="D23" s="5" t="s">
        <v>182</v>
      </c>
      <c r="E23" s="6" t="s">
        <v>170</v>
      </c>
      <c r="F23" s="3">
        <f t="shared" si="0"/>
        <v>3</v>
      </c>
      <c r="G23" s="3" t="s">
        <v>521</v>
      </c>
      <c r="H23" s="5" t="s">
        <v>183</v>
      </c>
      <c r="I23" s="6" t="s">
        <v>173</v>
      </c>
      <c r="J23" s="3">
        <f t="shared" si="1"/>
        <v>3</v>
      </c>
      <c r="K23" s="3" t="s">
        <v>523</v>
      </c>
      <c r="L23" s="5" t="s">
        <v>187</v>
      </c>
      <c r="M23" s="6" t="s">
        <v>175</v>
      </c>
      <c r="N23" s="3">
        <f t="shared" si="2"/>
        <v>0</v>
      </c>
      <c r="O23" s="3" t="s">
        <v>521</v>
      </c>
      <c r="P23" s="5" t="s">
        <v>191</v>
      </c>
      <c r="Q23" s="6" t="s">
        <v>177</v>
      </c>
      <c r="R23" s="3">
        <f t="shared" si="3"/>
        <v>3</v>
      </c>
      <c r="S23" s="3" t="s">
        <v>521</v>
      </c>
      <c r="T23" s="5" t="s">
        <v>189</v>
      </c>
      <c r="U23" s="6" t="s">
        <v>179</v>
      </c>
      <c r="V23" s="3">
        <f t="shared" si="4"/>
        <v>3</v>
      </c>
      <c r="W23" s="3">
        <f t="shared" si="5"/>
        <v>12</v>
      </c>
      <c r="X23" s="3" t="s">
        <v>96</v>
      </c>
    </row>
    <row r="24" spans="1:24" ht="48" x14ac:dyDescent="0.3">
      <c r="A24" s="3" t="s">
        <v>134</v>
      </c>
      <c r="B24" s="3" t="s">
        <v>135</v>
      </c>
      <c r="C24" s="3" t="s">
        <v>521</v>
      </c>
      <c r="D24" s="5" t="s">
        <v>182</v>
      </c>
      <c r="E24" s="6" t="s">
        <v>170</v>
      </c>
      <c r="F24" s="3">
        <f t="shared" si="0"/>
        <v>3</v>
      </c>
      <c r="G24" s="3" t="s">
        <v>521</v>
      </c>
      <c r="H24" s="5" t="s">
        <v>183</v>
      </c>
      <c r="I24" s="6" t="s">
        <v>173</v>
      </c>
      <c r="J24" s="3">
        <f t="shared" si="1"/>
        <v>3</v>
      </c>
      <c r="K24" s="3" t="s">
        <v>523</v>
      </c>
      <c r="L24" s="5" t="s">
        <v>187</v>
      </c>
      <c r="M24" s="6" t="s">
        <v>175</v>
      </c>
      <c r="N24" s="3">
        <f t="shared" si="2"/>
        <v>0</v>
      </c>
      <c r="O24" s="3" t="s">
        <v>521</v>
      </c>
      <c r="P24" s="5" t="s">
        <v>191</v>
      </c>
      <c r="Q24" s="6" t="s">
        <v>177</v>
      </c>
      <c r="R24" s="3">
        <f t="shared" si="3"/>
        <v>3</v>
      </c>
      <c r="S24" s="3" t="s">
        <v>521</v>
      </c>
      <c r="T24" s="5" t="s">
        <v>189</v>
      </c>
      <c r="U24" s="6" t="s">
        <v>179</v>
      </c>
      <c r="V24" s="3">
        <f t="shared" si="4"/>
        <v>3</v>
      </c>
      <c r="W24" s="3">
        <f t="shared" si="5"/>
        <v>12</v>
      </c>
      <c r="X24" s="3" t="s">
        <v>96</v>
      </c>
    </row>
    <row r="25" spans="1:24" ht="180" x14ac:dyDescent="0.3">
      <c r="A25" s="3" t="s">
        <v>136</v>
      </c>
      <c r="B25" s="3" t="s">
        <v>137</v>
      </c>
      <c r="C25" s="3" t="s">
        <v>521</v>
      </c>
      <c r="D25" s="5" t="s">
        <v>208</v>
      </c>
      <c r="E25" s="6" t="s">
        <v>170</v>
      </c>
      <c r="F25" s="3">
        <f t="shared" si="0"/>
        <v>3</v>
      </c>
      <c r="G25" s="3" t="s">
        <v>521</v>
      </c>
      <c r="H25" s="5" t="s">
        <v>183</v>
      </c>
      <c r="I25" s="6" t="s">
        <v>173</v>
      </c>
      <c r="J25" s="3">
        <f t="shared" si="1"/>
        <v>3</v>
      </c>
      <c r="K25" s="3" t="s">
        <v>521</v>
      </c>
      <c r="L25" s="5" t="s">
        <v>209</v>
      </c>
      <c r="M25" s="6" t="s">
        <v>175</v>
      </c>
      <c r="N25" s="3">
        <f t="shared" si="2"/>
        <v>3</v>
      </c>
      <c r="O25" s="3" t="s">
        <v>521</v>
      </c>
      <c r="P25" s="5" t="s">
        <v>191</v>
      </c>
      <c r="Q25" s="6" t="s">
        <v>177</v>
      </c>
      <c r="R25" s="3">
        <f t="shared" si="3"/>
        <v>3</v>
      </c>
      <c r="S25" s="3" t="s">
        <v>521</v>
      </c>
      <c r="T25" s="5" t="s">
        <v>189</v>
      </c>
      <c r="U25" s="6" t="s">
        <v>179</v>
      </c>
      <c r="V25" s="3">
        <f t="shared" si="4"/>
        <v>3</v>
      </c>
      <c r="W25" s="3">
        <f t="shared" si="5"/>
        <v>15</v>
      </c>
      <c r="X25" s="3" t="s">
        <v>96</v>
      </c>
    </row>
    <row r="26" spans="1:24" ht="132" x14ac:dyDescent="0.3">
      <c r="A26" s="3" t="s">
        <v>138</v>
      </c>
      <c r="B26" s="3" t="s">
        <v>139</v>
      </c>
      <c r="C26" s="3" t="s">
        <v>521</v>
      </c>
      <c r="D26" s="5" t="s">
        <v>182</v>
      </c>
      <c r="E26" s="6" t="s">
        <v>170</v>
      </c>
      <c r="F26" s="3">
        <f t="shared" si="0"/>
        <v>3</v>
      </c>
      <c r="G26" s="3" t="s">
        <v>521</v>
      </c>
      <c r="H26" s="5" t="s">
        <v>183</v>
      </c>
      <c r="I26" s="6" t="s">
        <v>173</v>
      </c>
      <c r="J26" s="3">
        <f t="shared" si="1"/>
        <v>3</v>
      </c>
      <c r="K26" s="3" t="s">
        <v>521</v>
      </c>
      <c r="L26" s="5" t="s">
        <v>210</v>
      </c>
      <c r="M26" s="6" t="s">
        <v>175</v>
      </c>
      <c r="N26" s="3">
        <f t="shared" si="2"/>
        <v>3</v>
      </c>
      <c r="O26" s="3" t="s">
        <v>523</v>
      </c>
      <c r="P26" s="5" t="s">
        <v>188</v>
      </c>
      <c r="Q26" s="6" t="s">
        <v>177</v>
      </c>
      <c r="R26" s="3">
        <f t="shared" si="3"/>
        <v>0</v>
      </c>
      <c r="S26" s="3" t="s">
        <v>521</v>
      </c>
      <c r="T26" s="5" t="s">
        <v>189</v>
      </c>
      <c r="U26" s="6" t="s">
        <v>179</v>
      </c>
      <c r="V26" s="3">
        <f t="shared" si="4"/>
        <v>3</v>
      </c>
      <c r="W26" s="3">
        <f t="shared" si="5"/>
        <v>12</v>
      </c>
      <c r="X26" s="3" t="s">
        <v>96</v>
      </c>
    </row>
    <row r="27" spans="1:24" ht="48" x14ac:dyDescent="0.3">
      <c r="A27" s="3" t="s">
        <v>140</v>
      </c>
      <c r="B27" s="3" t="s">
        <v>141</v>
      </c>
      <c r="C27" s="3" t="s">
        <v>521</v>
      </c>
      <c r="D27" s="5" t="s">
        <v>182</v>
      </c>
      <c r="E27" s="6" t="s">
        <v>170</v>
      </c>
      <c r="F27" s="3">
        <f t="shared" si="0"/>
        <v>3</v>
      </c>
      <c r="G27" s="3" t="s">
        <v>521</v>
      </c>
      <c r="H27" s="5" t="s">
        <v>183</v>
      </c>
      <c r="I27" s="6" t="s">
        <v>173</v>
      </c>
      <c r="J27" s="3">
        <f t="shared" si="1"/>
        <v>3</v>
      </c>
      <c r="K27" s="3" t="s">
        <v>521</v>
      </c>
      <c r="L27" s="5" t="s">
        <v>193</v>
      </c>
      <c r="M27" s="6" t="s">
        <v>175</v>
      </c>
      <c r="N27" s="3">
        <f t="shared" si="2"/>
        <v>3</v>
      </c>
      <c r="O27" s="3" t="s">
        <v>521</v>
      </c>
      <c r="P27" s="5" t="s">
        <v>191</v>
      </c>
      <c r="Q27" s="6" t="s">
        <v>177</v>
      </c>
      <c r="R27" s="3">
        <f t="shared" si="3"/>
        <v>3</v>
      </c>
      <c r="S27" s="3" t="s">
        <v>521</v>
      </c>
      <c r="T27" s="5" t="s">
        <v>189</v>
      </c>
      <c r="U27" s="6" t="s">
        <v>179</v>
      </c>
      <c r="V27" s="3">
        <f t="shared" si="4"/>
        <v>3</v>
      </c>
      <c r="W27" s="3">
        <f t="shared" si="5"/>
        <v>15</v>
      </c>
      <c r="X27" s="3" t="s">
        <v>96</v>
      </c>
    </row>
    <row r="28" spans="1:24" ht="204" x14ac:dyDescent="0.3">
      <c r="A28" s="3" t="s">
        <v>142</v>
      </c>
      <c r="B28" s="3" t="s">
        <v>143</v>
      </c>
      <c r="C28" s="3" t="s">
        <v>521</v>
      </c>
      <c r="D28" s="5" t="s">
        <v>182</v>
      </c>
      <c r="E28" s="6" t="s">
        <v>170</v>
      </c>
      <c r="F28" s="3">
        <f t="shared" si="0"/>
        <v>3</v>
      </c>
      <c r="G28" s="3" t="s">
        <v>523</v>
      </c>
      <c r="H28" s="5" t="s">
        <v>204</v>
      </c>
      <c r="I28" s="6" t="s">
        <v>173</v>
      </c>
      <c r="J28" s="3">
        <f t="shared" si="1"/>
        <v>0</v>
      </c>
      <c r="K28" s="3" t="s">
        <v>521</v>
      </c>
      <c r="L28" s="5" t="s">
        <v>211</v>
      </c>
      <c r="M28" s="6" t="s">
        <v>175</v>
      </c>
      <c r="N28" s="3">
        <f t="shared" si="2"/>
        <v>3</v>
      </c>
      <c r="O28" s="3" t="s">
        <v>521</v>
      </c>
      <c r="P28" s="5" t="s">
        <v>191</v>
      </c>
      <c r="Q28" s="6" t="s">
        <v>177</v>
      </c>
      <c r="R28" s="3">
        <f t="shared" si="3"/>
        <v>3</v>
      </c>
      <c r="S28" s="3" t="s">
        <v>521</v>
      </c>
      <c r="T28" s="5" t="s">
        <v>189</v>
      </c>
      <c r="U28" s="6" t="s">
        <v>179</v>
      </c>
      <c r="V28" s="3">
        <f t="shared" si="4"/>
        <v>3</v>
      </c>
      <c r="W28" s="3">
        <f t="shared" si="5"/>
        <v>12</v>
      </c>
      <c r="X28" s="3" t="s">
        <v>96</v>
      </c>
    </row>
    <row r="29" spans="1:24" ht="48" x14ac:dyDescent="0.3">
      <c r="A29" s="3" t="s">
        <v>144</v>
      </c>
      <c r="B29" s="3" t="s">
        <v>145</v>
      </c>
      <c r="C29" s="3" t="s">
        <v>522</v>
      </c>
      <c r="D29" s="5" t="s">
        <v>182</v>
      </c>
      <c r="E29" s="6" t="s">
        <v>170</v>
      </c>
      <c r="F29" s="3">
        <f t="shared" si="0"/>
        <v>0</v>
      </c>
      <c r="G29" s="3" t="s">
        <v>522</v>
      </c>
      <c r="H29" s="5" t="s">
        <v>183</v>
      </c>
      <c r="I29" s="6" t="s">
        <v>173</v>
      </c>
      <c r="J29" s="3">
        <f t="shared" si="1"/>
        <v>0</v>
      </c>
      <c r="K29" s="3" t="s">
        <v>523</v>
      </c>
      <c r="L29" s="5" t="s">
        <v>187</v>
      </c>
      <c r="M29" s="6" t="s">
        <v>175</v>
      </c>
      <c r="N29" s="3">
        <f t="shared" si="2"/>
        <v>0</v>
      </c>
      <c r="O29" s="3" t="s">
        <v>522</v>
      </c>
      <c r="P29" s="5" t="s">
        <v>188</v>
      </c>
      <c r="Q29" s="6" t="s">
        <v>177</v>
      </c>
      <c r="R29" s="3">
        <f t="shared" si="3"/>
        <v>0</v>
      </c>
      <c r="S29" s="3" t="s">
        <v>522</v>
      </c>
      <c r="T29" s="5" t="s">
        <v>189</v>
      </c>
      <c r="U29" s="6" t="s">
        <v>179</v>
      </c>
      <c r="V29" s="3">
        <f t="shared" si="4"/>
        <v>0</v>
      </c>
      <c r="W29" s="3">
        <f t="shared" si="5"/>
        <v>0</v>
      </c>
      <c r="X29" s="3" t="s">
        <v>96</v>
      </c>
    </row>
    <row r="30" spans="1:24" ht="300" x14ac:dyDescent="0.3">
      <c r="A30" s="3" t="s">
        <v>147</v>
      </c>
      <c r="B30" s="3" t="s">
        <v>148</v>
      </c>
      <c r="C30" s="3" t="s">
        <v>521</v>
      </c>
      <c r="D30" s="5" t="s">
        <v>182</v>
      </c>
      <c r="E30" s="6" t="s">
        <v>170</v>
      </c>
      <c r="F30" s="3">
        <f t="shared" si="0"/>
        <v>3</v>
      </c>
      <c r="G30" s="3" t="s">
        <v>521</v>
      </c>
      <c r="H30" s="5" t="s">
        <v>183</v>
      </c>
      <c r="I30" s="6" t="s">
        <v>173</v>
      </c>
      <c r="J30" s="3">
        <f t="shared" si="1"/>
        <v>3</v>
      </c>
      <c r="K30" s="3" t="s">
        <v>521</v>
      </c>
      <c r="L30" s="5" t="s">
        <v>192</v>
      </c>
      <c r="M30" s="6" t="s">
        <v>175</v>
      </c>
      <c r="N30" s="3">
        <f t="shared" si="2"/>
        <v>3</v>
      </c>
      <c r="O30" s="3" t="s">
        <v>521</v>
      </c>
      <c r="P30" s="5" t="s">
        <v>191</v>
      </c>
      <c r="Q30" s="6" t="s">
        <v>177</v>
      </c>
      <c r="R30" s="3">
        <f t="shared" si="3"/>
        <v>3</v>
      </c>
      <c r="S30" s="3" t="s">
        <v>521</v>
      </c>
      <c r="T30" s="5" t="s">
        <v>189</v>
      </c>
      <c r="U30" s="6" t="s">
        <v>179</v>
      </c>
      <c r="V30" s="3">
        <f t="shared" si="4"/>
        <v>3</v>
      </c>
      <c r="W30" s="3">
        <f t="shared" si="5"/>
        <v>15</v>
      </c>
      <c r="X30" s="3" t="s">
        <v>96</v>
      </c>
    </row>
    <row r="31" spans="1:24" ht="216" x14ac:dyDescent="0.3">
      <c r="A31" s="3" t="s">
        <v>149</v>
      </c>
      <c r="B31" s="3" t="s">
        <v>150</v>
      </c>
      <c r="C31" s="3" t="s">
        <v>521</v>
      </c>
      <c r="D31" s="5" t="s">
        <v>182</v>
      </c>
      <c r="E31" s="6" t="s">
        <v>170</v>
      </c>
      <c r="F31" s="3">
        <f t="shared" si="0"/>
        <v>3</v>
      </c>
      <c r="G31" s="3" t="s">
        <v>521</v>
      </c>
      <c r="H31" s="5" t="s">
        <v>183</v>
      </c>
      <c r="I31" s="6" t="s">
        <v>173</v>
      </c>
      <c r="J31" s="3">
        <f t="shared" si="1"/>
        <v>3</v>
      </c>
      <c r="K31" s="3" t="s">
        <v>521</v>
      </c>
      <c r="L31" s="5" t="s">
        <v>212</v>
      </c>
      <c r="M31" s="6" t="s">
        <v>175</v>
      </c>
      <c r="N31" s="3">
        <f t="shared" si="2"/>
        <v>3</v>
      </c>
      <c r="O31" s="3" t="s">
        <v>521</v>
      </c>
      <c r="P31" s="5" t="s">
        <v>191</v>
      </c>
      <c r="Q31" s="6" t="s">
        <v>177</v>
      </c>
      <c r="R31" s="3">
        <f t="shared" si="3"/>
        <v>3</v>
      </c>
      <c r="S31" s="3" t="s">
        <v>521</v>
      </c>
      <c r="T31" s="5" t="s">
        <v>189</v>
      </c>
      <c r="U31" s="6" t="s">
        <v>179</v>
      </c>
      <c r="V31" s="3">
        <f t="shared" si="4"/>
        <v>3</v>
      </c>
      <c r="W31" s="3">
        <f t="shared" si="5"/>
        <v>15</v>
      </c>
      <c r="X31" s="3" t="s">
        <v>96</v>
      </c>
    </row>
    <row r="32" spans="1:24" ht="324" x14ac:dyDescent="0.3">
      <c r="A32" s="3" t="s">
        <v>151</v>
      </c>
      <c r="B32" s="3" t="s">
        <v>152</v>
      </c>
      <c r="C32" s="3" t="s">
        <v>521</v>
      </c>
      <c r="D32" s="5" t="s">
        <v>182</v>
      </c>
      <c r="E32" s="6" t="s">
        <v>170</v>
      </c>
      <c r="F32" s="3">
        <f t="shared" si="0"/>
        <v>3</v>
      </c>
      <c r="G32" s="3" t="s">
        <v>521</v>
      </c>
      <c r="H32" s="5" t="s">
        <v>183</v>
      </c>
      <c r="I32" s="6" t="s">
        <v>173</v>
      </c>
      <c r="J32" s="3">
        <f t="shared" si="1"/>
        <v>3</v>
      </c>
      <c r="K32" s="3" t="s">
        <v>521</v>
      </c>
      <c r="L32" s="5" t="s">
        <v>213</v>
      </c>
      <c r="M32" s="6" t="s">
        <v>175</v>
      </c>
      <c r="N32" s="3">
        <f t="shared" si="2"/>
        <v>3</v>
      </c>
      <c r="O32" s="3" t="s">
        <v>521</v>
      </c>
      <c r="P32" s="5" t="s">
        <v>191</v>
      </c>
      <c r="Q32" s="6" t="s">
        <v>177</v>
      </c>
      <c r="R32" s="3">
        <f t="shared" si="3"/>
        <v>3</v>
      </c>
      <c r="S32" s="3" t="s">
        <v>521</v>
      </c>
      <c r="T32" s="5" t="s">
        <v>189</v>
      </c>
      <c r="U32" s="6" t="s">
        <v>179</v>
      </c>
      <c r="V32" s="3">
        <f t="shared" si="4"/>
        <v>3</v>
      </c>
      <c r="W32" s="3">
        <f t="shared" si="5"/>
        <v>15</v>
      </c>
      <c r="X32" s="3" t="s">
        <v>96</v>
      </c>
    </row>
    <row r="33" spans="1:24" ht="24" x14ac:dyDescent="0.3">
      <c r="A33" s="3" t="s">
        <v>153</v>
      </c>
      <c r="B33" s="3" t="s">
        <v>154</v>
      </c>
      <c r="C33" s="3" t="s">
        <v>522</v>
      </c>
      <c r="D33" s="5" t="s">
        <v>155</v>
      </c>
      <c r="E33" s="6" t="s">
        <v>170</v>
      </c>
      <c r="F33" s="3">
        <f t="shared" si="0"/>
        <v>0</v>
      </c>
      <c r="G33" s="3" t="s">
        <v>522</v>
      </c>
      <c r="H33" s="5" t="s">
        <v>155</v>
      </c>
      <c r="I33" s="6" t="s">
        <v>173</v>
      </c>
      <c r="J33" s="3">
        <f t="shared" si="1"/>
        <v>0</v>
      </c>
      <c r="K33" s="3" t="s">
        <v>523</v>
      </c>
      <c r="L33" s="5" t="s">
        <v>155</v>
      </c>
      <c r="M33" s="6" t="s">
        <v>175</v>
      </c>
      <c r="N33" s="3">
        <f t="shared" si="2"/>
        <v>0</v>
      </c>
      <c r="O33" s="3"/>
      <c r="P33" s="5" t="s">
        <v>155</v>
      </c>
      <c r="Q33" s="6" t="s">
        <v>177</v>
      </c>
      <c r="R33" s="3">
        <f t="shared" si="3"/>
        <v>0</v>
      </c>
      <c r="S33" s="3" t="s">
        <v>523</v>
      </c>
      <c r="T33" s="5" t="s">
        <v>155</v>
      </c>
      <c r="U33" s="6" t="s">
        <v>179</v>
      </c>
      <c r="V33" s="3">
        <f t="shared" si="4"/>
        <v>0</v>
      </c>
      <c r="W33" s="3">
        <f t="shared" si="5"/>
        <v>0</v>
      </c>
      <c r="X33" s="3" t="s">
        <v>96</v>
      </c>
    </row>
    <row r="34" spans="1:24" ht="48" x14ac:dyDescent="0.3">
      <c r="A34" s="3" t="s">
        <v>156</v>
      </c>
      <c r="B34" s="3" t="s">
        <v>157</v>
      </c>
      <c r="C34" s="3" t="s">
        <v>523</v>
      </c>
      <c r="D34" s="5" t="s">
        <v>203</v>
      </c>
      <c r="E34" s="6" t="s">
        <v>170</v>
      </c>
      <c r="F34" s="3">
        <f t="shared" si="0"/>
        <v>0</v>
      </c>
      <c r="G34" s="3" t="s">
        <v>523</v>
      </c>
      <c r="H34" s="5" t="s">
        <v>183</v>
      </c>
      <c r="I34" s="6" t="s">
        <v>173</v>
      </c>
      <c r="J34" s="3">
        <f t="shared" si="1"/>
        <v>0</v>
      </c>
      <c r="K34" s="3" t="s">
        <v>523</v>
      </c>
      <c r="L34" s="5" t="s">
        <v>187</v>
      </c>
      <c r="M34" s="6" t="s">
        <v>175</v>
      </c>
      <c r="N34" s="3">
        <f t="shared" si="2"/>
        <v>0</v>
      </c>
      <c r="O34" s="3"/>
      <c r="P34" s="5" t="s">
        <v>191</v>
      </c>
      <c r="Q34" s="6" t="s">
        <v>177</v>
      </c>
      <c r="R34" s="3">
        <f t="shared" si="3"/>
        <v>0</v>
      </c>
      <c r="S34" s="3"/>
      <c r="T34" s="5" t="s">
        <v>189</v>
      </c>
      <c r="U34" s="6" t="s">
        <v>179</v>
      </c>
      <c r="V34" s="3">
        <f t="shared" si="4"/>
        <v>0</v>
      </c>
      <c r="W34" s="3">
        <f t="shared" si="5"/>
        <v>0</v>
      </c>
      <c r="X34" s="3" t="s">
        <v>96</v>
      </c>
    </row>
  </sheetData>
  <mergeCells count="7">
    <mergeCell ref="A6:B6"/>
    <mergeCell ref="A1:X1"/>
    <mergeCell ref="A2:X2"/>
    <mergeCell ref="A4:B4"/>
    <mergeCell ref="C4:J4"/>
    <mergeCell ref="K4:V4"/>
    <mergeCell ref="W4:X4"/>
  </mergeCells>
  <conditionalFormatting sqref="C7:C34">
    <cfRule type="expression" dxfId="86" priority="1">
      <formula>C7="Atende"</formula>
    </cfRule>
    <cfRule type="expression" dxfId="85" priority="2">
      <formula>C7="Parcial"</formula>
    </cfRule>
    <cfRule type="expression" dxfId="84" priority="3">
      <formula>OR(C7="Não atende",C7="Sem evidência")</formula>
    </cfRule>
  </conditionalFormatting>
  <conditionalFormatting sqref="G7:G34">
    <cfRule type="expression" dxfId="83" priority="4">
      <formula>G7="Atende"</formula>
    </cfRule>
    <cfRule type="expression" dxfId="82" priority="5">
      <formula>G7="Parcial"</formula>
    </cfRule>
    <cfRule type="expression" dxfId="81" priority="6">
      <formula>OR(G7="Não atende",G7="Sem evidência")</formula>
    </cfRule>
  </conditionalFormatting>
  <conditionalFormatting sqref="K7:K34">
    <cfRule type="expression" dxfId="80" priority="7">
      <formula>K7="Atende"</formula>
    </cfRule>
    <cfRule type="expression" dxfId="79" priority="8">
      <formula>K7="Parcial"</formula>
    </cfRule>
    <cfRule type="expression" dxfId="78" priority="9">
      <formula>OR(K7="Não atende",K7="Sem evidência")</formula>
    </cfRule>
  </conditionalFormatting>
  <conditionalFormatting sqref="O7:O34">
    <cfRule type="expression" dxfId="77" priority="10">
      <formula>O7="Atende"</formula>
    </cfRule>
    <cfRule type="expression" dxfId="76" priority="11">
      <formula>O7="Parcial"</formula>
    </cfRule>
    <cfRule type="expression" dxfId="75" priority="12">
      <formula>OR(O7="Não atende",O7="Sem evidência")</formula>
    </cfRule>
  </conditionalFormatting>
  <conditionalFormatting sqref="S7:S34">
    <cfRule type="expression" dxfId="74" priority="13">
      <formula>S7="Atende"</formula>
    </cfRule>
    <cfRule type="expression" dxfId="73" priority="14">
      <formula>S7="Parcial"</formula>
    </cfRule>
    <cfRule type="expression" dxfId="72" priority="15">
      <formula>OR(S7="Não atende",S7="Sem evidência")</formula>
    </cfRule>
  </conditionalFormatting>
  <dataValidations count="1">
    <dataValidation type="list" sqref="C7:C34 O7:O34 G7:G34 K7:K34 S7:S34" xr:uid="{00000000-0002-0000-0200-000000000000}">
      <formula1>"Atende,Parcial,Não atende,Sem evidência"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opLeftCell="A27" zoomScale="80" zoomScaleNormal="80" workbookViewId="0">
      <selection activeCell="G31" sqref="G31"/>
    </sheetView>
  </sheetViews>
  <sheetFormatPr defaultRowHeight="14.4" x14ac:dyDescent="0.3"/>
  <cols>
    <col min="1" max="1" width="8" customWidth="1"/>
    <col min="2" max="2" width="29" customWidth="1"/>
    <col min="3" max="3" width="31" customWidth="1"/>
    <col min="4" max="4" width="42" customWidth="1"/>
    <col min="5" max="5" width="25" customWidth="1"/>
    <col min="6" max="6" width="8" customWidth="1"/>
    <col min="7" max="7" width="31" customWidth="1"/>
    <col min="8" max="8" width="42" customWidth="1"/>
    <col min="9" max="9" width="25" customWidth="1"/>
    <col min="10" max="10" width="8" customWidth="1"/>
    <col min="11" max="11" width="14" customWidth="1"/>
    <col min="12" max="12" width="31" customWidth="1"/>
  </cols>
  <sheetData>
    <row r="1" spans="1:12" ht="22.35" customHeight="1" x14ac:dyDescent="0.3">
      <c r="A1" s="8" t="s">
        <v>30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8.4" customHeight="1" x14ac:dyDescent="0.3">
      <c r="A2" s="9" t="s">
        <v>158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40.049999999999997" customHeight="1" x14ac:dyDescent="0.3">
      <c r="A4" s="10" t="s">
        <v>77</v>
      </c>
      <c r="B4" s="10"/>
      <c r="C4" s="10" t="s">
        <v>214</v>
      </c>
      <c r="D4" s="10"/>
      <c r="E4" s="10"/>
      <c r="F4" s="10"/>
      <c r="G4" s="10" t="s">
        <v>215</v>
      </c>
      <c r="H4" s="10"/>
      <c r="I4" s="10"/>
      <c r="J4" s="10"/>
      <c r="K4" s="10" t="s">
        <v>161</v>
      </c>
      <c r="L4" s="10"/>
    </row>
    <row r="5" spans="1:12" ht="49.65" customHeight="1" x14ac:dyDescent="0.3">
      <c r="A5" s="2" t="s">
        <v>80</v>
      </c>
      <c r="B5" s="2" t="s">
        <v>81</v>
      </c>
      <c r="C5" s="2" t="s">
        <v>216</v>
      </c>
      <c r="D5" s="2" t="s">
        <v>83</v>
      </c>
      <c r="E5" s="2" t="s">
        <v>84</v>
      </c>
      <c r="F5" s="2" t="s">
        <v>217</v>
      </c>
      <c r="G5" s="2" t="s">
        <v>218</v>
      </c>
      <c r="H5" s="2" t="s">
        <v>83</v>
      </c>
      <c r="I5" s="2" t="s">
        <v>84</v>
      </c>
      <c r="J5" s="2" t="s">
        <v>219</v>
      </c>
      <c r="K5" s="2" t="s">
        <v>86</v>
      </c>
      <c r="L5" s="2" t="s">
        <v>88</v>
      </c>
    </row>
    <row r="6" spans="1:12" ht="105.6" customHeight="1" x14ac:dyDescent="0.3">
      <c r="A6" s="7" t="s">
        <v>89</v>
      </c>
      <c r="B6" s="7"/>
      <c r="C6" s="4" t="s">
        <v>220</v>
      </c>
      <c r="D6" s="5" t="s">
        <v>169</v>
      </c>
      <c r="E6" s="6" t="s">
        <v>221</v>
      </c>
      <c r="F6" s="1" t="s">
        <v>222</v>
      </c>
      <c r="G6" s="4" t="s">
        <v>223</v>
      </c>
      <c r="H6" s="5" t="s">
        <v>169</v>
      </c>
      <c r="I6" s="6" t="s">
        <v>224</v>
      </c>
      <c r="J6" s="1" t="s">
        <v>225</v>
      </c>
      <c r="K6" s="1" t="s">
        <v>180</v>
      </c>
      <c r="L6" s="1" t="s">
        <v>181</v>
      </c>
    </row>
    <row r="7" spans="1:12" ht="24" x14ac:dyDescent="0.3">
      <c r="A7" s="3" t="s">
        <v>97</v>
      </c>
      <c r="B7" s="3" t="s">
        <v>98</v>
      </c>
      <c r="C7" s="3" t="s">
        <v>521</v>
      </c>
      <c r="D7" s="5" t="s">
        <v>226</v>
      </c>
      <c r="E7" s="6" t="s">
        <v>221</v>
      </c>
      <c r="F7" s="3">
        <f t="shared" ref="F7:F34" si="0">IF(C7="Atende",8,IF(C7="Parcial",4,0))</f>
        <v>8</v>
      </c>
      <c r="G7" s="3" t="s">
        <v>524</v>
      </c>
      <c r="H7" s="5" t="s">
        <v>227</v>
      </c>
      <c r="I7" s="6" t="s">
        <v>224</v>
      </c>
      <c r="J7" s="3">
        <f t="shared" ref="J7:J34" si="1">IF(G7="Atende",7,IF(G7="Parcial",3.5,0))</f>
        <v>3.5</v>
      </c>
      <c r="K7" s="3">
        <f t="shared" ref="K7:K34" si="2">SUM(F7,J7)</f>
        <v>11.5</v>
      </c>
      <c r="L7" s="3" t="s">
        <v>96</v>
      </c>
    </row>
    <row r="8" spans="1:12" ht="144" x14ac:dyDescent="0.3">
      <c r="A8" s="3" t="s">
        <v>100</v>
      </c>
      <c r="B8" s="3" t="s">
        <v>101</v>
      </c>
      <c r="C8" s="3" t="s">
        <v>521</v>
      </c>
      <c r="D8" s="5" t="s">
        <v>228</v>
      </c>
      <c r="E8" s="6" t="s">
        <v>221</v>
      </c>
      <c r="F8" s="3">
        <f t="shared" si="0"/>
        <v>8</v>
      </c>
      <c r="G8" s="3" t="s">
        <v>523</v>
      </c>
      <c r="H8" s="5" t="s">
        <v>229</v>
      </c>
      <c r="I8" s="6" t="s">
        <v>224</v>
      </c>
      <c r="J8" s="3">
        <f t="shared" si="1"/>
        <v>0</v>
      </c>
      <c r="K8" s="3">
        <f t="shared" si="2"/>
        <v>8</v>
      </c>
      <c r="L8" s="3" t="s">
        <v>96</v>
      </c>
    </row>
    <row r="9" spans="1:12" ht="60" x14ac:dyDescent="0.3">
      <c r="A9" s="3" t="s">
        <v>103</v>
      </c>
      <c r="B9" s="3" t="s">
        <v>104</v>
      </c>
      <c r="C9" s="3" t="s">
        <v>521</v>
      </c>
      <c r="D9" s="5" t="s">
        <v>230</v>
      </c>
      <c r="E9" s="6" t="s">
        <v>221</v>
      </c>
      <c r="F9" s="3">
        <f t="shared" si="0"/>
        <v>8</v>
      </c>
      <c r="G9" s="3" t="s">
        <v>521</v>
      </c>
      <c r="H9" s="5" t="s">
        <v>231</v>
      </c>
      <c r="I9" s="6" t="s">
        <v>224</v>
      </c>
      <c r="J9" s="3">
        <f t="shared" si="1"/>
        <v>7</v>
      </c>
      <c r="K9" s="3">
        <f t="shared" si="2"/>
        <v>15</v>
      </c>
      <c r="L9" s="3" t="s">
        <v>96</v>
      </c>
    </row>
    <row r="10" spans="1:12" ht="144" x14ac:dyDescent="0.3">
      <c r="A10" s="3" t="s">
        <v>105</v>
      </c>
      <c r="B10" s="3" t="s">
        <v>106</v>
      </c>
      <c r="C10" s="3" t="s">
        <v>521</v>
      </c>
      <c r="D10" s="5" t="s">
        <v>228</v>
      </c>
      <c r="E10" s="6" t="s">
        <v>221</v>
      </c>
      <c r="F10" s="3">
        <f t="shared" si="0"/>
        <v>8</v>
      </c>
      <c r="G10" s="3" t="s">
        <v>521</v>
      </c>
      <c r="H10" s="5" t="s">
        <v>232</v>
      </c>
      <c r="I10" s="6" t="s">
        <v>224</v>
      </c>
      <c r="J10" s="3">
        <f t="shared" si="1"/>
        <v>7</v>
      </c>
      <c r="K10" s="3">
        <f t="shared" si="2"/>
        <v>15</v>
      </c>
      <c r="L10" s="3" t="s">
        <v>96</v>
      </c>
    </row>
    <row r="11" spans="1:12" ht="108" x14ac:dyDescent="0.3">
      <c r="A11" s="3" t="s">
        <v>107</v>
      </c>
      <c r="B11" s="3" t="s">
        <v>108</v>
      </c>
      <c r="C11" s="3" t="s">
        <v>521</v>
      </c>
      <c r="D11" s="5" t="s">
        <v>233</v>
      </c>
      <c r="E11" s="6" t="s">
        <v>221</v>
      </c>
      <c r="F11" s="3">
        <f t="shared" si="0"/>
        <v>8</v>
      </c>
      <c r="G11" s="3" t="s">
        <v>521</v>
      </c>
      <c r="H11" s="5" t="s">
        <v>231</v>
      </c>
      <c r="I11" s="6" t="s">
        <v>224</v>
      </c>
      <c r="J11" s="3">
        <f t="shared" si="1"/>
        <v>7</v>
      </c>
      <c r="K11" s="3">
        <f t="shared" si="2"/>
        <v>15</v>
      </c>
      <c r="L11" s="3" t="s">
        <v>96</v>
      </c>
    </row>
    <row r="12" spans="1:12" ht="24" x14ac:dyDescent="0.3">
      <c r="A12" s="3" t="s">
        <v>109</v>
      </c>
      <c r="B12" s="3" t="s">
        <v>110</v>
      </c>
      <c r="C12" s="3" t="s">
        <v>521</v>
      </c>
      <c r="D12" s="5" t="s">
        <v>234</v>
      </c>
      <c r="E12" s="6" t="s">
        <v>221</v>
      </c>
      <c r="F12" s="3">
        <f t="shared" si="0"/>
        <v>8</v>
      </c>
      <c r="G12" s="3" t="s">
        <v>521</v>
      </c>
      <c r="H12" s="5" t="s">
        <v>232</v>
      </c>
      <c r="I12" s="6" t="s">
        <v>224</v>
      </c>
      <c r="J12" s="3">
        <f t="shared" si="1"/>
        <v>7</v>
      </c>
      <c r="K12" s="3">
        <f t="shared" si="2"/>
        <v>15</v>
      </c>
      <c r="L12" s="3" t="s">
        <v>96</v>
      </c>
    </row>
    <row r="13" spans="1:12" ht="36" x14ac:dyDescent="0.3">
      <c r="A13" s="3" t="s">
        <v>111</v>
      </c>
      <c r="B13" s="3" t="s">
        <v>112</v>
      </c>
      <c r="C13" s="3" t="s">
        <v>521</v>
      </c>
      <c r="D13" s="5" t="s">
        <v>235</v>
      </c>
      <c r="E13" s="6" t="s">
        <v>221</v>
      </c>
      <c r="F13" s="3">
        <f t="shared" si="0"/>
        <v>8</v>
      </c>
      <c r="G13" s="3" t="s">
        <v>521</v>
      </c>
      <c r="H13" s="5" t="s">
        <v>232</v>
      </c>
      <c r="I13" s="6" t="s">
        <v>224</v>
      </c>
      <c r="J13" s="3">
        <f t="shared" si="1"/>
        <v>7</v>
      </c>
      <c r="K13" s="3">
        <f t="shared" si="2"/>
        <v>15</v>
      </c>
      <c r="L13" s="3" t="s">
        <v>96</v>
      </c>
    </row>
    <row r="14" spans="1:12" ht="144" x14ac:dyDescent="0.3">
      <c r="A14" s="3" t="s">
        <v>113</v>
      </c>
      <c r="B14" s="3" t="s">
        <v>114</v>
      </c>
      <c r="C14" s="3" t="s">
        <v>521</v>
      </c>
      <c r="D14" s="5" t="s">
        <v>236</v>
      </c>
      <c r="E14" s="6" t="s">
        <v>221</v>
      </c>
      <c r="F14" s="3">
        <f t="shared" si="0"/>
        <v>8</v>
      </c>
      <c r="G14" s="3" t="s">
        <v>521</v>
      </c>
      <c r="H14" s="5" t="s">
        <v>232</v>
      </c>
      <c r="I14" s="6" t="s">
        <v>224</v>
      </c>
      <c r="J14" s="3">
        <f t="shared" si="1"/>
        <v>7</v>
      </c>
      <c r="K14" s="3">
        <f t="shared" si="2"/>
        <v>15</v>
      </c>
      <c r="L14" s="3" t="s">
        <v>96</v>
      </c>
    </row>
    <row r="15" spans="1:12" ht="24" x14ac:dyDescent="0.3">
      <c r="A15" s="3" t="s">
        <v>113</v>
      </c>
      <c r="B15" s="3" t="s">
        <v>115</v>
      </c>
      <c r="C15" s="3" t="s">
        <v>524</v>
      </c>
      <c r="D15" s="5" t="s">
        <v>237</v>
      </c>
      <c r="E15" s="6" t="s">
        <v>221</v>
      </c>
      <c r="F15" s="3">
        <f t="shared" si="0"/>
        <v>4</v>
      </c>
      <c r="G15" s="3" t="s">
        <v>524</v>
      </c>
      <c r="H15" s="5" t="s">
        <v>227</v>
      </c>
      <c r="I15" s="6" t="s">
        <v>224</v>
      </c>
      <c r="J15" s="3">
        <f t="shared" si="1"/>
        <v>3.5</v>
      </c>
      <c r="K15" s="3">
        <f t="shared" si="2"/>
        <v>7.5</v>
      </c>
      <c r="L15" s="3" t="s">
        <v>96</v>
      </c>
    </row>
    <row r="16" spans="1:12" ht="144" x14ac:dyDescent="0.3">
      <c r="A16" s="3" t="s">
        <v>116</v>
      </c>
      <c r="B16" s="3" t="s">
        <v>117</v>
      </c>
      <c r="C16" s="3" t="s">
        <v>521</v>
      </c>
      <c r="D16" s="5" t="s">
        <v>238</v>
      </c>
      <c r="E16" s="6" t="s">
        <v>221</v>
      </c>
      <c r="F16" s="3">
        <f t="shared" si="0"/>
        <v>8</v>
      </c>
      <c r="G16" s="3" t="s">
        <v>521</v>
      </c>
      <c r="H16" s="5" t="s">
        <v>232</v>
      </c>
      <c r="I16" s="6" t="s">
        <v>224</v>
      </c>
      <c r="J16" s="3">
        <f t="shared" si="1"/>
        <v>7</v>
      </c>
      <c r="K16" s="3">
        <f t="shared" si="2"/>
        <v>15</v>
      </c>
      <c r="L16" s="3" t="s">
        <v>96</v>
      </c>
    </row>
    <row r="17" spans="1:12" ht="96" x14ac:dyDescent="0.3">
      <c r="A17" s="3" t="s">
        <v>118</v>
      </c>
      <c r="B17" s="3" t="s">
        <v>119</v>
      </c>
      <c r="C17" s="3" t="s">
        <v>521</v>
      </c>
      <c r="D17" s="5" t="s">
        <v>239</v>
      </c>
      <c r="E17" s="6" t="s">
        <v>221</v>
      </c>
      <c r="F17" s="3">
        <f t="shared" si="0"/>
        <v>8</v>
      </c>
      <c r="G17" s="3" t="s">
        <v>521</v>
      </c>
      <c r="H17" s="5" t="s">
        <v>227</v>
      </c>
      <c r="I17" s="6" t="s">
        <v>224</v>
      </c>
      <c r="J17" s="3">
        <f t="shared" si="1"/>
        <v>7</v>
      </c>
      <c r="K17" s="3">
        <f t="shared" si="2"/>
        <v>15</v>
      </c>
      <c r="L17" s="3" t="s">
        <v>96</v>
      </c>
    </row>
    <row r="18" spans="1:12" ht="144" x14ac:dyDescent="0.3">
      <c r="A18" s="3" t="s">
        <v>120</v>
      </c>
      <c r="B18" s="3" t="s">
        <v>121</v>
      </c>
      <c r="C18" s="3" t="s">
        <v>521</v>
      </c>
      <c r="D18" s="5" t="s">
        <v>240</v>
      </c>
      <c r="E18" s="6" t="s">
        <v>221</v>
      </c>
      <c r="F18" s="3">
        <f t="shared" si="0"/>
        <v>8</v>
      </c>
      <c r="G18" s="3" t="s">
        <v>521</v>
      </c>
      <c r="H18" s="5" t="s">
        <v>227</v>
      </c>
      <c r="I18" s="6" t="s">
        <v>224</v>
      </c>
      <c r="J18" s="3">
        <f t="shared" si="1"/>
        <v>7</v>
      </c>
      <c r="K18" s="3">
        <f t="shared" si="2"/>
        <v>15</v>
      </c>
      <c r="L18" s="3" t="s">
        <v>96</v>
      </c>
    </row>
    <row r="19" spans="1:12" ht="144" x14ac:dyDescent="0.3">
      <c r="A19" s="3" t="s">
        <v>122</v>
      </c>
      <c r="B19" s="3" t="s">
        <v>123</v>
      </c>
      <c r="C19" s="3" t="s">
        <v>521</v>
      </c>
      <c r="D19" s="5" t="s">
        <v>228</v>
      </c>
      <c r="E19" s="6" t="s">
        <v>221</v>
      </c>
      <c r="F19" s="3">
        <f t="shared" si="0"/>
        <v>8</v>
      </c>
      <c r="G19" s="3" t="s">
        <v>523</v>
      </c>
      <c r="H19" s="5" t="s">
        <v>229</v>
      </c>
      <c r="I19" s="6" t="s">
        <v>224</v>
      </c>
      <c r="J19" s="3">
        <f t="shared" si="1"/>
        <v>0</v>
      </c>
      <c r="K19" s="3">
        <f t="shared" si="2"/>
        <v>8</v>
      </c>
      <c r="L19" s="3" t="s">
        <v>96</v>
      </c>
    </row>
    <row r="20" spans="1:12" ht="132" x14ac:dyDescent="0.3">
      <c r="A20" s="3" t="s">
        <v>125</v>
      </c>
      <c r="B20" s="3" t="s">
        <v>126</v>
      </c>
      <c r="C20" s="3" t="s">
        <v>521</v>
      </c>
      <c r="D20" s="5" t="s">
        <v>241</v>
      </c>
      <c r="E20" s="6" t="s">
        <v>221</v>
      </c>
      <c r="F20" s="3">
        <f t="shared" si="0"/>
        <v>8</v>
      </c>
      <c r="G20" s="3" t="s">
        <v>521</v>
      </c>
      <c r="H20" s="5" t="s">
        <v>232</v>
      </c>
      <c r="I20" s="6" t="s">
        <v>224</v>
      </c>
      <c r="J20" s="3">
        <f t="shared" si="1"/>
        <v>7</v>
      </c>
      <c r="K20" s="3">
        <f t="shared" si="2"/>
        <v>15</v>
      </c>
      <c r="L20" s="3" t="s">
        <v>96</v>
      </c>
    </row>
    <row r="21" spans="1:12" x14ac:dyDescent="0.3">
      <c r="A21" s="3" t="s">
        <v>127</v>
      </c>
      <c r="B21" s="3" t="s">
        <v>128</v>
      </c>
      <c r="C21" s="3" t="s">
        <v>522</v>
      </c>
      <c r="D21" s="5" t="s">
        <v>242</v>
      </c>
      <c r="E21" s="6" t="s">
        <v>221</v>
      </c>
      <c r="F21" s="3">
        <f t="shared" si="0"/>
        <v>0</v>
      </c>
      <c r="G21" s="3" t="s">
        <v>522</v>
      </c>
      <c r="H21" s="5" t="s">
        <v>243</v>
      </c>
      <c r="I21" s="6" t="s">
        <v>224</v>
      </c>
      <c r="J21" s="3">
        <f t="shared" si="1"/>
        <v>0</v>
      </c>
      <c r="K21" s="3">
        <f t="shared" si="2"/>
        <v>0</v>
      </c>
      <c r="L21" s="3" t="s">
        <v>96</v>
      </c>
    </row>
    <row r="22" spans="1:12" ht="84" x14ac:dyDescent="0.3">
      <c r="A22" s="3" t="s">
        <v>130</v>
      </c>
      <c r="B22" s="3" t="s">
        <v>131</v>
      </c>
      <c r="C22" s="3" t="s">
        <v>521</v>
      </c>
      <c r="D22" s="5" t="s">
        <v>244</v>
      </c>
      <c r="E22" s="6" t="s">
        <v>221</v>
      </c>
      <c r="F22" s="3">
        <f t="shared" si="0"/>
        <v>8</v>
      </c>
      <c r="G22" s="3" t="s">
        <v>523</v>
      </c>
      <c r="H22" s="5" t="s">
        <v>229</v>
      </c>
      <c r="I22" s="6" t="s">
        <v>224</v>
      </c>
      <c r="J22" s="3">
        <f t="shared" si="1"/>
        <v>0</v>
      </c>
      <c r="K22" s="3">
        <f t="shared" si="2"/>
        <v>8</v>
      </c>
      <c r="L22" s="3" t="s">
        <v>96</v>
      </c>
    </row>
    <row r="23" spans="1:12" ht="144" x14ac:dyDescent="0.3">
      <c r="A23" s="3" t="s">
        <v>132</v>
      </c>
      <c r="B23" s="3" t="s">
        <v>133</v>
      </c>
      <c r="C23" s="3" t="s">
        <v>521</v>
      </c>
      <c r="D23" s="5" t="s">
        <v>245</v>
      </c>
      <c r="E23" s="6" t="s">
        <v>221</v>
      </c>
      <c r="F23" s="3">
        <f t="shared" si="0"/>
        <v>8</v>
      </c>
      <c r="G23" s="3" t="s">
        <v>521</v>
      </c>
      <c r="H23" s="5" t="s">
        <v>231</v>
      </c>
      <c r="I23" s="6" t="s">
        <v>224</v>
      </c>
      <c r="J23" s="3">
        <f t="shared" si="1"/>
        <v>7</v>
      </c>
      <c r="K23" s="3">
        <f t="shared" si="2"/>
        <v>15</v>
      </c>
      <c r="L23" s="3" t="s">
        <v>96</v>
      </c>
    </row>
    <row r="24" spans="1:12" ht="144" x14ac:dyDescent="0.3">
      <c r="A24" s="3" t="s">
        <v>134</v>
      </c>
      <c r="B24" s="3" t="s">
        <v>135</v>
      </c>
      <c r="C24" s="3" t="s">
        <v>521</v>
      </c>
      <c r="D24" s="5" t="s">
        <v>228</v>
      </c>
      <c r="E24" s="6" t="s">
        <v>221</v>
      </c>
      <c r="F24" s="3">
        <f t="shared" si="0"/>
        <v>8</v>
      </c>
      <c r="G24" s="3" t="s">
        <v>521</v>
      </c>
      <c r="H24" s="5" t="s">
        <v>232</v>
      </c>
      <c r="I24" s="6" t="s">
        <v>224</v>
      </c>
      <c r="J24" s="3">
        <f t="shared" si="1"/>
        <v>7</v>
      </c>
      <c r="K24" s="3">
        <f t="shared" si="2"/>
        <v>15</v>
      </c>
      <c r="L24" s="3" t="s">
        <v>96</v>
      </c>
    </row>
    <row r="25" spans="1:12" ht="60" x14ac:dyDescent="0.3">
      <c r="A25" s="3" t="s">
        <v>136</v>
      </c>
      <c r="B25" s="3" t="s">
        <v>137</v>
      </c>
      <c r="C25" s="3" t="s">
        <v>521</v>
      </c>
      <c r="D25" s="5" t="s">
        <v>246</v>
      </c>
      <c r="E25" s="6" t="s">
        <v>221</v>
      </c>
      <c r="F25" s="3">
        <f t="shared" si="0"/>
        <v>8</v>
      </c>
      <c r="G25" s="3" t="s">
        <v>524</v>
      </c>
      <c r="H25" s="5" t="s">
        <v>227</v>
      </c>
      <c r="I25" s="6" t="s">
        <v>224</v>
      </c>
      <c r="J25" s="3">
        <f t="shared" si="1"/>
        <v>3.5</v>
      </c>
      <c r="K25" s="3">
        <f t="shared" si="2"/>
        <v>11.5</v>
      </c>
      <c r="L25" s="3" t="s">
        <v>96</v>
      </c>
    </row>
    <row r="26" spans="1:12" ht="144" x14ac:dyDescent="0.3">
      <c r="A26" s="3" t="s">
        <v>138</v>
      </c>
      <c r="B26" s="3" t="s">
        <v>139</v>
      </c>
      <c r="C26" s="3" t="s">
        <v>521</v>
      </c>
      <c r="D26" s="5" t="s">
        <v>247</v>
      </c>
      <c r="E26" s="6" t="s">
        <v>221</v>
      </c>
      <c r="F26" s="3">
        <f t="shared" si="0"/>
        <v>8</v>
      </c>
      <c r="G26" s="3" t="s">
        <v>521</v>
      </c>
      <c r="H26" s="5" t="s">
        <v>232</v>
      </c>
      <c r="I26" s="6" t="s">
        <v>224</v>
      </c>
      <c r="J26" s="3">
        <f t="shared" si="1"/>
        <v>7</v>
      </c>
      <c r="K26" s="3">
        <f t="shared" si="2"/>
        <v>15</v>
      </c>
      <c r="L26" s="3" t="s">
        <v>96</v>
      </c>
    </row>
    <row r="27" spans="1:12" ht="144" x14ac:dyDescent="0.3">
      <c r="A27" s="3" t="s">
        <v>140</v>
      </c>
      <c r="B27" s="3" t="s">
        <v>141</v>
      </c>
      <c r="C27" s="3" t="s">
        <v>521</v>
      </c>
      <c r="D27" s="5" t="s">
        <v>236</v>
      </c>
      <c r="E27" s="6" t="s">
        <v>221</v>
      </c>
      <c r="F27" s="3">
        <f t="shared" si="0"/>
        <v>8</v>
      </c>
      <c r="G27" s="3" t="s">
        <v>524</v>
      </c>
      <c r="H27" s="5" t="s">
        <v>227</v>
      </c>
      <c r="I27" s="6" t="s">
        <v>224</v>
      </c>
      <c r="J27" s="3">
        <f t="shared" si="1"/>
        <v>3.5</v>
      </c>
      <c r="K27" s="3">
        <f t="shared" si="2"/>
        <v>11.5</v>
      </c>
      <c r="L27" s="3" t="s">
        <v>96</v>
      </c>
    </row>
    <row r="28" spans="1:12" ht="48" x14ac:dyDescent="0.3">
      <c r="A28" s="3" t="s">
        <v>142</v>
      </c>
      <c r="B28" s="3" t="s">
        <v>143</v>
      </c>
      <c r="C28" s="3" t="s">
        <v>521</v>
      </c>
      <c r="D28" s="5" t="s">
        <v>248</v>
      </c>
      <c r="E28" s="6" t="s">
        <v>221</v>
      </c>
      <c r="F28" s="3">
        <f t="shared" si="0"/>
        <v>8</v>
      </c>
      <c r="G28" s="3" t="s">
        <v>524</v>
      </c>
      <c r="H28" s="5" t="s">
        <v>227</v>
      </c>
      <c r="I28" s="6" t="s">
        <v>224</v>
      </c>
      <c r="J28" s="3">
        <f t="shared" si="1"/>
        <v>3.5</v>
      </c>
      <c r="K28" s="3">
        <f t="shared" si="2"/>
        <v>11.5</v>
      </c>
      <c r="L28" s="3" t="s">
        <v>96</v>
      </c>
    </row>
    <row r="29" spans="1:12" ht="84" x14ac:dyDescent="0.3">
      <c r="A29" s="3" t="s">
        <v>144</v>
      </c>
      <c r="B29" s="3" t="s">
        <v>145</v>
      </c>
      <c r="C29" s="3" t="s">
        <v>522</v>
      </c>
      <c r="D29" s="5" t="s">
        <v>249</v>
      </c>
      <c r="E29" s="6" t="s">
        <v>221</v>
      </c>
      <c r="F29" s="3">
        <f t="shared" si="0"/>
        <v>0</v>
      </c>
      <c r="G29" s="3" t="s">
        <v>522</v>
      </c>
      <c r="H29" s="5" t="s">
        <v>229</v>
      </c>
      <c r="I29" s="6" t="s">
        <v>224</v>
      </c>
      <c r="J29" s="3">
        <f t="shared" si="1"/>
        <v>0</v>
      </c>
      <c r="K29" s="3">
        <f t="shared" si="2"/>
        <v>0</v>
      </c>
      <c r="L29" s="3" t="s">
        <v>96</v>
      </c>
    </row>
    <row r="30" spans="1:12" ht="144" x14ac:dyDescent="0.3">
      <c r="A30" s="3" t="s">
        <v>147</v>
      </c>
      <c r="B30" s="3" t="s">
        <v>148</v>
      </c>
      <c r="C30" s="3" t="s">
        <v>521</v>
      </c>
      <c r="D30" s="5" t="s">
        <v>228</v>
      </c>
      <c r="E30" s="6" t="s">
        <v>221</v>
      </c>
      <c r="F30" s="3">
        <f t="shared" si="0"/>
        <v>8</v>
      </c>
      <c r="G30" s="3" t="s">
        <v>524</v>
      </c>
      <c r="H30" s="5" t="s">
        <v>227</v>
      </c>
      <c r="I30" s="6" t="s">
        <v>224</v>
      </c>
      <c r="J30" s="3">
        <f t="shared" si="1"/>
        <v>3.5</v>
      </c>
      <c r="K30" s="3">
        <f t="shared" si="2"/>
        <v>11.5</v>
      </c>
      <c r="L30" s="3" t="s">
        <v>96</v>
      </c>
    </row>
    <row r="31" spans="1:12" ht="36" x14ac:dyDescent="0.3">
      <c r="A31" s="3" t="s">
        <v>149</v>
      </c>
      <c r="B31" s="3" t="s">
        <v>150</v>
      </c>
      <c r="C31" s="3" t="s">
        <v>521</v>
      </c>
      <c r="D31" s="5" t="s">
        <v>235</v>
      </c>
      <c r="E31" s="6" t="s">
        <v>221</v>
      </c>
      <c r="F31" s="3">
        <f t="shared" si="0"/>
        <v>8</v>
      </c>
      <c r="G31" s="3" t="s">
        <v>521</v>
      </c>
      <c r="H31" s="5" t="s">
        <v>232</v>
      </c>
      <c r="I31" s="6" t="s">
        <v>224</v>
      </c>
      <c r="J31" s="3">
        <f t="shared" si="1"/>
        <v>7</v>
      </c>
      <c r="K31" s="3">
        <f t="shared" si="2"/>
        <v>15</v>
      </c>
      <c r="L31" s="3" t="s">
        <v>96</v>
      </c>
    </row>
    <row r="32" spans="1:12" ht="72" x14ac:dyDescent="0.3">
      <c r="A32" s="3" t="s">
        <v>151</v>
      </c>
      <c r="B32" s="3" t="s">
        <v>152</v>
      </c>
      <c r="C32" s="3" t="s">
        <v>521</v>
      </c>
      <c r="D32" s="5" t="s">
        <v>250</v>
      </c>
      <c r="E32" s="6" t="s">
        <v>221</v>
      </c>
      <c r="F32" s="3">
        <f t="shared" si="0"/>
        <v>8</v>
      </c>
      <c r="G32" s="3" t="s">
        <v>521</v>
      </c>
      <c r="H32" s="5" t="s">
        <v>231</v>
      </c>
      <c r="I32" s="6" t="s">
        <v>224</v>
      </c>
      <c r="J32" s="3">
        <f t="shared" si="1"/>
        <v>7</v>
      </c>
      <c r="K32" s="3">
        <f t="shared" si="2"/>
        <v>15</v>
      </c>
      <c r="L32" s="3" t="s">
        <v>96</v>
      </c>
    </row>
    <row r="33" spans="1:12" x14ac:dyDescent="0.3">
      <c r="A33" s="3" t="s">
        <v>153</v>
      </c>
      <c r="B33" s="3" t="s">
        <v>154</v>
      </c>
      <c r="C33" s="3" t="s">
        <v>522</v>
      </c>
      <c r="D33" s="5" t="s">
        <v>155</v>
      </c>
      <c r="E33" s="6" t="s">
        <v>221</v>
      </c>
      <c r="F33" s="3">
        <f t="shared" si="0"/>
        <v>0</v>
      </c>
      <c r="G33" s="3" t="s">
        <v>522</v>
      </c>
      <c r="H33" s="5" t="s">
        <v>155</v>
      </c>
      <c r="I33" s="6" t="s">
        <v>224</v>
      </c>
      <c r="J33" s="3">
        <f t="shared" si="1"/>
        <v>0</v>
      </c>
      <c r="K33" s="3">
        <f t="shared" si="2"/>
        <v>0</v>
      </c>
      <c r="L33" s="3" t="s">
        <v>96</v>
      </c>
    </row>
    <row r="34" spans="1:12" ht="144" x14ac:dyDescent="0.3">
      <c r="A34" s="3" t="s">
        <v>156</v>
      </c>
      <c r="B34" s="3" t="s">
        <v>157</v>
      </c>
      <c r="C34" s="3" t="s">
        <v>522</v>
      </c>
      <c r="D34" s="5" t="s">
        <v>245</v>
      </c>
      <c r="E34" s="6" t="s">
        <v>221</v>
      </c>
      <c r="F34" s="3">
        <f t="shared" si="0"/>
        <v>0</v>
      </c>
      <c r="G34" s="3" t="s">
        <v>522</v>
      </c>
      <c r="H34" s="5" t="s">
        <v>231</v>
      </c>
      <c r="I34" s="6" t="s">
        <v>224</v>
      </c>
      <c r="J34" s="3">
        <f t="shared" si="1"/>
        <v>0</v>
      </c>
      <c r="K34" s="3">
        <f t="shared" si="2"/>
        <v>0</v>
      </c>
      <c r="L34" s="3" t="s">
        <v>96</v>
      </c>
    </row>
  </sheetData>
  <mergeCells count="7">
    <mergeCell ref="A6:B6"/>
    <mergeCell ref="A1:L1"/>
    <mergeCell ref="A2:L2"/>
    <mergeCell ref="A4:B4"/>
    <mergeCell ref="C4:F4"/>
    <mergeCell ref="G4:J4"/>
    <mergeCell ref="K4:L4"/>
  </mergeCells>
  <conditionalFormatting sqref="C7:C34">
    <cfRule type="expression" dxfId="71" priority="1">
      <formula>C7="Atende"</formula>
    </cfRule>
    <cfRule type="expression" dxfId="70" priority="2">
      <formula>C7="Parcial"</formula>
    </cfRule>
    <cfRule type="expression" dxfId="69" priority="3">
      <formula>OR(C7="Não atende",C7="Sem evidência")</formula>
    </cfRule>
  </conditionalFormatting>
  <conditionalFormatting sqref="G7:G34">
    <cfRule type="expression" dxfId="68" priority="4">
      <formula>G7="Atende"</formula>
    </cfRule>
    <cfRule type="expression" dxfId="67" priority="5">
      <formula>G7="Parcial"</formula>
    </cfRule>
    <cfRule type="expression" dxfId="66" priority="6">
      <formula>OR(G7="Não atende",G7="Sem evidência")</formula>
    </cfRule>
  </conditionalFormatting>
  <dataValidations count="1">
    <dataValidation type="list" sqref="C7:C34 G7:G34" xr:uid="{00000000-0002-0000-0300-000000000000}">
      <formula1>"Atende,Parcial,Não atende,Sem evidência"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4"/>
  <sheetViews>
    <sheetView topLeftCell="A27" zoomScale="80" zoomScaleNormal="80" workbookViewId="0">
      <selection activeCell="W31" sqref="W31"/>
    </sheetView>
  </sheetViews>
  <sheetFormatPr defaultRowHeight="14.4" x14ac:dyDescent="0.3"/>
  <cols>
    <col min="1" max="1" width="8" customWidth="1"/>
    <col min="2" max="2" width="29" customWidth="1"/>
    <col min="3" max="3" width="31" customWidth="1"/>
    <col min="4" max="4" width="42" customWidth="1"/>
    <col min="5" max="5" width="25" customWidth="1"/>
    <col min="6" max="6" width="8" customWidth="1"/>
    <col min="7" max="7" width="31" customWidth="1"/>
    <col min="8" max="8" width="42" customWidth="1"/>
    <col min="9" max="9" width="25" customWidth="1"/>
    <col min="10" max="10" width="8" customWidth="1"/>
    <col min="11" max="11" width="31" customWidth="1"/>
    <col min="12" max="12" width="42" customWidth="1"/>
    <col min="13" max="13" width="25" customWidth="1"/>
    <col min="14" max="14" width="8" customWidth="1"/>
    <col min="15" max="15" width="31" customWidth="1"/>
    <col min="16" max="16" width="42" customWidth="1"/>
    <col min="17" max="17" width="25" customWidth="1"/>
    <col min="18" max="18" width="8" customWidth="1"/>
    <col min="19" max="19" width="31" customWidth="1"/>
    <col min="20" max="20" width="42" customWidth="1"/>
    <col min="21" max="21" width="25" customWidth="1"/>
    <col min="22" max="22" width="8" customWidth="1"/>
    <col min="23" max="23" width="31" customWidth="1"/>
    <col min="24" max="24" width="42" customWidth="1"/>
    <col min="25" max="25" width="25" customWidth="1"/>
    <col min="26" max="26" width="8" customWidth="1"/>
    <col min="27" max="27" width="14" customWidth="1"/>
    <col min="28" max="28" width="31" customWidth="1"/>
  </cols>
  <sheetData>
    <row r="1" spans="1:28" ht="22.35" customHeight="1" x14ac:dyDescent="0.3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38.4" customHeight="1" x14ac:dyDescent="0.3">
      <c r="A2" s="9" t="s">
        <v>158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4" spans="1:28" ht="40.049999999999997" customHeight="1" x14ac:dyDescent="0.3">
      <c r="A4" s="10" t="s">
        <v>77</v>
      </c>
      <c r="B4" s="10"/>
      <c r="C4" s="10" t="s">
        <v>251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 t="s">
        <v>252</v>
      </c>
      <c r="P4" s="10"/>
      <c r="Q4" s="10"/>
      <c r="R4" s="10"/>
      <c r="S4" s="10" t="s">
        <v>253</v>
      </c>
      <c r="T4" s="10"/>
      <c r="U4" s="10"/>
      <c r="V4" s="10"/>
      <c r="W4" s="10"/>
      <c r="X4" s="10"/>
      <c r="Y4" s="10"/>
      <c r="Z4" s="10"/>
      <c r="AA4" s="10" t="s">
        <v>161</v>
      </c>
      <c r="AB4" s="10"/>
    </row>
    <row r="5" spans="1:28" ht="49.65" customHeight="1" x14ac:dyDescent="0.3">
      <c r="A5" s="2" t="s">
        <v>80</v>
      </c>
      <c r="B5" s="2" t="s">
        <v>81</v>
      </c>
      <c r="C5" s="2" t="s">
        <v>254</v>
      </c>
      <c r="D5" s="2" t="s">
        <v>83</v>
      </c>
      <c r="E5" s="2" t="s">
        <v>84</v>
      </c>
      <c r="F5" s="2" t="s">
        <v>255</v>
      </c>
      <c r="G5" s="2" t="s">
        <v>256</v>
      </c>
      <c r="H5" s="2" t="s">
        <v>83</v>
      </c>
      <c r="I5" s="2" t="s">
        <v>84</v>
      </c>
      <c r="J5" s="2" t="s">
        <v>255</v>
      </c>
      <c r="K5" s="2" t="s">
        <v>257</v>
      </c>
      <c r="L5" s="2" t="s">
        <v>83</v>
      </c>
      <c r="M5" s="2" t="s">
        <v>84</v>
      </c>
      <c r="N5" s="2" t="s">
        <v>255</v>
      </c>
      <c r="O5" s="2" t="s">
        <v>258</v>
      </c>
      <c r="P5" s="2" t="s">
        <v>83</v>
      </c>
      <c r="Q5" s="2" t="s">
        <v>84</v>
      </c>
      <c r="R5" s="2" t="s">
        <v>163</v>
      </c>
      <c r="S5" s="2" t="s">
        <v>259</v>
      </c>
      <c r="T5" s="2" t="s">
        <v>83</v>
      </c>
      <c r="U5" s="2" t="s">
        <v>84</v>
      </c>
      <c r="V5" s="2" t="s">
        <v>163</v>
      </c>
      <c r="W5" s="2" t="s">
        <v>260</v>
      </c>
      <c r="X5" s="2" t="s">
        <v>83</v>
      </c>
      <c r="Y5" s="2" t="s">
        <v>84</v>
      </c>
      <c r="Z5" s="2" t="s">
        <v>163</v>
      </c>
      <c r="AA5" s="2" t="s">
        <v>86</v>
      </c>
      <c r="AB5" s="2" t="s">
        <v>88</v>
      </c>
    </row>
    <row r="6" spans="1:28" ht="105.6" customHeight="1" x14ac:dyDescent="0.3">
      <c r="A6" s="7" t="s">
        <v>89</v>
      </c>
      <c r="B6" s="7"/>
      <c r="C6" s="4" t="s">
        <v>261</v>
      </c>
      <c r="D6" s="5" t="s">
        <v>169</v>
      </c>
      <c r="E6" s="6" t="s">
        <v>262</v>
      </c>
      <c r="F6" s="1" t="s">
        <v>263</v>
      </c>
      <c r="G6" s="4" t="s">
        <v>264</v>
      </c>
      <c r="H6" s="5" t="s">
        <v>169</v>
      </c>
      <c r="I6" s="6" t="s">
        <v>265</v>
      </c>
      <c r="J6" s="1" t="s">
        <v>263</v>
      </c>
      <c r="K6" s="4" t="s">
        <v>266</v>
      </c>
      <c r="L6" s="5" t="s">
        <v>169</v>
      </c>
      <c r="M6" s="6" t="s">
        <v>267</v>
      </c>
      <c r="N6" s="1" t="s">
        <v>263</v>
      </c>
      <c r="O6" s="4" t="s">
        <v>268</v>
      </c>
      <c r="P6" s="5" t="s">
        <v>169</v>
      </c>
      <c r="Q6" s="6" t="s">
        <v>269</v>
      </c>
      <c r="R6" s="1" t="s">
        <v>171</v>
      </c>
      <c r="S6" s="4" t="s">
        <v>270</v>
      </c>
      <c r="T6" s="5" t="s">
        <v>169</v>
      </c>
      <c r="U6" s="6" t="s">
        <v>271</v>
      </c>
      <c r="V6" s="1" t="s">
        <v>171</v>
      </c>
      <c r="W6" s="4" t="s">
        <v>272</v>
      </c>
      <c r="X6" s="5" t="s">
        <v>169</v>
      </c>
      <c r="Y6" s="6" t="s">
        <v>271</v>
      </c>
      <c r="Z6" s="1" t="s">
        <v>171</v>
      </c>
      <c r="AA6" s="1" t="s">
        <v>180</v>
      </c>
      <c r="AB6" s="1" t="s">
        <v>181</v>
      </c>
    </row>
    <row r="7" spans="1:28" ht="84" x14ac:dyDescent="0.3">
      <c r="A7" s="3" t="s">
        <v>97</v>
      </c>
      <c r="B7" s="3" t="s">
        <v>98</v>
      </c>
      <c r="C7" s="3" t="s">
        <v>521</v>
      </c>
      <c r="D7" s="5" t="s">
        <v>73</v>
      </c>
      <c r="E7" s="6" t="s">
        <v>262</v>
      </c>
      <c r="F7" s="3">
        <f t="shared" ref="F7:F34" si="0">IF(C7="Atende",2,IF(C7="Parcial",1,0))</f>
        <v>2</v>
      </c>
      <c r="G7" s="3" t="s">
        <v>523</v>
      </c>
      <c r="H7" s="5" t="s">
        <v>20</v>
      </c>
      <c r="I7" s="6" t="s">
        <v>265</v>
      </c>
      <c r="J7" s="3">
        <f t="shared" ref="J7:J34" si="1">IF(G7="Atende",2,IF(G7="Parcial",1,0))</f>
        <v>0</v>
      </c>
      <c r="K7" s="3" t="s">
        <v>521</v>
      </c>
      <c r="L7" s="5" t="s">
        <v>73</v>
      </c>
      <c r="M7" s="6" t="s">
        <v>267</v>
      </c>
      <c r="N7" s="3">
        <f t="shared" ref="N7:N34" si="2">IF(K7="Atende",2,IF(K7="Parcial",1,0))</f>
        <v>2</v>
      </c>
      <c r="O7" s="3" t="s">
        <v>521</v>
      </c>
      <c r="P7" s="5" t="s">
        <v>273</v>
      </c>
      <c r="Q7" s="6" t="s">
        <v>269</v>
      </c>
      <c r="R7" s="3">
        <f t="shared" ref="R7:R34" si="3">IF(O7="Atende",3,IF(O7="Parcial",1.5,0))</f>
        <v>3</v>
      </c>
      <c r="S7" s="3" t="s">
        <v>521</v>
      </c>
      <c r="T7" s="5" t="s">
        <v>274</v>
      </c>
      <c r="U7" s="6" t="s">
        <v>271</v>
      </c>
      <c r="V7" s="3">
        <f t="shared" ref="V7:V34" si="4">IF(S7="Atende",3,IF(S7="Parcial",1.5,0))</f>
        <v>3</v>
      </c>
      <c r="W7" s="3" t="s">
        <v>521</v>
      </c>
      <c r="X7" s="5" t="s">
        <v>275</v>
      </c>
      <c r="Y7" s="6" t="s">
        <v>271</v>
      </c>
      <c r="Z7" s="3">
        <f t="shared" ref="Z7:Z34" si="5">IF(W7="Atende",3,IF(W7="Parcial",1.5,0))</f>
        <v>3</v>
      </c>
      <c r="AA7" s="3">
        <f t="shared" ref="AA7:AA34" si="6">SUM(F7,J7,N7,R7,V7,Z7)</f>
        <v>13</v>
      </c>
      <c r="AB7" s="3" t="s">
        <v>96</v>
      </c>
    </row>
    <row r="8" spans="1:28" ht="72" x14ac:dyDescent="0.3">
      <c r="A8" s="3" t="s">
        <v>100</v>
      </c>
      <c r="B8" s="3" t="s">
        <v>101</v>
      </c>
      <c r="C8" s="3" t="s">
        <v>521</v>
      </c>
      <c r="D8" s="5" t="s">
        <v>73</v>
      </c>
      <c r="E8" s="6" t="s">
        <v>262</v>
      </c>
      <c r="F8" s="3">
        <f t="shared" si="0"/>
        <v>2</v>
      </c>
      <c r="G8" s="3" t="s">
        <v>521</v>
      </c>
      <c r="H8" s="5" t="s">
        <v>73</v>
      </c>
      <c r="I8" s="6" t="s">
        <v>265</v>
      </c>
      <c r="J8" s="3">
        <f t="shared" si="1"/>
        <v>2</v>
      </c>
      <c r="K8" s="3" t="s">
        <v>521</v>
      </c>
      <c r="L8" s="5" t="s">
        <v>73</v>
      </c>
      <c r="M8" s="6" t="s">
        <v>267</v>
      </c>
      <c r="N8" s="3">
        <f t="shared" si="2"/>
        <v>2</v>
      </c>
      <c r="O8" s="3" t="s">
        <v>521</v>
      </c>
      <c r="P8" s="5" t="s">
        <v>273</v>
      </c>
      <c r="Q8" s="6" t="s">
        <v>269</v>
      </c>
      <c r="R8" s="3">
        <f t="shared" si="3"/>
        <v>3</v>
      </c>
      <c r="S8" s="3" t="s">
        <v>523</v>
      </c>
      <c r="T8" s="5" t="s">
        <v>276</v>
      </c>
      <c r="U8" s="6" t="s">
        <v>271</v>
      </c>
      <c r="V8" s="3">
        <f t="shared" si="4"/>
        <v>0</v>
      </c>
      <c r="W8" s="3" t="s">
        <v>521</v>
      </c>
      <c r="X8" s="5" t="s">
        <v>277</v>
      </c>
      <c r="Y8" s="6" t="s">
        <v>271</v>
      </c>
      <c r="Z8" s="3">
        <f t="shared" si="5"/>
        <v>3</v>
      </c>
      <c r="AA8" s="3">
        <f t="shared" si="6"/>
        <v>12</v>
      </c>
      <c r="AB8" s="3" t="s">
        <v>96</v>
      </c>
    </row>
    <row r="9" spans="1:28" ht="84" x14ac:dyDescent="0.3">
      <c r="A9" s="3" t="s">
        <v>103</v>
      </c>
      <c r="B9" s="3" t="s">
        <v>104</v>
      </c>
      <c r="C9" s="3" t="s">
        <v>521</v>
      </c>
      <c r="D9" s="5" t="s">
        <v>73</v>
      </c>
      <c r="E9" s="6" t="s">
        <v>262</v>
      </c>
      <c r="F9" s="3">
        <f t="shared" si="0"/>
        <v>2</v>
      </c>
      <c r="G9" s="3" t="s">
        <v>521</v>
      </c>
      <c r="H9" s="5" t="s">
        <v>73</v>
      </c>
      <c r="I9" s="6" t="s">
        <v>265</v>
      </c>
      <c r="J9" s="3">
        <f t="shared" si="1"/>
        <v>2</v>
      </c>
      <c r="K9" s="3" t="s">
        <v>521</v>
      </c>
      <c r="L9" s="5" t="s">
        <v>73</v>
      </c>
      <c r="M9" s="6" t="s">
        <v>267</v>
      </c>
      <c r="N9" s="3">
        <f t="shared" si="2"/>
        <v>2</v>
      </c>
      <c r="O9" s="3" t="s">
        <v>524</v>
      </c>
      <c r="P9" s="5" t="s">
        <v>278</v>
      </c>
      <c r="Q9" s="6" t="s">
        <v>269</v>
      </c>
      <c r="R9" s="3">
        <f t="shared" si="3"/>
        <v>1.5</v>
      </c>
      <c r="S9" s="3" t="s">
        <v>521</v>
      </c>
      <c r="T9" s="5" t="s">
        <v>274</v>
      </c>
      <c r="U9" s="6" t="s">
        <v>271</v>
      </c>
      <c r="V9" s="3">
        <f t="shared" si="4"/>
        <v>3</v>
      </c>
      <c r="W9" s="3" t="s">
        <v>521</v>
      </c>
      <c r="X9" s="5" t="s">
        <v>279</v>
      </c>
      <c r="Y9" s="6" t="s">
        <v>271</v>
      </c>
      <c r="Z9" s="3">
        <f t="shared" si="5"/>
        <v>3</v>
      </c>
      <c r="AA9" s="3">
        <f t="shared" si="6"/>
        <v>13.5</v>
      </c>
      <c r="AB9" s="3" t="s">
        <v>96</v>
      </c>
    </row>
    <row r="10" spans="1:28" ht="84" x14ac:dyDescent="0.3">
      <c r="A10" s="3" t="s">
        <v>105</v>
      </c>
      <c r="B10" s="3" t="s">
        <v>106</v>
      </c>
      <c r="C10" s="3" t="s">
        <v>521</v>
      </c>
      <c r="D10" s="5" t="s">
        <v>73</v>
      </c>
      <c r="E10" s="6" t="s">
        <v>262</v>
      </c>
      <c r="F10" s="3">
        <f t="shared" si="0"/>
        <v>2</v>
      </c>
      <c r="G10" s="3" t="s">
        <v>523</v>
      </c>
      <c r="H10" s="5" t="s">
        <v>20</v>
      </c>
      <c r="I10" s="6" t="s">
        <v>265</v>
      </c>
      <c r="J10" s="3">
        <f t="shared" si="1"/>
        <v>0</v>
      </c>
      <c r="K10" s="3" t="s">
        <v>521</v>
      </c>
      <c r="L10" s="5" t="s">
        <v>73</v>
      </c>
      <c r="M10" s="6" t="s">
        <v>267</v>
      </c>
      <c r="N10" s="3">
        <f t="shared" si="2"/>
        <v>2</v>
      </c>
      <c r="O10" s="3" t="s">
        <v>524</v>
      </c>
      <c r="P10" s="5" t="s">
        <v>278</v>
      </c>
      <c r="Q10" s="6" t="s">
        <v>269</v>
      </c>
      <c r="R10" s="3">
        <f t="shared" si="3"/>
        <v>1.5</v>
      </c>
      <c r="S10" s="3" t="s">
        <v>521</v>
      </c>
      <c r="T10" s="5" t="s">
        <v>274</v>
      </c>
      <c r="U10" s="6" t="s">
        <v>271</v>
      </c>
      <c r="V10" s="3">
        <f t="shared" si="4"/>
        <v>3</v>
      </c>
      <c r="W10" s="3" t="s">
        <v>521</v>
      </c>
      <c r="X10" s="5" t="s">
        <v>280</v>
      </c>
      <c r="Y10" s="6" t="s">
        <v>271</v>
      </c>
      <c r="Z10" s="3">
        <f t="shared" si="5"/>
        <v>3</v>
      </c>
      <c r="AA10" s="3">
        <f t="shared" si="6"/>
        <v>11.5</v>
      </c>
      <c r="AB10" s="3" t="s">
        <v>96</v>
      </c>
    </row>
    <row r="11" spans="1:28" ht="84" x14ac:dyDescent="0.3">
      <c r="A11" s="3" t="s">
        <v>107</v>
      </c>
      <c r="B11" s="3" t="s">
        <v>108</v>
      </c>
      <c r="C11" s="3" t="s">
        <v>521</v>
      </c>
      <c r="D11" s="5" t="s">
        <v>73</v>
      </c>
      <c r="E11" s="6" t="s">
        <v>262</v>
      </c>
      <c r="F11" s="3">
        <f t="shared" si="0"/>
        <v>2</v>
      </c>
      <c r="G11" s="3" t="s">
        <v>523</v>
      </c>
      <c r="H11" s="5" t="s">
        <v>20</v>
      </c>
      <c r="I11" s="6" t="s">
        <v>265</v>
      </c>
      <c r="J11" s="3">
        <f t="shared" si="1"/>
        <v>0</v>
      </c>
      <c r="K11" s="3" t="s">
        <v>521</v>
      </c>
      <c r="L11" s="5" t="s">
        <v>73</v>
      </c>
      <c r="M11" s="6" t="s">
        <v>267</v>
      </c>
      <c r="N11" s="3">
        <f t="shared" si="2"/>
        <v>2</v>
      </c>
      <c r="O11" s="3" t="s">
        <v>524</v>
      </c>
      <c r="P11" s="5" t="s">
        <v>278</v>
      </c>
      <c r="Q11" s="6" t="s">
        <v>269</v>
      </c>
      <c r="R11" s="3">
        <f t="shared" si="3"/>
        <v>1.5</v>
      </c>
      <c r="S11" s="3" t="s">
        <v>521</v>
      </c>
      <c r="T11" s="5" t="s">
        <v>281</v>
      </c>
      <c r="U11" s="6" t="s">
        <v>271</v>
      </c>
      <c r="V11" s="3">
        <f t="shared" si="4"/>
        <v>3</v>
      </c>
      <c r="W11" s="3" t="s">
        <v>521</v>
      </c>
      <c r="X11" s="5" t="s">
        <v>282</v>
      </c>
      <c r="Y11" s="6" t="s">
        <v>271</v>
      </c>
      <c r="Z11" s="3">
        <f t="shared" si="5"/>
        <v>3</v>
      </c>
      <c r="AA11" s="3">
        <f t="shared" si="6"/>
        <v>11.5</v>
      </c>
      <c r="AB11" s="3" t="s">
        <v>96</v>
      </c>
    </row>
    <row r="12" spans="1:28" ht="84" x14ac:dyDescent="0.3">
      <c r="A12" s="3" t="s">
        <v>109</v>
      </c>
      <c r="B12" s="3" t="s">
        <v>110</v>
      </c>
      <c r="C12" s="3" t="s">
        <v>521</v>
      </c>
      <c r="D12" s="5" t="s">
        <v>73</v>
      </c>
      <c r="E12" s="6" t="s">
        <v>262</v>
      </c>
      <c r="F12" s="3">
        <f t="shared" si="0"/>
        <v>2</v>
      </c>
      <c r="G12" s="3" t="s">
        <v>521</v>
      </c>
      <c r="H12" s="5" t="s">
        <v>73</v>
      </c>
      <c r="I12" s="6" t="s">
        <v>265</v>
      </c>
      <c r="J12" s="3">
        <f t="shared" si="1"/>
        <v>2</v>
      </c>
      <c r="K12" s="3" t="s">
        <v>521</v>
      </c>
      <c r="L12" s="5" t="s">
        <v>73</v>
      </c>
      <c r="M12" s="6" t="s">
        <v>267</v>
      </c>
      <c r="N12" s="3">
        <f t="shared" si="2"/>
        <v>2</v>
      </c>
      <c r="O12" s="3" t="s">
        <v>521</v>
      </c>
      <c r="P12" s="5" t="s">
        <v>273</v>
      </c>
      <c r="Q12" s="6" t="s">
        <v>269</v>
      </c>
      <c r="R12" s="3">
        <f t="shared" si="3"/>
        <v>3</v>
      </c>
      <c r="S12" s="3" t="s">
        <v>521</v>
      </c>
      <c r="T12" s="5" t="s">
        <v>274</v>
      </c>
      <c r="U12" s="6" t="s">
        <v>271</v>
      </c>
      <c r="V12" s="3">
        <f t="shared" si="4"/>
        <v>3</v>
      </c>
      <c r="W12" s="3" t="s">
        <v>521</v>
      </c>
      <c r="X12" s="5" t="s">
        <v>283</v>
      </c>
      <c r="Y12" s="6" t="s">
        <v>271</v>
      </c>
      <c r="Z12" s="3">
        <f t="shared" si="5"/>
        <v>3</v>
      </c>
      <c r="AA12" s="3">
        <f t="shared" si="6"/>
        <v>15</v>
      </c>
      <c r="AB12" s="3" t="s">
        <v>96</v>
      </c>
    </row>
    <row r="13" spans="1:28" ht="84" x14ac:dyDescent="0.3">
      <c r="A13" s="3" t="s">
        <v>111</v>
      </c>
      <c r="B13" s="3" t="s">
        <v>112</v>
      </c>
      <c r="C13" s="3" t="s">
        <v>521</v>
      </c>
      <c r="D13" s="5" t="s">
        <v>73</v>
      </c>
      <c r="E13" s="6" t="s">
        <v>262</v>
      </c>
      <c r="F13" s="3">
        <f t="shared" si="0"/>
        <v>2</v>
      </c>
      <c r="G13" s="3" t="s">
        <v>521</v>
      </c>
      <c r="H13" s="5" t="s">
        <v>73</v>
      </c>
      <c r="I13" s="6" t="s">
        <v>265</v>
      </c>
      <c r="J13" s="3">
        <f t="shared" si="1"/>
        <v>2</v>
      </c>
      <c r="K13" s="3" t="s">
        <v>523</v>
      </c>
      <c r="L13" s="5" t="s">
        <v>20</v>
      </c>
      <c r="M13" s="6" t="s">
        <v>267</v>
      </c>
      <c r="N13" s="3">
        <f t="shared" si="2"/>
        <v>0</v>
      </c>
      <c r="O13" s="3" t="s">
        <v>524</v>
      </c>
      <c r="P13" s="5" t="s">
        <v>278</v>
      </c>
      <c r="Q13" s="6" t="s">
        <v>269</v>
      </c>
      <c r="R13" s="3">
        <f t="shared" si="3"/>
        <v>1.5</v>
      </c>
      <c r="S13" s="3" t="s">
        <v>523</v>
      </c>
      <c r="T13" s="5" t="s">
        <v>276</v>
      </c>
      <c r="U13" s="6" t="s">
        <v>271</v>
      </c>
      <c r="V13" s="3">
        <f t="shared" si="4"/>
        <v>0</v>
      </c>
      <c r="W13" s="3" t="s">
        <v>521</v>
      </c>
      <c r="X13" s="5" t="s">
        <v>284</v>
      </c>
      <c r="Y13" s="6" t="s">
        <v>271</v>
      </c>
      <c r="Z13" s="3">
        <f t="shared" si="5"/>
        <v>3</v>
      </c>
      <c r="AA13" s="3">
        <f t="shared" si="6"/>
        <v>8.5</v>
      </c>
      <c r="AB13" s="3" t="s">
        <v>96</v>
      </c>
    </row>
    <row r="14" spans="1:28" ht="84" x14ac:dyDescent="0.3">
      <c r="A14" s="3" t="s">
        <v>113</v>
      </c>
      <c r="B14" s="3" t="s">
        <v>114</v>
      </c>
      <c r="C14" s="3" t="s">
        <v>521</v>
      </c>
      <c r="D14" s="5" t="s">
        <v>73</v>
      </c>
      <c r="E14" s="6" t="s">
        <v>262</v>
      </c>
      <c r="F14" s="3">
        <f t="shared" si="0"/>
        <v>2</v>
      </c>
      <c r="G14" s="3" t="s">
        <v>521</v>
      </c>
      <c r="H14" s="5" t="s">
        <v>73</v>
      </c>
      <c r="I14" s="6" t="s">
        <v>265</v>
      </c>
      <c r="J14" s="3">
        <f t="shared" si="1"/>
        <v>2</v>
      </c>
      <c r="K14" s="3" t="s">
        <v>521</v>
      </c>
      <c r="L14" s="5" t="s">
        <v>73</v>
      </c>
      <c r="M14" s="6" t="s">
        <v>267</v>
      </c>
      <c r="N14" s="3">
        <f t="shared" si="2"/>
        <v>2</v>
      </c>
      <c r="O14" s="3" t="s">
        <v>521</v>
      </c>
      <c r="P14" s="5" t="s">
        <v>273</v>
      </c>
      <c r="Q14" s="6" t="s">
        <v>269</v>
      </c>
      <c r="R14" s="3">
        <f t="shared" si="3"/>
        <v>3</v>
      </c>
      <c r="S14" s="3" t="s">
        <v>521</v>
      </c>
      <c r="T14" s="5" t="s">
        <v>274</v>
      </c>
      <c r="U14" s="6" t="s">
        <v>271</v>
      </c>
      <c r="V14" s="3">
        <f t="shared" si="4"/>
        <v>3</v>
      </c>
      <c r="W14" s="3" t="s">
        <v>521</v>
      </c>
      <c r="X14" s="5" t="s">
        <v>285</v>
      </c>
      <c r="Y14" s="6" t="s">
        <v>271</v>
      </c>
      <c r="Z14" s="3">
        <f t="shared" si="5"/>
        <v>3</v>
      </c>
      <c r="AA14" s="3">
        <f t="shared" si="6"/>
        <v>15</v>
      </c>
      <c r="AB14" s="3" t="s">
        <v>96</v>
      </c>
    </row>
    <row r="15" spans="1:28" ht="84" x14ac:dyDescent="0.3">
      <c r="A15" s="3" t="s">
        <v>113</v>
      </c>
      <c r="B15" s="3" t="s">
        <v>115</v>
      </c>
      <c r="C15" s="3" t="s">
        <v>521</v>
      </c>
      <c r="D15" s="5" t="s">
        <v>73</v>
      </c>
      <c r="E15" s="6" t="s">
        <v>262</v>
      </c>
      <c r="F15" s="3">
        <f t="shared" si="0"/>
        <v>2</v>
      </c>
      <c r="G15" s="3" t="s">
        <v>523</v>
      </c>
      <c r="H15" s="5" t="s">
        <v>20</v>
      </c>
      <c r="I15" s="6" t="s">
        <v>265</v>
      </c>
      <c r="J15" s="3">
        <f t="shared" si="1"/>
        <v>0</v>
      </c>
      <c r="K15" s="3" t="s">
        <v>523</v>
      </c>
      <c r="L15" s="5" t="s">
        <v>20</v>
      </c>
      <c r="M15" s="6" t="s">
        <v>267</v>
      </c>
      <c r="N15" s="3">
        <f t="shared" si="2"/>
        <v>0</v>
      </c>
      <c r="O15" s="3" t="s">
        <v>523</v>
      </c>
      <c r="P15" s="5" t="s">
        <v>286</v>
      </c>
      <c r="Q15" s="6" t="s">
        <v>269</v>
      </c>
      <c r="R15" s="3">
        <f t="shared" si="3"/>
        <v>0</v>
      </c>
      <c r="S15" s="3" t="s">
        <v>521</v>
      </c>
      <c r="T15" s="5" t="s">
        <v>287</v>
      </c>
      <c r="U15" s="6" t="s">
        <v>271</v>
      </c>
      <c r="V15" s="3">
        <f t="shared" si="4"/>
        <v>3</v>
      </c>
      <c r="W15" s="3" t="s">
        <v>521</v>
      </c>
      <c r="X15" s="5" t="s">
        <v>284</v>
      </c>
      <c r="Y15" s="6" t="s">
        <v>271</v>
      </c>
      <c r="Z15" s="3">
        <f t="shared" si="5"/>
        <v>3</v>
      </c>
      <c r="AA15" s="3">
        <f t="shared" si="6"/>
        <v>8</v>
      </c>
      <c r="AB15" s="3" t="s">
        <v>96</v>
      </c>
    </row>
    <row r="16" spans="1:28" ht="84" x14ac:dyDescent="0.3">
      <c r="A16" s="3" t="s">
        <v>116</v>
      </c>
      <c r="B16" s="3" t="s">
        <v>117</v>
      </c>
      <c r="C16" s="3" t="s">
        <v>521</v>
      </c>
      <c r="D16" s="5" t="s">
        <v>73</v>
      </c>
      <c r="E16" s="6" t="s">
        <v>262</v>
      </c>
      <c r="F16" s="3">
        <f t="shared" si="0"/>
        <v>2</v>
      </c>
      <c r="G16" s="3" t="s">
        <v>521</v>
      </c>
      <c r="H16" s="5" t="s">
        <v>73</v>
      </c>
      <c r="I16" s="6" t="s">
        <v>265</v>
      </c>
      <c r="J16" s="3">
        <f t="shared" si="1"/>
        <v>2</v>
      </c>
      <c r="K16" s="3" t="s">
        <v>521</v>
      </c>
      <c r="L16" s="5" t="s">
        <v>73</v>
      </c>
      <c r="M16" s="6" t="s">
        <v>267</v>
      </c>
      <c r="N16" s="3">
        <f t="shared" si="2"/>
        <v>2</v>
      </c>
      <c r="O16" s="3" t="s">
        <v>521</v>
      </c>
      <c r="P16" s="5" t="s">
        <v>273</v>
      </c>
      <c r="Q16" s="6" t="s">
        <v>269</v>
      </c>
      <c r="R16" s="3">
        <f t="shared" si="3"/>
        <v>3</v>
      </c>
      <c r="S16" s="3" t="s">
        <v>521</v>
      </c>
      <c r="T16" s="5" t="s">
        <v>274</v>
      </c>
      <c r="U16" s="6" t="s">
        <v>271</v>
      </c>
      <c r="V16" s="3">
        <f t="shared" si="4"/>
        <v>3</v>
      </c>
      <c r="W16" s="3" t="s">
        <v>521</v>
      </c>
      <c r="X16" s="5" t="s">
        <v>275</v>
      </c>
      <c r="Y16" s="6" t="s">
        <v>271</v>
      </c>
      <c r="Z16" s="3">
        <f t="shared" si="5"/>
        <v>3</v>
      </c>
      <c r="AA16" s="3">
        <f t="shared" si="6"/>
        <v>15</v>
      </c>
      <c r="AB16" s="3" t="s">
        <v>96</v>
      </c>
    </row>
    <row r="17" spans="1:28" ht="84" x14ac:dyDescent="0.3">
      <c r="A17" s="3" t="s">
        <v>118</v>
      </c>
      <c r="B17" s="3" t="s">
        <v>119</v>
      </c>
      <c r="C17" s="3" t="s">
        <v>521</v>
      </c>
      <c r="D17" s="5" t="s">
        <v>73</v>
      </c>
      <c r="E17" s="6" t="s">
        <v>262</v>
      </c>
      <c r="F17" s="3">
        <f t="shared" si="0"/>
        <v>2</v>
      </c>
      <c r="G17" s="3" t="s">
        <v>521</v>
      </c>
      <c r="H17" s="5" t="s">
        <v>73</v>
      </c>
      <c r="I17" s="6" t="s">
        <v>265</v>
      </c>
      <c r="J17" s="3">
        <f t="shared" si="1"/>
        <v>2</v>
      </c>
      <c r="K17" s="3" t="s">
        <v>523</v>
      </c>
      <c r="L17" s="5" t="s">
        <v>20</v>
      </c>
      <c r="M17" s="6" t="s">
        <v>267</v>
      </c>
      <c r="N17" s="3">
        <f t="shared" si="2"/>
        <v>0</v>
      </c>
      <c r="O17" s="3" t="s">
        <v>521</v>
      </c>
      <c r="P17" s="5" t="s">
        <v>273</v>
      </c>
      <c r="Q17" s="6" t="s">
        <v>269</v>
      </c>
      <c r="R17" s="3">
        <f t="shared" si="3"/>
        <v>3</v>
      </c>
      <c r="S17" s="3" t="s">
        <v>521</v>
      </c>
      <c r="T17" s="5" t="s">
        <v>281</v>
      </c>
      <c r="U17" s="6" t="s">
        <v>271</v>
      </c>
      <c r="V17" s="3">
        <f t="shared" si="4"/>
        <v>3</v>
      </c>
      <c r="W17" s="3" t="s">
        <v>521</v>
      </c>
      <c r="X17" s="5" t="s">
        <v>288</v>
      </c>
      <c r="Y17" s="6" t="s">
        <v>271</v>
      </c>
      <c r="Z17" s="3">
        <f t="shared" si="5"/>
        <v>3</v>
      </c>
      <c r="AA17" s="3">
        <f t="shared" si="6"/>
        <v>13</v>
      </c>
      <c r="AB17" s="3" t="s">
        <v>96</v>
      </c>
    </row>
    <row r="18" spans="1:28" ht="84" x14ac:dyDescent="0.3">
      <c r="A18" s="3" t="s">
        <v>120</v>
      </c>
      <c r="B18" s="3" t="s">
        <v>121</v>
      </c>
      <c r="C18" s="3" t="s">
        <v>521</v>
      </c>
      <c r="D18" s="5" t="s">
        <v>73</v>
      </c>
      <c r="E18" s="6" t="s">
        <v>262</v>
      </c>
      <c r="F18" s="3">
        <f t="shared" si="0"/>
        <v>2</v>
      </c>
      <c r="G18" s="3" t="s">
        <v>523</v>
      </c>
      <c r="H18" s="5" t="s">
        <v>20</v>
      </c>
      <c r="I18" s="6" t="s">
        <v>265</v>
      </c>
      <c r="J18" s="3">
        <f t="shared" si="1"/>
        <v>0</v>
      </c>
      <c r="K18" s="3" t="s">
        <v>521</v>
      </c>
      <c r="L18" s="5" t="s">
        <v>73</v>
      </c>
      <c r="M18" s="6" t="s">
        <v>267</v>
      </c>
      <c r="N18" s="3">
        <f t="shared" si="2"/>
        <v>2</v>
      </c>
      <c r="O18" s="3" t="s">
        <v>521</v>
      </c>
      <c r="P18" s="5" t="s">
        <v>273</v>
      </c>
      <c r="Q18" s="6" t="s">
        <v>269</v>
      </c>
      <c r="R18" s="3">
        <f t="shared" si="3"/>
        <v>3</v>
      </c>
      <c r="S18" s="3" t="s">
        <v>521</v>
      </c>
      <c r="T18" s="5" t="s">
        <v>274</v>
      </c>
      <c r="U18" s="6" t="s">
        <v>271</v>
      </c>
      <c r="V18" s="3">
        <f t="shared" si="4"/>
        <v>3</v>
      </c>
      <c r="W18" s="3" t="s">
        <v>521</v>
      </c>
      <c r="X18" s="5" t="s">
        <v>283</v>
      </c>
      <c r="Y18" s="6" t="s">
        <v>271</v>
      </c>
      <c r="Z18" s="3">
        <f t="shared" si="5"/>
        <v>3</v>
      </c>
      <c r="AA18" s="3">
        <f t="shared" si="6"/>
        <v>13</v>
      </c>
      <c r="AB18" s="3" t="s">
        <v>96</v>
      </c>
    </row>
    <row r="19" spans="1:28" ht="84" x14ac:dyDescent="0.3">
      <c r="A19" s="3" t="s">
        <v>122</v>
      </c>
      <c r="B19" s="3" t="s">
        <v>123</v>
      </c>
      <c r="C19" s="3" t="s">
        <v>521</v>
      </c>
      <c r="D19" s="5" t="s">
        <v>73</v>
      </c>
      <c r="E19" s="6" t="s">
        <v>262</v>
      </c>
      <c r="F19" s="3">
        <f t="shared" si="0"/>
        <v>2</v>
      </c>
      <c r="G19" s="3" t="s">
        <v>521</v>
      </c>
      <c r="H19" s="5" t="s">
        <v>73</v>
      </c>
      <c r="I19" s="6" t="s">
        <v>265</v>
      </c>
      <c r="J19" s="3">
        <f t="shared" si="1"/>
        <v>2</v>
      </c>
      <c r="K19" s="3" t="s">
        <v>521</v>
      </c>
      <c r="L19" s="5" t="s">
        <v>73</v>
      </c>
      <c r="M19" s="6" t="s">
        <v>267</v>
      </c>
      <c r="N19" s="3">
        <f t="shared" si="2"/>
        <v>2</v>
      </c>
      <c r="O19" s="3" t="s">
        <v>524</v>
      </c>
      <c r="P19" s="5" t="s">
        <v>278</v>
      </c>
      <c r="Q19" s="6" t="s">
        <v>269</v>
      </c>
      <c r="R19" s="3">
        <f t="shared" si="3"/>
        <v>1.5</v>
      </c>
      <c r="S19" s="3" t="s">
        <v>523</v>
      </c>
      <c r="T19" s="5" t="s">
        <v>276</v>
      </c>
      <c r="U19" s="6" t="s">
        <v>271</v>
      </c>
      <c r="V19" s="3">
        <f t="shared" si="4"/>
        <v>0</v>
      </c>
      <c r="W19" s="3" t="s">
        <v>521</v>
      </c>
      <c r="X19" s="5" t="s">
        <v>283</v>
      </c>
      <c r="Y19" s="6" t="s">
        <v>271</v>
      </c>
      <c r="Z19" s="3">
        <f t="shared" si="5"/>
        <v>3</v>
      </c>
      <c r="AA19" s="3">
        <f t="shared" si="6"/>
        <v>10.5</v>
      </c>
      <c r="AB19" s="3" t="s">
        <v>96</v>
      </c>
    </row>
    <row r="20" spans="1:28" ht="84" x14ac:dyDescent="0.3">
      <c r="A20" s="3" t="s">
        <v>125</v>
      </c>
      <c r="B20" s="3" t="s">
        <v>126</v>
      </c>
      <c r="C20" s="3" t="s">
        <v>521</v>
      </c>
      <c r="D20" s="5" t="s">
        <v>73</v>
      </c>
      <c r="E20" s="6" t="s">
        <v>262</v>
      </c>
      <c r="F20" s="3">
        <f t="shared" si="0"/>
        <v>2</v>
      </c>
      <c r="G20" s="3" t="s">
        <v>521</v>
      </c>
      <c r="H20" s="5" t="s">
        <v>73</v>
      </c>
      <c r="I20" s="6" t="s">
        <v>265</v>
      </c>
      <c r="J20" s="3">
        <f t="shared" si="1"/>
        <v>2</v>
      </c>
      <c r="K20" s="3" t="s">
        <v>521</v>
      </c>
      <c r="L20" s="5" t="s">
        <v>73</v>
      </c>
      <c r="M20" s="6" t="s">
        <v>267</v>
      </c>
      <c r="N20" s="3">
        <f t="shared" si="2"/>
        <v>2</v>
      </c>
      <c r="O20" s="3" t="s">
        <v>524</v>
      </c>
      <c r="P20" s="5" t="s">
        <v>278</v>
      </c>
      <c r="Q20" s="6" t="s">
        <v>269</v>
      </c>
      <c r="R20" s="3">
        <f t="shared" si="3"/>
        <v>1.5</v>
      </c>
      <c r="S20" s="3" t="s">
        <v>521</v>
      </c>
      <c r="T20" s="5" t="s">
        <v>274</v>
      </c>
      <c r="U20" s="6" t="s">
        <v>271</v>
      </c>
      <c r="V20" s="3">
        <f t="shared" si="4"/>
        <v>3</v>
      </c>
      <c r="W20" s="3" t="s">
        <v>521</v>
      </c>
      <c r="X20" s="5" t="s">
        <v>289</v>
      </c>
      <c r="Y20" s="6" t="s">
        <v>271</v>
      </c>
      <c r="Z20" s="3">
        <f t="shared" si="5"/>
        <v>3</v>
      </c>
      <c r="AA20" s="3">
        <f t="shared" si="6"/>
        <v>13.5</v>
      </c>
      <c r="AB20" s="3" t="s">
        <v>96</v>
      </c>
    </row>
    <row r="21" spans="1:28" ht="96" x14ac:dyDescent="0.3">
      <c r="A21" s="3" t="s">
        <v>127</v>
      </c>
      <c r="B21" s="3" t="s">
        <v>128</v>
      </c>
      <c r="C21" s="3" t="s">
        <v>523</v>
      </c>
      <c r="D21" s="5" t="s">
        <v>20</v>
      </c>
      <c r="E21" s="6" t="s">
        <v>262</v>
      </c>
      <c r="F21" s="3">
        <f t="shared" si="0"/>
        <v>0</v>
      </c>
      <c r="G21" s="3" t="s">
        <v>523</v>
      </c>
      <c r="H21" s="5" t="s">
        <v>20</v>
      </c>
      <c r="I21" s="6" t="s">
        <v>265</v>
      </c>
      <c r="J21" s="3">
        <f t="shared" si="1"/>
        <v>0</v>
      </c>
      <c r="K21" s="3" t="s">
        <v>523</v>
      </c>
      <c r="L21" s="5" t="s">
        <v>20</v>
      </c>
      <c r="M21" s="6" t="s">
        <v>267</v>
      </c>
      <c r="N21" s="3">
        <f t="shared" si="2"/>
        <v>0</v>
      </c>
      <c r="O21" s="3" t="s">
        <v>523</v>
      </c>
      <c r="P21" s="5" t="s">
        <v>290</v>
      </c>
      <c r="Q21" s="6" t="s">
        <v>269</v>
      </c>
      <c r="R21" s="3">
        <f t="shared" si="3"/>
        <v>0</v>
      </c>
      <c r="S21" s="3" t="s">
        <v>523</v>
      </c>
      <c r="T21" s="5" t="s">
        <v>205</v>
      </c>
      <c r="U21" s="6" t="s">
        <v>271</v>
      </c>
      <c r="V21" s="3">
        <f t="shared" si="4"/>
        <v>0</v>
      </c>
      <c r="W21" s="3" t="s">
        <v>522</v>
      </c>
      <c r="X21" s="5" t="s">
        <v>291</v>
      </c>
      <c r="Y21" s="6" t="s">
        <v>271</v>
      </c>
      <c r="Z21" s="3">
        <f t="shared" si="5"/>
        <v>0</v>
      </c>
      <c r="AA21" s="3">
        <f t="shared" si="6"/>
        <v>0</v>
      </c>
      <c r="AB21" s="3" t="s">
        <v>96</v>
      </c>
    </row>
    <row r="22" spans="1:28" ht="84" x14ac:dyDescent="0.3">
      <c r="A22" s="3" t="s">
        <v>130</v>
      </c>
      <c r="B22" s="3" t="s">
        <v>131</v>
      </c>
      <c r="C22" s="3" t="s">
        <v>521</v>
      </c>
      <c r="D22" s="5" t="s">
        <v>73</v>
      </c>
      <c r="E22" s="6" t="s">
        <v>262</v>
      </c>
      <c r="F22" s="3">
        <f t="shared" si="0"/>
        <v>2</v>
      </c>
      <c r="G22" s="3" t="s">
        <v>521</v>
      </c>
      <c r="H22" s="5" t="s">
        <v>73</v>
      </c>
      <c r="I22" s="6" t="s">
        <v>265</v>
      </c>
      <c r="J22" s="3">
        <f t="shared" si="1"/>
        <v>2</v>
      </c>
      <c r="K22" s="3" t="s">
        <v>521</v>
      </c>
      <c r="L22" s="5" t="s">
        <v>20</v>
      </c>
      <c r="M22" s="6" t="s">
        <v>267</v>
      </c>
      <c r="N22" s="3">
        <f t="shared" si="2"/>
        <v>2</v>
      </c>
      <c r="O22" s="3" t="s">
        <v>521</v>
      </c>
      <c r="P22" s="5" t="s">
        <v>273</v>
      </c>
      <c r="Q22" s="6" t="s">
        <v>269</v>
      </c>
      <c r="R22" s="3">
        <f t="shared" si="3"/>
        <v>3</v>
      </c>
      <c r="S22" s="3" t="s">
        <v>521</v>
      </c>
      <c r="T22" s="5" t="s">
        <v>292</v>
      </c>
      <c r="U22" s="6" t="s">
        <v>271</v>
      </c>
      <c r="V22" s="3">
        <f t="shared" si="4"/>
        <v>3</v>
      </c>
      <c r="W22" s="3" t="s">
        <v>521</v>
      </c>
      <c r="X22" s="5" t="s">
        <v>279</v>
      </c>
      <c r="Y22" s="6" t="s">
        <v>271</v>
      </c>
      <c r="Z22" s="3">
        <f t="shared" si="5"/>
        <v>3</v>
      </c>
      <c r="AA22" s="3">
        <f t="shared" si="6"/>
        <v>15</v>
      </c>
      <c r="AB22" s="3" t="s">
        <v>96</v>
      </c>
    </row>
    <row r="23" spans="1:28" ht="84" x14ac:dyDescent="0.3">
      <c r="A23" s="3" t="s">
        <v>132</v>
      </c>
      <c r="B23" s="3" t="s">
        <v>133</v>
      </c>
      <c r="C23" s="3" t="s">
        <v>521</v>
      </c>
      <c r="D23" s="5" t="s">
        <v>73</v>
      </c>
      <c r="E23" s="6" t="s">
        <v>262</v>
      </c>
      <c r="F23" s="3">
        <f t="shared" si="0"/>
        <v>2</v>
      </c>
      <c r="G23" s="3" t="s">
        <v>521</v>
      </c>
      <c r="H23" s="5" t="s">
        <v>73</v>
      </c>
      <c r="I23" s="6" t="s">
        <v>265</v>
      </c>
      <c r="J23" s="3">
        <f t="shared" si="1"/>
        <v>2</v>
      </c>
      <c r="K23" s="3" t="s">
        <v>521</v>
      </c>
      <c r="L23" s="5" t="s">
        <v>73</v>
      </c>
      <c r="M23" s="6" t="s">
        <v>267</v>
      </c>
      <c r="N23" s="3">
        <f t="shared" si="2"/>
        <v>2</v>
      </c>
      <c r="O23" s="3" t="s">
        <v>524</v>
      </c>
      <c r="P23" s="5" t="s">
        <v>278</v>
      </c>
      <c r="Q23" s="6" t="s">
        <v>269</v>
      </c>
      <c r="R23" s="3">
        <f t="shared" si="3"/>
        <v>1.5</v>
      </c>
      <c r="S23" s="3" t="s">
        <v>523</v>
      </c>
      <c r="T23" s="5" t="s">
        <v>276</v>
      </c>
      <c r="U23" s="6" t="s">
        <v>271</v>
      </c>
      <c r="V23" s="3">
        <f t="shared" si="4"/>
        <v>0</v>
      </c>
      <c r="W23" s="3" t="s">
        <v>521</v>
      </c>
      <c r="X23" s="5" t="s">
        <v>293</v>
      </c>
      <c r="Y23" s="6" t="s">
        <v>271</v>
      </c>
      <c r="Z23" s="3">
        <f t="shared" si="5"/>
        <v>3</v>
      </c>
      <c r="AA23" s="3">
        <f t="shared" si="6"/>
        <v>10.5</v>
      </c>
      <c r="AB23" s="3" t="s">
        <v>96</v>
      </c>
    </row>
    <row r="24" spans="1:28" ht="84" x14ac:dyDescent="0.3">
      <c r="A24" s="3" t="s">
        <v>134</v>
      </c>
      <c r="B24" s="3" t="s">
        <v>135</v>
      </c>
      <c r="C24" s="3" t="s">
        <v>521</v>
      </c>
      <c r="D24" s="5" t="s">
        <v>73</v>
      </c>
      <c r="E24" s="6" t="s">
        <v>262</v>
      </c>
      <c r="F24" s="3">
        <f t="shared" si="0"/>
        <v>2</v>
      </c>
      <c r="G24" s="3" t="s">
        <v>521</v>
      </c>
      <c r="H24" s="5" t="s">
        <v>73</v>
      </c>
      <c r="I24" s="6" t="s">
        <v>265</v>
      </c>
      <c r="J24" s="3">
        <f t="shared" si="1"/>
        <v>2</v>
      </c>
      <c r="K24" s="3" t="s">
        <v>521</v>
      </c>
      <c r="L24" s="5" t="s">
        <v>73</v>
      </c>
      <c r="M24" s="6" t="s">
        <v>267</v>
      </c>
      <c r="N24" s="3">
        <f t="shared" si="2"/>
        <v>2</v>
      </c>
      <c r="O24" s="3" t="s">
        <v>524</v>
      </c>
      <c r="P24" s="5" t="s">
        <v>278</v>
      </c>
      <c r="Q24" s="6" t="s">
        <v>269</v>
      </c>
      <c r="R24" s="3">
        <f t="shared" si="3"/>
        <v>1.5</v>
      </c>
      <c r="S24" s="3" t="s">
        <v>523</v>
      </c>
      <c r="T24" s="5" t="s">
        <v>276</v>
      </c>
      <c r="U24" s="6" t="s">
        <v>271</v>
      </c>
      <c r="V24" s="3">
        <f t="shared" si="4"/>
        <v>0</v>
      </c>
      <c r="W24" s="3" t="s">
        <v>521</v>
      </c>
      <c r="X24" s="5" t="s">
        <v>294</v>
      </c>
      <c r="Y24" s="6" t="s">
        <v>271</v>
      </c>
      <c r="Z24" s="3">
        <f t="shared" si="5"/>
        <v>3</v>
      </c>
      <c r="AA24" s="3">
        <f t="shared" si="6"/>
        <v>10.5</v>
      </c>
      <c r="AB24" s="3" t="s">
        <v>96</v>
      </c>
    </row>
    <row r="25" spans="1:28" ht="84" x14ac:dyDescent="0.3">
      <c r="A25" s="3" t="s">
        <v>136</v>
      </c>
      <c r="B25" s="3" t="s">
        <v>137</v>
      </c>
      <c r="C25" s="3" t="s">
        <v>521</v>
      </c>
      <c r="D25" s="5" t="s">
        <v>73</v>
      </c>
      <c r="E25" s="6" t="s">
        <v>262</v>
      </c>
      <c r="F25" s="3">
        <f t="shared" si="0"/>
        <v>2</v>
      </c>
      <c r="G25" s="3" t="s">
        <v>523</v>
      </c>
      <c r="H25" s="5" t="s">
        <v>20</v>
      </c>
      <c r="I25" s="6" t="s">
        <v>265</v>
      </c>
      <c r="J25" s="3">
        <f t="shared" si="1"/>
        <v>0</v>
      </c>
      <c r="K25" s="3" t="s">
        <v>523</v>
      </c>
      <c r="L25" s="5" t="s">
        <v>20</v>
      </c>
      <c r="M25" s="6" t="s">
        <v>267</v>
      </c>
      <c r="N25" s="3">
        <f t="shared" si="2"/>
        <v>0</v>
      </c>
      <c r="O25" s="3" t="s">
        <v>524</v>
      </c>
      <c r="P25" s="5" t="s">
        <v>278</v>
      </c>
      <c r="Q25" s="6" t="s">
        <v>269</v>
      </c>
      <c r="R25" s="3">
        <f t="shared" si="3"/>
        <v>1.5</v>
      </c>
      <c r="S25" s="3" t="s">
        <v>521</v>
      </c>
      <c r="T25" s="5" t="s">
        <v>274</v>
      </c>
      <c r="U25" s="6" t="s">
        <v>271</v>
      </c>
      <c r="V25" s="3">
        <f t="shared" si="4"/>
        <v>3</v>
      </c>
      <c r="W25" s="3" t="s">
        <v>521</v>
      </c>
      <c r="X25" s="5" t="s">
        <v>279</v>
      </c>
      <c r="Y25" s="6" t="s">
        <v>271</v>
      </c>
      <c r="Z25" s="3">
        <f t="shared" si="5"/>
        <v>3</v>
      </c>
      <c r="AA25" s="3">
        <f t="shared" si="6"/>
        <v>9.5</v>
      </c>
      <c r="AB25" s="3" t="s">
        <v>96</v>
      </c>
    </row>
    <row r="26" spans="1:28" ht="84" x14ac:dyDescent="0.3">
      <c r="A26" s="3" t="s">
        <v>138</v>
      </c>
      <c r="B26" s="3" t="s">
        <v>139</v>
      </c>
      <c r="C26" s="3" t="s">
        <v>521</v>
      </c>
      <c r="D26" s="5" t="s">
        <v>73</v>
      </c>
      <c r="E26" s="6" t="s">
        <v>262</v>
      </c>
      <c r="F26" s="3">
        <f t="shared" si="0"/>
        <v>2</v>
      </c>
      <c r="G26" s="3" t="s">
        <v>521</v>
      </c>
      <c r="H26" s="5" t="s">
        <v>73</v>
      </c>
      <c r="I26" s="6" t="s">
        <v>265</v>
      </c>
      <c r="J26" s="3">
        <f t="shared" si="1"/>
        <v>2</v>
      </c>
      <c r="K26" s="3" t="s">
        <v>521</v>
      </c>
      <c r="L26" s="5" t="s">
        <v>73</v>
      </c>
      <c r="M26" s="6" t="s">
        <v>267</v>
      </c>
      <c r="N26" s="3">
        <f t="shared" si="2"/>
        <v>2</v>
      </c>
      <c r="O26" s="3" t="s">
        <v>521</v>
      </c>
      <c r="P26" s="5" t="s">
        <v>273</v>
      </c>
      <c r="Q26" s="6" t="s">
        <v>269</v>
      </c>
      <c r="R26" s="3">
        <f t="shared" si="3"/>
        <v>3</v>
      </c>
      <c r="S26" s="3" t="s">
        <v>521</v>
      </c>
      <c r="T26" s="5" t="s">
        <v>281</v>
      </c>
      <c r="U26" s="6" t="s">
        <v>271</v>
      </c>
      <c r="V26" s="3">
        <f t="shared" si="4"/>
        <v>3</v>
      </c>
      <c r="W26" s="3" t="s">
        <v>521</v>
      </c>
      <c r="X26" s="5" t="s">
        <v>283</v>
      </c>
      <c r="Y26" s="6" t="s">
        <v>271</v>
      </c>
      <c r="Z26" s="3">
        <f t="shared" si="5"/>
        <v>3</v>
      </c>
      <c r="AA26" s="3">
        <f t="shared" si="6"/>
        <v>15</v>
      </c>
      <c r="AB26" s="3" t="s">
        <v>96</v>
      </c>
    </row>
    <row r="27" spans="1:28" ht="84" x14ac:dyDescent="0.3">
      <c r="A27" s="3" t="s">
        <v>140</v>
      </c>
      <c r="B27" s="3" t="s">
        <v>141</v>
      </c>
      <c r="C27" s="3" t="s">
        <v>521</v>
      </c>
      <c r="D27" s="5" t="s">
        <v>73</v>
      </c>
      <c r="E27" s="6" t="s">
        <v>262</v>
      </c>
      <c r="F27" s="3">
        <f t="shared" si="0"/>
        <v>2</v>
      </c>
      <c r="G27" s="3" t="s">
        <v>521</v>
      </c>
      <c r="H27" s="5" t="s">
        <v>73</v>
      </c>
      <c r="I27" s="6" t="s">
        <v>265</v>
      </c>
      <c r="J27" s="3">
        <f t="shared" si="1"/>
        <v>2</v>
      </c>
      <c r="K27" s="3" t="s">
        <v>523</v>
      </c>
      <c r="L27" s="5" t="s">
        <v>20</v>
      </c>
      <c r="M27" s="6" t="s">
        <v>267</v>
      </c>
      <c r="N27" s="3">
        <f t="shared" si="2"/>
        <v>0</v>
      </c>
      <c r="O27" s="3" t="s">
        <v>524</v>
      </c>
      <c r="P27" s="5" t="s">
        <v>278</v>
      </c>
      <c r="Q27" s="6" t="s">
        <v>269</v>
      </c>
      <c r="R27" s="3">
        <f t="shared" si="3"/>
        <v>1.5</v>
      </c>
      <c r="S27" s="3" t="s">
        <v>521</v>
      </c>
      <c r="T27" s="5" t="s">
        <v>281</v>
      </c>
      <c r="U27" s="6" t="s">
        <v>271</v>
      </c>
      <c r="V27" s="3">
        <f t="shared" si="4"/>
        <v>3</v>
      </c>
      <c r="W27" s="3" t="s">
        <v>521</v>
      </c>
      <c r="X27" s="5" t="s">
        <v>295</v>
      </c>
      <c r="Y27" s="6" t="s">
        <v>271</v>
      </c>
      <c r="Z27" s="3">
        <f t="shared" si="5"/>
        <v>3</v>
      </c>
      <c r="AA27" s="3">
        <f t="shared" si="6"/>
        <v>11.5</v>
      </c>
      <c r="AB27" s="3" t="s">
        <v>96</v>
      </c>
    </row>
    <row r="28" spans="1:28" ht="84" x14ac:dyDescent="0.3">
      <c r="A28" s="3" t="s">
        <v>142</v>
      </c>
      <c r="B28" s="3" t="s">
        <v>143</v>
      </c>
      <c r="C28" s="3" t="s">
        <v>521</v>
      </c>
      <c r="D28" s="5" t="s">
        <v>20</v>
      </c>
      <c r="E28" s="6" t="s">
        <v>262</v>
      </c>
      <c r="F28" s="3">
        <f t="shared" si="0"/>
        <v>2</v>
      </c>
      <c r="G28" s="3" t="s">
        <v>523</v>
      </c>
      <c r="H28" s="5" t="s">
        <v>20</v>
      </c>
      <c r="I28" s="6" t="s">
        <v>265</v>
      </c>
      <c r="J28" s="3">
        <f t="shared" si="1"/>
        <v>0</v>
      </c>
      <c r="K28" s="3" t="s">
        <v>521</v>
      </c>
      <c r="L28" s="5" t="s">
        <v>73</v>
      </c>
      <c r="M28" s="6" t="s">
        <v>267</v>
      </c>
      <c r="N28" s="3">
        <f t="shared" si="2"/>
        <v>2</v>
      </c>
      <c r="O28" s="3" t="s">
        <v>521</v>
      </c>
      <c r="P28" s="5" t="s">
        <v>273</v>
      </c>
      <c r="Q28" s="6" t="s">
        <v>269</v>
      </c>
      <c r="R28" s="3">
        <f t="shared" si="3"/>
        <v>3</v>
      </c>
      <c r="S28" s="3" t="s">
        <v>521</v>
      </c>
      <c r="T28" s="5" t="s">
        <v>281</v>
      </c>
      <c r="U28" s="6" t="s">
        <v>271</v>
      </c>
      <c r="V28" s="3">
        <f t="shared" si="4"/>
        <v>3</v>
      </c>
      <c r="W28" s="3" t="s">
        <v>521</v>
      </c>
      <c r="X28" s="5" t="s">
        <v>279</v>
      </c>
      <c r="Y28" s="6" t="s">
        <v>271</v>
      </c>
      <c r="Z28" s="3">
        <f t="shared" si="5"/>
        <v>3</v>
      </c>
      <c r="AA28" s="3">
        <f t="shared" si="6"/>
        <v>13</v>
      </c>
      <c r="AB28" s="3" t="s">
        <v>96</v>
      </c>
    </row>
    <row r="29" spans="1:28" ht="84" x14ac:dyDescent="0.3">
      <c r="A29" s="3" t="s">
        <v>144</v>
      </c>
      <c r="B29" s="3" t="s">
        <v>145</v>
      </c>
      <c r="C29" s="3" t="s">
        <v>522</v>
      </c>
      <c r="D29" s="5" t="s">
        <v>73</v>
      </c>
      <c r="E29" s="6" t="s">
        <v>262</v>
      </c>
      <c r="F29" s="3">
        <f t="shared" si="0"/>
        <v>0</v>
      </c>
      <c r="G29" s="3" t="s">
        <v>521</v>
      </c>
      <c r="H29" s="5" t="s">
        <v>73</v>
      </c>
      <c r="I29" s="6" t="s">
        <v>265</v>
      </c>
      <c r="J29" s="3">
        <f t="shared" si="1"/>
        <v>2</v>
      </c>
      <c r="K29" s="3" t="s">
        <v>523</v>
      </c>
      <c r="L29" s="5" t="s">
        <v>20</v>
      </c>
      <c r="M29" s="6" t="s">
        <v>267</v>
      </c>
      <c r="N29" s="3">
        <f t="shared" si="2"/>
        <v>0</v>
      </c>
      <c r="O29" s="3" t="s">
        <v>522</v>
      </c>
      <c r="P29" s="5" t="s">
        <v>278</v>
      </c>
      <c r="Q29" s="6" t="s">
        <v>269</v>
      </c>
      <c r="R29" s="3">
        <f t="shared" si="3"/>
        <v>0</v>
      </c>
      <c r="S29" s="3" t="s">
        <v>522</v>
      </c>
      <c r="T29" s="5" t="s">
        <v>274</v>
      </c>
      <c r="U29" s="6" t="s">
        <v>271</v>
      </c>
      <c r="V29" s="3">
        <f t="shared" si="4"/>
        <v>0</v>
      </c>
      <c r="W29" s="3" t="s">
        <v>522</v>
      </c>
      <c r="X29" s="5" t="s">
        <v>296</v>
      </c>
      <c r="Y29" s="6" t="s">
        <v>271</v>
      </c>
      <c r="Z29" s="3">
        <f t="shared" si="5"/>
        <v>0</v>
      </c>
      <c r="AA29" s="3">
        <f t="shared" si="6"/>
        <v>2</v>
      </c>
      <c r="AB29" s="3" t="s">
        <v>96</v>
      </c>
    </row>
    <row r="30" spans="1:28" ht="84" x14ac:dyDescent="0.3">
      <c r="A30" s="3" t="s">
        <v>147</v>
      </c>
      <c r="B30" s="3" t="s">
        <v>148</v>
      </c>
      <c r="C30" s="3" t="s">
        <v>521</v>
      </c>
      <c r="D30" s="5" t="s">
        <v>73</v>
      </c>
      <c r="E30" s="6" t="s">
        <v>262</v>
      </c>
      <c r="F30" s="3">
        <f t="shared" si="0"/>
        <v>2</v>
      </c>
      <c r="G30" s="3" t="s">
        <v>523</v>
      </c>
      <c r="H30" s="5" t="s">
        <v>20</v>
      </c>
      <c r="I30" s="6" t="s">
        <v>265</v>
      </c>
      <c r="J30" s="3">
        <f t="shared" si="1"/>
        <v>0</v>
      </c>
      <c r="K30" s="3" t="s">
        <v>521</v>
      </c>
      <c r="L30" s="5" t="s">
        <v>73</v>
      </c>
      <c r="M30" s="6" t="s">
        <v>267</v>
      </c>
      <c r="N30" s="3">
        <f t="shared" si="2"/>
        <v>2</v>
      </c>
      <c r="O30" s="3" t="s">
        <v>521</v>
      </c>
      <c r="P30" s="5" t="s">
        <v>273</v>
      </c>
      <c r="Q30" s="6" t="s">
        <v>269</v>
      </c>
      <c r="R30" s="3">
        <f t="shared" si="3"/>
        <v>3</v>
      </c>
      <c r="S30" s="3" t="s">
        <v>521</v>
      </c>
      <c r="T30" s="5" t="s">
        <v>274</v>
      </c>
      <c r="U30" s="6" t="s">
        <v>271</v>
      </c>
      <c r="V30" s="3">
        <f t="shared" si="4"/>
        <v>3</v>
      </c>
      <c r="W30" s="3" t="s">
        <v>521</v>
      </c>
      <c r="X30" s="5" t="s">
        <v>289</v>
      </c>
      <c r="Y30" s="6" t="s">
        <v>271</v>
      </c>
      <c r="Z30" s="3">
        <f t="shared" si="5"/>
        <v>3</v>
      </c>
      <c r="AA30" s="3">
        <f t="shared" si="6"/>
        <v>13</v>
      </c>
      <c r="AB30" s="3" t="s">
        <v>96</v>
      </c>
    </row>
    <row r="31" spans="1:28" ht="72" x14ac:dyDescent="0.3">
      <c r="A31" s="3" t="s">
        <v>149</v>
      </c>
      <c r="B31" s="3" t="s">
        <v>150</v>
      </c>
      <c r="C31" s="3" t="s">
        <v>521</v>
      </c>
      <c r="D31" s="5" t="s">
        <v>73</v>
      </c>
      <c r="E31" s="6" t="s">
        <v>262</v>
      </c>
      <c r="F31" s="3">
        <f t="shared" si="0"/>
        <v>2</v>
      </c>
      <c r="G31" s="3" t="s">
        <v>521</v>
      </c>
      <c r="H31" s="5" t="s">
        <v>73</v>
      </c>
      <c r="I31" s="6" t="s">
        <v>265</v>
      </c>
      <c r="J31" s="3">
        <f t="shared" si="1"/>
        <v>2</v>
      </c>
      <c r="K31" s="3" t="s">
        <v>521</v>
      </c>
      <c r="L31" s="5" t="s">
        <v>73</v>
      </c>
      <c r="M31" s="6" t="s">
        <v>267</v>
      </c>
      <c r="N31" s="3">
        <f t="shared" si="2"/>
        <v>2</v>
      </c>
      <c r="O31" s="3" t="s">
        <v>524</v>
      </c>
      <c r="P31" s="5" t="s">
        <v>278</v>
      </c>
      <c r="Q31" s="6" t="s">
        <v>269</v>
      </c>
      <c r="R31" s="3">
        <f t="shared" si="3"/>
        <v>1.5</v>
      </c>
      <c r="S31" s="3" t="s">
        <v>521</v>
      </c>
      <c r="T31" s="5" t="s">
        <v>274</v>
      </c>
      <c r="U31" s="6" t="s">
        <v>271</v>
      </c>
      <c r="V31" s="3">
        <f t="shared" si="4"/>
        <v>3</v>
      </c>
      <c r="W31" s="3" t="s">
        <v>521</v>
      </c>
      <c r="X31" s="5" t="s">
        <v>297</v>
      </c>
      <c r="Y31" s="6" t="s">
        <v>271</v>
      </c>
      <c r="Z31" s="3">
        <f t="shared" si="5"/>
        <v>3</v>
      </c>
      <c r="AA31" s="3">
        <f t="shared" si="6"/>
        <v>13.5</v>
      </c>
      <c r="AB31" s="3" t="s">
        <v>96</v>
      </c>
    </row>
    <row r="32" spans="1:28" ht="84" x14ac:dyDescent="0.3">
      <c r="A32" s="3" t="s">
        <v>151</v>
      </c>
      <c r="B32" s="3" t="s">
        <v>152</v>
      </c>
      <c r="C32" s="3" t="s">
        <v>521</v>
      </c>
      <c r="D32" s="5" t="s">
        <v>73</v>
      </c>
      <c r="E32" s="6" t="s">
        <v>262</v>
      </c>
      <c r="F32" s="3">
        <f t="shared" si="0"/>
        <v>2</v>
      </c>
      <c r="G32" s="3" t="s">
        <v>521</v>
      </c>
      <c r="H32" s="5" t="s">
        <v>73</v>
      </c>
      <c r="I32" s="6" t="s">
        <v>265</v>
      </c>
      <c r="J32" s="3">
        <f t="shared" si="1"/>
        <v>2</v>
      </c>
      <c r="K32" s="3" t="s">
        <v>521</v>
      </c>
      <c r="L32" s="5" t="s">
        <v>73</v>
      </c>
      <c r="M32" s="6" t="s">
        <v>267</v>
      </c>
      <c r="N32" s="3">
        <f t="shared" si="2"/>
        <v>2</v>
      </c>
      <c r="O32" s="3" t="s">
        <v>521</v>
      </c>
      <c r="P32" s="5" t="s">
        <v>273</v>
      </c>
      <c r="Q32" s="6" t="s">
        <v>269</v>
      </c>
      <c r="R32" s="3">
        <f t="shared" si="3"/>
        <v>3</v>
      </c>
      <c r="S32" s="3" t="s">
        <v>521</v>
      </c>
      <c r="T32" s="5" t="s">
        <v>274</v>
      </c>
      <c r="U32" s="6" t="s">
        <v>271</v>
      </c>
      <c r="V32" s="3">
        <f t="shared" si="4"/>
        <v>3</v>
      </c>
      <c r="W32" s="3" t="s">
        <v>521</v>
      </c>
      <c r="X32" s="5" t="s">
        <v>298</v>
      </c>
      <c r="Y32" s="6" t="s">
        <v>271</v>
      </c>
      <c r="Z32" s="3">
        <f t="shared" si="5"/>
        <v>3</v>
      </c>
      <c r="AA32" s="3">
        <f t="shared" si="6"/>
        <v>15</v>
      </c>
      <c r="AB32" s="3" t="s">
        <v>96</v>
      </c>
    </row>
    <row r="33" spans="1:28" x14ac:dyDescent="0.3">
      <c r="A33" s="3" t="s">
        <v>153</v>
      </c>
      <c r="B33" s="3" t="s">
        <v>154</v>
      </c>
      <c r="C33" s="3" t="s">
        <v>522</v>
      </c>
      <c r="D33" s="5" t="s">
        <v>155</v>
      </c>
      <c r="E33" s="6" t="s">
        <v>262</v>
      </c>
      <c r="F33" s="3">
        <f t="shared" si="0"/>
        <v>0</v>
      </c>
      <c r="G33" s="3" t="s">
        <v>522</v>
      </c>
      <c r="H33" s="5" t="s">
        <v>155</v>
      </c>
      <c r="I33" s="6" t="s">
        <v>265</v>
      </c>
      <c r="J33" s="3">
        <f t="shared" si="1"/>
        <v>0</v>
      </c>
      <c r="K33" s="3" t="s">
        <v>522</v>
      </c>
      <c r="L33" s="5" t="s">
        <v>155</v>
      </c>
      <c r="M33" s="6" t="s">
        <v>267</v>
      </c>
      <c r="N33" s="3">
        <f t="shared" si="2"/>
        <v>0</v>
      </c>
      <c r="O33" s="3" t="s">
        <v>522</v>
      </c>
      <c r="P33" s="5" t="s">
        <v>155</v>
      </c>
      <c r="Q33" s="6" t="s">
        <v>269</v>
      </c>
      <c r="R33" s="3">
        <f t="shared" si="3"/>
        <v>0</v>
      </c>
      <c r="S33" s="3" t="s">
        <v>522</v>
      </c>
      <c r="T33" s="5" t="s">
        <v>155</v>
      </c>
      <c r="U33" s="6" t="s">
        <v>271</v>
      </c>
      <c r="V33" s="3">
        <f t="shared" si="4"/>
        <v>0</v>
      </c>
      <c r="W33" s="3" t="s">
        <v>522</v>
      </c>
      <c r="X33" s="5" t="s">
        <v>155</v>
      </c>
      <c r="Y33" s="6" t="s">
        <v>271</v>
      </c>
      <c r="Z33" s="3">
        <f t="shared" si="5"/>
        <v>0</v>
      </c>
      <c r="AA33" s="3">
        <f t="shared" si="6"/>
        <v>0</v>
      </c>
      <c r="AB33" s="3" t="s">
        <v>96</v>
      </c>
    </row>
    <row r="34" spans="1:28" ht="84" x14ac:dyDescent="0.3">
      <c r="A34" s="3" t="s">
        <v>156</v>
      </c>
      <c r="B34" s="3" t="s">
        <v>157</v>
      </c>
      <c r="C34" s="3" t="s">
        <v>523</v>
      </c>
      <c r="D34" s="5" t="s">
        <v>20</v>
      </c>
      <c r="E34" s="6" t="s">
        <v>262</v>
      </c>
      <c r="F34" s="3">
        <f t="shared" si="0"/>
        <v>0</v>
      </c>
      <c r="G34" s="3" t="s">
        <v>523</v>
      </c>
      <c r="H34" s="5" t="s">
        <v>20</v>
      </c>
      <c r="I34" s="6" t="s">
        <v>265</v>
      </c>
      <c r="J34" s="3">
        <f t="shared" si="1"/>
        <v>0</v>
      </c>
      <c r="K34" s="3" t="s">
        <v>522</v>
      </c>
      <c r="L34" s="5" t="s">
        <v>20</v>
      </c>
      <c r="M34" s="6" t="s">
        <v>267</v>
      </c>
      <c r="N34" s="3">
        <f t="shared" si="2"/>
        <v>0</v>
      </c>
      <c r="O34" s="3" t="s">
        <v>522</v>
      </c>
      <c r="P34" s="5" t="s">
        <v>278</v>
      </c>
      <c r="Q34" s="6" t="s">
        <v>269</v>
      </c>
      <c r="R34" s="3">
        <f t="shared" si="3"/>
        <v>0</v>
      </c>
      <c r="S34" s="3" t="s">
        <v>522</v>
      </c>
      <c r="T34" s="5" t="s">
        <v>276</v>
      </c>
      <c r="U34" s="6" t="s">
        <v>271</v>
      </c>
      <c r="V34" s="3">
        <f t="shared" si="4"/>
        <v>0</v>
      </c>
      <c r="W34" s="3" t="s">
        <v>522</v>
      </c>
      <c r="X34" s="5" t="s">
        <v>289</v>
      </c>
      <c r="Y34" s="6" t="s">
        <v>271</v>
      </c>
      <c r="Z34" s="3">
        <f t="shared" si="5"/>
        <v>0</v>
      </c>
      <c r="AA34" s="3">
        <f t="shared" si="6"/>
        <v>0</v>
      </c>
      <c r="AB34" s="3" t="s">
        <v>96</v>
      </c>
    </row>
  </sheetData>
  <mergeCells count="8">
    <mergeCell ref="A6:B6"/>
    <mergeCell ref="A1:AB1"/>
    <mergeCell ref="A2:AB2"/>
    <mergeCell ref="A4:B4"/>
    <mergeCell ref="C4:N4"/>
    <mergeCell ref="O4:R4"/>
    <mergeCell ref="S4:Z4"/>
    <mergeCell ref="AA4:AB4"/>
  </mergeCells>
  <conditionalFormatting sqref="C7:C34">
    <cfRule type="expression" dxfId="65" priority="1">
      <formula>C7="Atende"</formula>
    </cfRule>
    <cfRule type="expression" dxfId="64" priority="2">
      <formula>C7="Parcial"</formula>
    </cfRule>
    <cfRule type="expression" dxfId="63" priority="3">
      <formula>OR(C7="Não atende",C7="Sem evidência")</formula>
    </cfRule>
  </conditionalFormatting>
  <conditionalFormatting sqref="G7:G34">
    <cfRule type="expression" dxfId="62" priority="4">
      <formula>G7="Atende"</formula>
    </cfRule>
    <cfRule type="expression" dxfId="61" priority="5">
      <formula>G7="Parcial"</formula>
    </cfRule>
    <cfRule type="expression" dxfId="60" priority="6">
      <formula>OR(G7="Não atende",G7="Sem evidência")</formula>
    </cfRule>
  </conditionalFormatting>
  <conditionalFormatting sqref="K7:K34">
    <cfRule type="expression" dxfId="59" priority="7">
      <formula>K7="Atende"</formula>
    </cfRule>
    <cfRule type="expression" dxfId="58" priority="8">
      <formula>K7="Parcial"</formula>
    </cfRule>
    <cfRule type="expression" dxfId="57" priority="9">
      <formula>OR(K7="Não atende",K7="Sem evidência")</formula>
    </cfRule>
  </conditionalFormatting>
  <conditionalFormatting sqref="O7:O34">
    <cfRule type="expression" dxfId="56" priority="10">
      <formula>O7="Atende"</formula>
    </cfRule>
    <cfRule type="expression" dxfId="55" priority="11">
      <formula>O7="Parcial"</formula>
    </cfRule>
    <cfRule type="expression" dxfId="54" priority="12">
      <formula>OR(O7="Não atende",O7="Sem evidência")</formula>
    </cfRule>
  </conditionalFormatting>
  <conditionalFormatting sqref="S7:S34">
    <cfRule type="expression" dxfId="53" priority="13">
      <formula>S7="Atende"</formula>
    </cfRule>
    <cfRule type="expression" dxfId="52" priority="14">
      <formula>S7="Parcial"</formula>
    </cfRule>
    <cfRule type="expression" dxfId="51" priority="15">
      <formula>OR(S7="Não atende",S7="Sem evidência")</formula>
    </cfRule>
  </conditionalFormatting>
  <conditionalFormatting sqref="W7:W34">
    <cfRule type="expression" dxfId="50" priority="16">
      <formula>W7="Atende"</formula>
    </cfRule>
    <cfRule type="expression" dxfId="49" priority="17">
      <formula>W7="Parcial"</formula>
    </cfRule>
    <cfRule type="expression" dxfId="48" priority="18">
      <formula>OR(W7="Não atende",W7="Sem evidência")</formula>
    </cfRule>
  </conditionalFormatting>
  <dataValidations count="1">
    <dataValidation type="list" sqref="C7:C34 S7:S34 O7:O34 K7:K34 G7:G34 W7:W34" xr:uid="{00000000-0002-0000-0400-000000000000}">
      <formula1>"Atende,Parcial,Não atende,Sem evidência"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"/>
  <sheetViews>
    <sheetView topLeftCell="A26" zoomScale="70" zoomScaleNormal="70" workbookViewId="0">
      <selection activeCell="G31" sqref="G31"/>
    </sheetView>
  </sheetViews>
  <sheetFormatPr defaultRowHeight="14.4" x14ac:dyDescent="0.3"/>
  <cols>
    <col min="1" max="1" width="8" customWidth="1"/>
    <col min="2" max="2" width="29" customWidth="1"/>
    <col min="3" max="3" width="31" customWidth="1"/>
    <col min="4" max="4" width="42" customWidth="1"/>
    <col min="5" max="5" width="25" customWidth="1"/>
    <col min="6" max="6" width="8" customWidth="1"/>
    <col min="7" max="7" width="31" customWidth="1"/>
    <col min="8" max="8" width="42" customWidth="1"/>
    <col min="9" max="9" width="25" customWidth="1"/>
    <col min="10" max="10" width="8" customWidth="1"/>
    <col min="11" max="11" width="14" customWidth="1"/>
    <col min="12" max="12" width="31" customWidth="1"/>
  </cols>
  <sheetData>
    <row r="1" spans="1:12" ht="22.35" customHeight="1" x14ac:dyDescent="0.3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8.4" customHeight="1" x14ac:dyDescent="0.3">
      <c r="A2" s="9" t="s">
        <v>158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40.049999999999997" customHeight="1" x14ac:dyDescent="0.3">
      <c r="A4" s="10" t="s">
        <v>77</v>
      </c>
      <c r="B4" s="10"/>
      <c r="C4" s="10" t="s">
        <v>299</v>
      </c>
      <c r="D4" s="10"/>
      <c r="E4" s="10"/>
      <c r="F4" s="10"/>
      <c r="G4" s="10" t="s">
        <v>300</v>
      </c>
      <c r="H4" s="10"/>
      <c r="I4" s="10"/>
      <c r="J4" s="10"/>
      <c r="K4" s="10" t="s">
        <v>161</v>
      </c>
      <c r="L4" s="10"/>
    </row>
    <row r="5" spans="1:12" ht="49.65" customHeight="1" x14ac:dyDescent="0.3">
      <c r="A5" s="2" t="s">
        <v>80</v>
      </c>
      <c r="B5" s="2" t="s">
        <v>81</v>
      </c>
      <c r="C5" s="2" t="s">
        <v>301</v>
      </c>
      <c r="D5" s="2" t="s">
        <v>83</v>
      </c>
      <c r="E5" s="2" t="s">
        <v>84</v>
      </c>
      <c r="F5" s="2" t="s">
        <v>302</v>
      </c>
      <c r="G5" s="2" t="s">
        <v>303</v>
      </c>
      <c r="H5" s="2" t="s">
        <v>83</v>
      </c>
      <c r="I5" s="2" t="s">
        <v>84</v>
      </c>
      <c r="J5" s="2" t="s">
        <v>304</v>
      </c>
      <c r="K5" s="2" t="s">
        <v>86</v>
      </c>
      <c r="L5" s="2" t="s">
        <v>88</v>
      </c>
    </row>
    <row r="6" spans="1:12" ht="105.6" customHeight="1" x14ac:dyDescent="0.3">
      <c r="A6" s="7" t="s">
        <v>89</v>
      </c>
      <c r="B6" s="7"/>
      <c r="C6" s="4" t="s">
        <v>305</v>
      </c>
      <c r="D6" s="5" t="s">
        <v>169</v>
      </c>
      <c r="E6" s="6" t="s">
        <v>306</v>
      </c>
      <c r="F6" s="1" t="s">
        <v>307</v>
      </c>
      <c r="G6" s="4" t="s">
        <v>308</v>
      </c>
      <c r="H6" s="5" t="s">
        <v>169</v>
      </c>
      <c r="I6" s="6" t="s">
        <v>309</v>
      </c>
      <c r="J6" s="1" t="s">
        <v>310</v>
      </c>
      <c r="K6" s="1" t="s">
        <v>180</v>
      </c>
      <c r="L6" s="1" t="s">
        <v>181</v>
      </c>
    </row>
    <row r="7" spans="1:12" ht="72" x14ac:dyDescent="0.3">
      <c r="A7" s="3" t="s">
        <v>97</v>
      </c>
      <c r="B7" s="3" t="s">
        <v>98</v>
      </c>
      <c r="C7" s="3" t="s">
        <v>523</v>
      </c>
      <c r="D7" s="5" t="s">
        <v>311</v>
      </c>
      <c r="E7" s="6" t="s">
        <v>306</v>
      </c>
      <c r="F7" s="3">
        <f t="shared" ref="F7:F34" si="0">IF(C7="Atende",5,IF(C7="Parcial",2.5,0))</f>
        <v>0</v>
      </c>
      <c r="G7" s="3" t="s">
        <v>521</v>
      </c>
      <c r="H7" s="5" t="s">
        <v>312</v>
      </c>
      <c r="I7" s="6" t="s">
        <v>309</v>
      </c>
      <c r="J7" s="3">
        <f t="shared" ref="J7:J34" si="1">IF(G7="Atende",10,IF(G7="Parcial",5,0))</f>
        <v>10</v>
      </c>
      <c r="K7" s="3">
        <f t="shared" ref="K7:K34" si="2">SUM(F7,J7)</f>
        <v>10</v>
      </c>
      <c r="L7" s="3" t="s">
        <v>96</v>
      </c>
    </row>
    <row r="8" spans="1:12" ht="36" x14ac:dyDescent="0.3">
      <c r="A8" s="3" t="s">
        <v>100</v>
      </c>
      <c r="B8" s="3" t="s">
        <v>101</v>
      </c>
      <c r="C8" s="3" t="s">
        <v>521</v>
      </c>
      <c r="D8" s="5" t="s">
        <v>313</v>
      </c>
      <c r="E8" s="6" t="s">
        <v>306</v>
      </c>
      <c r="F8" s="3">
        <f t="shared" si="0"/>
        <v>5</v>
      </c>
      <c r="G8" s="3" t="s">
        <v>524</v>
      </c>
      <c r="H8" s="5" t="s">
        <v>314</v>
      </c>
      <c r="I8" s="6" t="s">
        <v>309</v>
      </c>
      <c r="J8" s="3">
        <f t="shared" si="1"/>
        <v>5</v>
      </c>
      <c r="K8" s="3">
        <f t="shared" si="2"/>
        <v>10</v>
      </c>
      <c r="L8" s="3" t="s">
        <v>96</v>
      </c>
    </row>
    <row r="9" spans="1:12" ht="72" x14ac:dyDescent="0.3">
      <c r="A9" s="3" t="s">
        <v>103</v>
      </c>
      <c r="B9" s="3" t="s">
        <v>104</v>
      </c>
      <c r="C9" s="3" t="s">
        <v>523</v>
      </c>
      <c r="D9" s="5" t="s">
        <v>311</v>
      </c>
      <c r="E9" s="6" t="s">
        <v>306</v>
      </c>
      <c r="F9" s="3">
        <f t="shared" si="0"/>
        <v>0</v>
      </c>
      <c r="G9" s="3" t="s">
        <v>521</v>
      </c>
      <c r="H9" s="5" t="s">
        <v>312</v>
      </c>
      <c r="I9" s="6" t="s">
        <v>309</v>
      </c>
      <c r="J9" s="3">
        <f t="shared" si="1"/>
        <v>10</v>
      </c>
      <c r="K9" s="3">
        <f t="shared" si="2"/>
        <v>10</v>
      </c>
      <c r="L9" s="3" t="s">
        <v>96</v>
      </c>
    </row>
    <row r="10" spans="1:12" ht="72" x14ac:dyDescent="0.3">
      <c r="A10" s="3" t="s">
        <v>105</v>
      </c>
      <c r="B10" s="3" t="s">
        <v>106</v>
      </c>
      <c r="C10" s="3" t="s">
        <v>521</v>
      </c>
      <c r="D10" s="5" t="s">
        <v>315</v>
      </c>
      <c r="E10" s="6" t="s">
        <v>306</v>
      </c>
      <c r="F10" s="3">
        <f t="shared" si="0"/>
        <v>5</v>
      </c>
      <c r="G10" s="3" t="s">
        <v>521</v>
      </c>
      <c r="H10" s="5" t="s">
        <v>312</v>
      </c>
      <c r="I10" s="6" t="s">
        <v>309</v>
      </c>
      <c r="J10" s="3">
        <f t="shared" si="1"/>
        <v>10</v>
      </c>
      <c r="K10" s="3">
        <f t="shared" si="2"/>
        <v>15</v>
      </c>
      <c r="L10" s="3" t="s">
        <v>96</v>
      </c>
    </row>
    <row r="11" spans="1:12" ht="72" x14ac:dyDescent="0.3">
      <c r="A11" s="3" t="s">
        <v>107</v>
      </c>
      <c r="B11" s="3" t="s">
        <v>108</v>
      </c>
      <c r="C11" s="3" t="s">
        <v>521</v>
      </c>
      <c r="D11" s="5" t="s">
        <v>313</v>
      </c>
      <c r="E11" s="6" t="s">
        <v>306</v>
      </c>
      <c r="F11" s="3">
        <f t="shared" si="0"/>
        <v>5</v>
      </c>
      <c r="G11" s="3" t="s">
        <v>521</v>
      </c>
      <c r="H11" s="5" t="s">
        <v>312</v>
      </c>
      <c r="I11" s="6" t="s">
        <v>309</v>
      </c>
      <c r="J11" s="3">
        <f t="shared" si="1"/>
        <v>10</v>
      </c>
      <c r="K11" s="3">
        <f t="shared" si="2"/>
        <v>15</v>
      </c>
      <c r="L11" s="3" t="s">
        <v>96</v>
      </c>
    </row>
    <row r="12" spans="1:12" ht="72" x14ac:dyDescent="0.3">
      <c r="A12" s="3" t="s">
        <v>109</v>
      </c>
      <c r="B12" s="3" t="s">
        <v>110</v>
      </c>
      <c r="C12" s="3" t="s">
        <v>521</v>
      </c>
      <c r="D12" s="5" t="s">
        <v>315</v>
      </c>
      <c r="E12" s="6" t="s">
        <v>306</v>
      </c>
      <c r="F12" s="3">
        <f t="shared" si="0"/>
        <v>5</v>
      </c>
      <c r="G12" s="3" t="s">
        <v>521</v>
      </c>
      <c r="H12" s="5" t="s">
        <v>312</v>
      </c>
      <c r="I12" s="6" t="s">
        <v>309</v>
      </c>
      <c r="J12" s="3">
        <f t="shared" si="1"/>
        <v>10</v>
      </c>
      <c r="K12" s="3">
        <f t="shared" si="2"/>
        <v>15</v>
      </c>
      <c r="L12" s="3" t="s">
        <v>96</v>
      </c>
    </row>
    <row r="13" spans="1:12" ht="72" x14ac:dyDescent="0.3">
      <c r="A13" s="3" t="s">
        <v>111</v>
      </c>
      <c r="B13" s="3" t="s">
        <v>112</v>
      </c>
      <c r="C13" s="3" t="s">
        <v>521</v>
      </c>
      <c r="D13" s="5" t="s">
        <v>313</v>
      </c>
      <c r="E13" s="6" t="s">
        <v>306</v>
      </c>
      <c r="F13" s="3">
        <f t="shared" si="0"/>
        <v>5</v>
      </c>
      <c r="G13" s="3" t="s">
        <v>521</v>
      </c>
      <c r="H13" s="5" t="s">
        <v>312</v>
      </c>
      <c r="I13" s="6" t="s">
        <v>309</v>
      </c>
      <c r="J13" s="3">
        <f t="shared" si="1"/>
        <v>10</v>
      </c>
      <c r="K13" s="3">
        <f t="shared" si="2"/>
        <v>15</v>
      </c>
      <c r="L13" s="3" t="s">
        <v>96</v>
      </c>
    </row>
    <row r="14" spans="1:12" ht="72" x14ac:dyDescent="0.3">
      <c r="A14" s="3" t="s">
        <v>113</v>
      </c>
      <c r="B14" s="3" t="s">
        <v>114</v>
      </c>
      <c r="C14" s="3" t="s">
        <v>521</v>
      </c>
      <c r="D14" s="5" t="s">
        <v>315</v>
      </c>
      <c r="E14" s="6" t="s">
        <v>306</v>
      </c>
      <c r="F14" s="3">
        <f t="shared" si="0"/>
        <v>5</v>
      </c>
      <c r="G14" s="3" t="s">
        <v>521</v>
      </c>
      <c r="H14" s="5" t="s">
        <v>312</v>
      </c>
      <c r="I14" s="6" t="s">
        <v>309</v>
      </c>
      <c r="J14" s="3">
        <f t="shared" si="1"/>
        <v>10</v>
      </c>
      <c r="K14" s="3">
        <f t="shared" si="2"/>
        <v>15</v>
      </c>
      <c r="L14" s="3" t="s">
        <v>96</v>
      </c>
    </row>
    <row r="15" spans="1:12" ht="72" x14ac:dyDescent="0.3">
      <c r="A15" s="3" t="s">
        <v>113</v>
      </c>
      <c r="B15" s="3" t="s">
        <v>115</v>
      </c>
      <c r="C15" s="3" t="s">
        <v>523</v>
      </c>
      <c r="D15" s="5" t="s">
        <v>311</v>
      </c>
      <c r="E15" s="6" t="s">
        <v>306</v>
      </c>
      <c r="F15" s="3">
        <f t="shared" si="0"/>
        <v>0</v>
      </c>
      <c r="G15" s="3" t="s">
        <v>521</v>
      </c>
      <c r="H15" s="5" t="s">
        <v>312</v>
      </c>
      <c r="I15" s="6" t="s">
        <v>309</v>
      </c>
      <c r="J15" s="3">
        <f t="shared" si="1"/>
        <v>10</v>
      </c>
      <c r="K15" s="3">
        <f t="shared" si="2"/>
        <v>10</v>
      </c>
      <c r="L15" s="3" t="s">
        <v>96</v>
      </c>
    </row>
    <row r="16" spans="1:12" ht="72" x14ac:dyDescent="0.3">
      <c r="A16" s="3" t="s">
        <v>116</v>
      </c>
      <c r="B16" s="3" t="s">
        <v>117</v>
      </c>
      <c r="C16" s="3" t="s">
        <v>521</v>
      </c>
      <c r="D16" s="5" t="s">
        <v>313</v>
      </c>
      <c r="E16" s="6" t="s">
        <v>306</v>
      </c>
      <c r="F16" s="3">
        <f t="shared" si="0"/>
        <v>5</v>
      </c>
      <c r="G16" s="3" t="s">
        <v>521</v>
      </c>
      <c r="H16" s="5" t="s">
        <v>312</v>
      </c>
      <c r="I16" s="6" t="s">
        <v>309</v>
      </c>
      <c r="J16" s="3">
        <f t="shared" si="1"/>
        <v>10</v>
      </c>
      <c r="K16" s="3">
        <f t="shared" si="2"/>
        <v>15</v>
      </c>
      <c r="L16" s="3" t="s">
        <v>96</v>
      </c>
    </row>
    <row r="17" spans="1:12" ht="36" x14ac:dyDescent="0.3">
      <c r="A17" s="3" t="s">
        <v>118</v>
      </c>
      <c r="B17" s="3" t="s">
        <v>119</v>
      </c>
      <c r="C17" s="3" t="s">
        <v>523</v>
      </c>
      <c r="D17" s="5" t="s">
        <v>311</v>
      </c>
      <c r="E17" s="6" t="s">
        <v>306</v>
      </c>
      <c r="F17" s="3">
        <f t="shared" si="0"/>
        <v>0</v>
      </c>
      <c r="G17" s="3" t="s">
        <v>524</v>
      </c>
      <c r="H17" s="5" t="s">
        <v>314</v>
      </c>
      <c r="I17" s="6" t="s">
        <v>309</v>
      </c>
      <c r="J17" s="3">
        <f t="shared" si="1"/>
        <v>5</v>
      </c>
      <c r="K17" s="3">
        <f t="shared" si="2"/>
        <v>5</v>
      </c>
      <c r="L17" s="3" t="s">
        <v>96</v>
      </c>
    </row>
    <row r="18" spans="1:12" ht="72" x14ac:dyDescent="0.3">
      <c r="A18" s="3" t="s">
        <v>120</v>
      </c>
      <c r="B18" s="3" t="s">
        <v>121</v>
      </c>
      <c r="C18" s="3" t="s">
        <v>523</v>
      </c>
      <c r="D18" s="5" t="s">
        <v>311</v>
      </c>
      <c r="E18" s="6" t="s">
        <v>306</v>
      </c>
      <c r="F18" s="3">
        <f t="shared" si="0"/>
        <v>0</v>
      </c>
      <c r="G18" s="3" t="s">
        <v>521</v>
      </c>
      <c r="H18" s="5" t="s">
        <v>312</v>
      </c>
      <c r="I18" s="6" t="s">
        <v>309</v>
      </c>
      <c r="J18" s="3">
        <f t="shared" si="1"/>
        <v>10</v>
      </c>
      <c r="K18" s="3">
        <f t="shared" si="2"/>
        <v>10</v>
      </c>
      <c r="L18" s="3" t="s">
        <v>96</v>
      </c>
    </row>
    <row r="19" spans="1:12" ht="48" x14ac:dyDescent="0.3">
      <c r="A19" s="3" t="s">
        <v>122</v>
      </c>
      <c r="B19" s="3" t="s">
        <v>123</v>
      </c>
      <c r="C19" s="3" t="s">
        <v>521</v>
      </c>
      <c r="D19" s="5" t="s">
        <v>315</v>
      </c>
      <c r="E19" s="6" t="s">
        <v>306</v>
      </c>
      <c r="F19" s="3">
        <f t="shared" si="0"/>
        <v>5</v>
      </c>
      <c r="G19" s="3" t="s">
        <v>524</v>
      </c>
      <c r="H19" s="5" t="s">
        <v>314</v>
      </c>
      <c r="I19" s="6" t="s">
        <v>309</v>
      </c>
      <c r="J19" s="3">
        <f t="shared" si="1"/>
        <v>5</v>
      </c>
      <c r="K19" s="3">
        <f t="shared" si="2"/>
        <v>10</v>
      </c>
      <c r="L19" s="3" t="s">
        <v>96</v>
      </c>
    </row>
    <row r="20" spans="1:12" ht="72" x14ac:dyDescent="0.3">
      <c r="A20" s="3" t="s">
        <v>125</v>
      </c>
      <c r="B20" s="3" t="s">
        <v>126</v>
      </c>
      <c r="C20" s="3" t="s">
        <v>521</v>
      </c>
      <c r="D20" s="5" t="s">
        <v>313</v>
      </c>
      <c r="E20" s="6" t="s">
        <v>306</v>
      </c>
      <c r="F20" s="3">
        <f t="shared" si="0"/>
        <v>5</v>
      </c>
      <c r="G20" s="3" t="s">
        <v>521</v>
      </c>
      <c r="H20" s="5" t="s">
        <v>312</v>
      </c>
      <c r="I20" s="6" t="s">
        <v>309</v>
      </c>
      <c r="J20" s="3">
        <f t="shared" si="1"/>
        <v>10</v>
      </c>
      <c r="K20" s="3">
        <f t="shared" si="2"/>
        <v>15</v>
      </c>
      <c r="L20" s="3" t="s">
        <v>96</v>
      </c>
    </row>
    <row r="21" spans="1:12" ht="36" x14ac:dyDescent="0.3">
      <c r="A21" s="3" t="s">
        <v>127</v>
      </c>
      <c r="B21" s="3" t="s">
        <v>128</v>
      </c>
      <c r="C21" s="3" t="s">
        <v>522</v>
      </c>
      <c r="D21" s="5" t="s">
        <v>311</v>
      </c>
      <c r="E21" s="6" t="s">
        <v>306</v>
      </c>
      <c r="F21" s="3">
        <f t="shared" si="0"/>
        <v>0</v>
      </c>
      <c r="G21" s="3" t="s">
        <v>522</v>
      </c>
      <c r="H21" s="5" t="s">
        <v>206</v>
      </c>
      <c r="I21" s="6" t="s">
        <v>309</v>
      </c>
      <c r="J21" s="3">
        <f t="shared" si="1"/>
        <v>0</v>
      </c>
      <c r="K21" s="3">
        <f t="shared" si="2"/>
        <v>0</v>
      </c>
      <c r="L21" s="3" t="s">
        <v>96</v>
      </c>
    </row>
    <row r="22" spans="1:12" ht="36" x14ac:dyDescent="0.3">
      <c r="A22" s="3" t="s">
        <v>130</v>
      </c>
      <c r="B22" s="3" t="s">
        <v>131</v>
      </c>
      <c r="C22" s="3" t="s">
        <v>523</v>
      </c>
      <c r="D22" s="5" t="s">
        <v>311</v>
      </c>
      <c r="E22" s="6" t="s">
        <v>306</v>
      </c>
      <c r="F22" s="3">
        <f t="shared" si="0"/>
        <v>0</v>
      </c>
      <c r="G22" s="3" t="s">
        <v>524</v>
      </c>
      <c r="H22" s="5" t="s">
        <v>314</v>
      </c>
      <c r="I22" s="6" t="s">
        <v>309</v>
      </c>
      <c r="J22" s="3">
        <f t="shared" si="1"/>
        <v>5</v>
      </c>
      <c r="K22" s="3">
        <f t="shared" si="2"/>
        <v>5</v>
      </c>
      <c r="L22" s="3" t="s">
        <v>96</v>
      </c>
    </row>
    <row r="23" spans="1:12" ht="72" x14ac:dyDescent="0.3">
      <c r="A23" s="3" t="s">
        <v>132</v>
      </c>
      <c r="B23" s="3" t="s">
        <v>133</v>
      </c>
      <c r="C23" s="3" t="s">
        <v>521</v>
      </c>
      <c r="D23" s="5" t="s">
        <v>315</v>
      </c>
      <c r="E23" s="6" t="s">
        <v>306</v>
      </c>
      <c r="F23" s="3">
        <f t="shared" si="0"/>
        <v>5</v>
      </c>
      <c r="G23" s="3" t="s">
        <v>521</v>
      </c>
      <c r="H23" s="5" t="s">
        <v>312</v>
      </c>
      <c r="I23" s="6" t="s">
        <v>309</v>
      </c>
      <c r="J23" s="3">
        <f t="shared" si="1"/>
        <v>10</v>
      </c>
      <c r="K23" s="3">
        <f t="shared" si="2"/>
        <v>15</v>
      </c>
      <c r="L23" s="3" t="s">
        <v>96</v>
      </c>
    </row>
    <row r="24" spans="1:12" ht="72" x14ac:dyDescent="0.3">
      <c r="A24" s="3" t="s">
        <v>134</v>
      </c>
      <c r="B24" s="3" t="s">
        <v>135</v>
      </c>
      <c r="C24" s="3" t="s">
        <v>523</v>
      </c>
      <c r="D24" s="5" t="s">
        <v>311</v>
      </c>
      <c r="E24" s="6" t="s">
        <v>306</v>
      </c>
      <c r="F24" s="3">
        <f t="shared" si="0"/>
        <v>0</v>
      </c>
      <c r="G24" s="3" t="s">
        <v>521</v>
      </c>
      <c r="H24" s="5" t="s">
        <v>312</v>
      </c>
      <c r="I24" s="6" t="s">
        <v>309</v>
      </c>
      <c r="J24" s="3">
        <f t="shared" si="1"/>
        <v>10</v>
      </c>
      <c r="K24" s="3">
        <f t="shared" si="2"/>
        <v>10</v>
      </c>
      <c r="L24" s="3" t="s">
        <v>96</v>
      </c>
    </row>
    <row r="25" spans="1:12" ht="36" x14ac:dyDescent="0.3">
      <c r="A25" s="3" t="s">
        <v>136</v>
      </c>
      <c r="B25" s="3" t="s">
        <v>137</v>
      </c>
      <c r="C25" s="3" t="s">
        <v>523</v>
      </c>
      <c r="D25" s="5" t="s">
        <v>311</v>
      </c>
      <c r="E25" s="6" t="s">
        <v>306</v>
      </c>
      <c r="F25" s="3">
        <f t="shared" si="0"/>
        <v>0</v>
      </c>
      <c r="G25" s="3" t="s">
        <v>524</v>
      </c>
      <c r="H25" s="5" t="s">
        <v>316</v>
      </c>
      <c r="I25" s="6" t="s">
        <v>309</v>
      </c>
      <c r="J25" s="3">
        <f t="shared" si="1"/>
        <v>5</v>
      </c>
      <c r="K25" s="3">
        <f t="shared" si="2"/>
        <v>5</v>
      </c>
      <c r="L25" s="3" t="s">
        <v>96</v>
      </c>
    </row>
    <row r="26" spans="1:12" ht="72" x14ac:dyDescent="0.3">
      <c r="A26" s="3" t="s">
        <v>138</v>
      </c>
      <c r="B26" s="3" t="s">
        <v>139</v>
      </c>
      <c r="C26" s="3" t="s">
        <v>521</v>
      </c>
      <c r="D26" s="5" t="s">
        <v>315</v>
      </c>
      <c r="E26" s="6" t="s">
        <v>306</v>
      </c>
      <c r="F26" s="3">
        <f t="shared" si="0"/>
        <v>5</v>
      </c>
      <c r="G26" s="3" t="s">
        <v>521</v>
      </c>
      <c r="H26" s="5" t="s">
        <v>312</v>
      </c>
      <c r="I26" s="6" t="s">
        <v>309</v>
      </c>
      <c r="J26" s="3">
        <f t="shared" si="1"/>
        <v>10</v>
      </c>
      <c r="K26" s="3">
        <f t="shared" si="2"/>
        <v>15</v>
      </c>
      <c r="L26" s="3" t="s">
        <v>96</v>
      </c>
    </row>
    <row r="27" spans="1:12" ht="72" x14ac:dyDescent="0.3">
      <c r="A27" s="3" t="s">
        <v>140</v>
      </c>
      <c r="B27" s="3" t="s">
        <v>141</v>
      </c>
      <c r="C27" s="3" t="s">
        <v>521</v>
      </c>
      <c r="D27" s="5" t="s">
        <v>315</v>
      </c>
      <c r="E27" s="6" t="s">
        <v>306</v>
      </c>
      <c r="F27" s="3">
        <f t="shared" si="0"/>
        <v>5</v>
      </c>
      <c r="G27" s="3" t="s">
        <v>521</v>
      </c>
      <c r="H27" s="5" t="s">
        <v>312</v>
      </c>
      <c r="I27" s="6" t="s">
        <v>309</v>
      </c>
      <c r="J27" s="3">
        <f t="shared" si="1"/>
        <v>10</v>
      </c>
      <c r="K27" s="3">
        <f t="shared" si="2"/>
        <v>15</v>
      </c>
      <c r="L27" s="3" t="s">
        <v>96</v>
      </c>
    </row>
    <row r="28" spans="1:12" ht="72" x14ac:dyDescent="0.3">
      <c r="A28" s="3" t="s">
        <v>142</v>
      </c>
      <c r="B28" s="3" t="s">
        <v>143</v>
      </c>
      <c r="C28" s="3" t="s">
        <v>521</v>
      </c>
      <c r="D28" s="5" t="s">
        <v>313</v>
      </c>
      <c r="E28" s="6" t="s">
        <v>306</v>
      </c>
      <c r="F28" s="3">
        <f t="shared" si="0"/>
        <v>5</v>
      </c>
      <c r="G28" s="3" t="s">
        <v>521</v>
      </c>
      <c r="H28" s="5" t="s">
        <v>312</v>
      </c>
      <c r="I28" s="6" t="s">
        <v>309</v>
      </c>
      <c r="J28" s="3">
        <f t="shared" si="1"/>
        <v>10</v>
      </c>
      <c r="K28" s="3">
        <f t="shared" si="2"/>
        <v>15</v>
      </c>
      <c r="L28" s="3" t="s">
        <v>96</v>
      </c>
    </row>
    <row r="29" spans="1:12" ht="48" x14ac:dyDescent="0.3">
      <c r="A29" s="3" t="s">
        <v>144</v>
      </c>
      <c r="B29" s="3" t="s">
        <v>145</v>
      </c>
      <c r="C29" s="3" t="s">
        <v>522</v>
      </c>
      <c r="D29" s="5" t="s">
        <v>315</v>
      </c>
      <c r="E29" s="6" t="s">
        <v>306</v>
      </c>
      <c r="F29" s="3">
        <f t="shared" si="0"/>
        <v>0</v>
      </c>
      <c r="G29" s="3" t="s">
        <v>522</v>
      </c>
      <c r="H29" s="5" t="s">
        <v>314</v>
      </c>
      <c r="I29" s="6" t="s">
        <v>309</v>
      </c>
      <c r="J29" s="3">
        <f t="shared" si="1"/>
        <v>0</v>
      </c>
      <c r="K29" s="3">
        <f t="shared" si="2"/>
        <v>0</v>
      </c>
      <c r="L29" s="3" t="s">
        <v>96</v>
      </c>
    </row>
    <row r="30" spans="1:12" ht="72" x14ac:dyDescent="0.3">
      <c r="A30" s="3" t="s">
        <v>147</v>
      </c>
      <c r="B30" s="3" t="s">
        <v>148</v>
      </c>
      <c r="C30" s="3" t="s">
        <v>521</v>
      </c>
      <c r="D30" s="5" t="s">
        <v>315</v>
      </c>
      <c r="E30" s="6" t="s">
        <v>306</v>
      </c>
      <c r="F30" s="3">
        <f t="shared" si="0"/>
        <v>5</v>
      </c>
      <c r="G30" s="3" t="s">
        <v>521</v>
      </c>
      <c r="H30" s="5" t="s">
        <v>312</v>
      </c>
      <c r="I30" s="6" t="s">
        <v>309</v>
      </c>
      <c r="J30" s="3">
        <f t="shared" si="1"/>
        <v>10</v>
      </c>
      <c r="K30" s="3">
        <f t="shared" si="2"/>
        <v>15</v>
      </c>
      <c r="L30" s="3" t="s">
        <v>96</v>
      </c>
    </row>
    <row r="31" spans="1:12" ht="36" x14ac:dyDescent="0.3">
      <c r="A31" s="3" t="s">
        <v>149</v>
      </c>
      <c r="B31" s="3" t="s">
        <v>150</v>
      </c>
      <c r="C31" s="3" t="s">
        <v>521</v>
      </c>
      <c r="D31" s="5" t="s">
        <v>313</v>
      </c>
      <c r="E31" s="6" t="s">
        <v>306</v>
      </c>
      <c r="F31" s="3">
        <f t="shared" si="0"/>
        <v>5</v>
      </c>
      <c r="G31" s="3" t="s">
        <v>521</v>
      </c>
      <c r="H31" s="5" t="s">
        <v>317</v>
      </c>
      <c r="I31" s="6" t="s">
        <v>309</v>
      </c>
      <c r="J31" s="3">
        <f t="shared" si="1"/>
        <v>10</v>
      </c>
      <c r="K31" s="3">
        <f t="shared" si="2"/>
        <v>15</v>
      </c>
      <c r="L31" s="3" t="s">
        <v>96</v>
      </c>
    </row>
    <row r="32" spans="1:12" ht="72" x14ac:dyDescent="0.3">
      <c r="A32" s="3" t="s">
        <v>151</v>
      </c>
      <c r="B32" s="3" t="s">
        <v>152</v>
      </c>
      <c r="C32" s="3" t="s">
        <v>521</v>
      </c>
      <c r="D32" s="5" t="s">
        <v>315</v>
      </c>
      <c r="E32" s="6" t="s">
        <v>306</v>
      </c>
      <c r="F32" s="3">
        <f t="shared" si="0"/>
        <v>5</v>
      </c>
      <c r="G32" s="3" t="s">
        <v>521</v>
      </c>
      <c r="H32" s="5" t="s">
        <v>312</v>
      </c>
      <c r="I32" s="6" t="s">
        <v>309</v>
      </c>
      <c r="J32" s="3">
        <f t="shared" si="1"/>
        <v>10</v>
      </c>
      <c r="K32" s="3">
        <f t="shared" si="2"/>
        <v>15</v>
      </c>
      <c r="L32" s="3" t="s">
        <v>96</v>
      </c>
    </row>
    <row r="33" spans="1:12" x14ac:dyDescent="0.3">
      <c r="A33" s="3" t="s">
        <v>153</v>
      </c>
      <c r="B33" s="3" t="s">
        <v>154</v>
      </c>
      <c r="C33" s="3" t="s">
        <v>522</v>
      </c>
      <c r="D33" s="5" t="s">
        <v>155</v>
      </c>
      <c r="E33" s="6" t="s">
        <v>306</v>
      </c>
      <c r="F33" s="3">
        <f t="shared" si="0"/>
        <v>0</v>
      </c>
      <c r="G33" s="3" t="s">
        <v>522</v>
      </c>
      <c r="H33" s="5" t="s">
        <v>155</v>
      </c>
      <c r="I33" s="6" t="s">
        <v>309</v>
      </c>
      <c r="J33" s="3">
        <f t="shared" si="1"/>
        <v>0</v>
      </c>
      <c r="K33" s="3">
        <f t="shared" si="2"/>
        <v>0</v>
      </c>
      <c r="L33" s="3" t="s">
        <v>96</v>
      </c>
    </row>
    <row r="34" spans="1:12" ht="36" x14ac:dyDescent="0.3">
      <c r="A34" s="3" t="s">
        <v>156</v>
      </c>
      <c r="B34" s="3" t="s">
        <v>157</v>
      </c>
      <c r="C34" s="3" t="s">
        <v>522</v>
      </c>
      <c r="D34" s="5" t="s">
        <v>311</v>
      </c>
      <c r="E34" s="6" t="s">
        <v>306</v>
      </c>
      <c r="F34" s="3">
        <f t="shared" si="0"/>
        <v>0</v>
      </c>
      <c r="G34" s="3" t="s">
        <v>522</v>
      </c>
      <c r="H34" s="5" t="s">
        <v>314</v>
      </c>
      <c r="I34" s="6" t="s">
        <v>309</v>
      </c>
      <c r="J34" s="3">
        <f t="shared" si="1"/>
        <v>0</v>
      </c>
      <c r="K34" s="3">
        <f t="shared" si="2"/>
        <v>0</v>
      </c>
      <c r="L34" s="3" t="s">
        <v>96</v>
      </c>
    </row>
  </sheetData>
  <mergeCells count="7">
    <mergeCell ref="A6:B6"/>
    <mergeCell ref="A1:L1"/>
    <mergeCell ref="A2:L2"/>
    <mergeCell ref="A4:B4"/>
    <mergeCell ref="C4:F4"/>
    <mergeCell ref="G4:J4"/>
    <mergeCell ref="K4:L4"/>
  </mergeCells>
  <conditionalFormatting sqref="C7:C34">
    <cfRule type="expression" dxfId="47" priority="1">
      <formula>C7="Atende"</formula>
    </cfRule>
    <cfRule type="expression" dxfId="46" priority="2">
      <formula>C7="Parcial"</formula>
    </cfRule>
    <cfRule type="expression" dxfId="45" priority="3">
      <formula>OR(C7="Não atende",C7="Sem evidência")</formula>
    </cfRule>
  </conditionalFormatting>
  <conditionalFormatting sqref="G7:G34">
    <cfRule type="expression" dxfId="44" priority="4">
      <formula>G7="Atende"</formula>
    </cfRule>
    <cfRule type="expression" dxfId="43" priority="5">
      <formula>G7="Parcial"</formula>
    </cfRule>
    <cfRule type="expression" dxfId="42" priority="6">
      <formula>OR(G7="Não atende",G7="Sem evidência")</formula>
    </cfRule>
  </conditionalFormatting>
  <dataValidations count="1">
    <dataValidation type="list" sqref="C7:C34 G7:G34" xr:uid="{00000000-0002-0000-0500-000000000000}">
      <formula1>"Atende,Parcial,Não atende,Sem evidência"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4"/>
  <sheetViews>
    <sheetView topLeftCell="A28" zoomScale="85" zoomScaleNormal="85" workbookViewId="0">
      <selection activeCell="P34" sqref="P34"/>
    </sheetView>
  </sheetViews>
  <sheetFormatPr defaultRowHeight="14.4" x14ac:dyDescent="0.3"/>
  <cols>
    <col min="1" max="1" width="8" customWidth="1"/>
    <col min="2" max="2" width="29" customWidth="1"/>
    <col min="3" max="3" width="31" hidden="1" customWidth="1"/>
    <col min="4" max="4" width="42" hidden="1" customWidth="1"/>
    <col min="5" max="5" width="25" hidden="1" customWidth="1"/>
    <col min="6" max="6" width="8" hidden="1" customWidth="1"/>
    <col min="7" max="7" width="31" hidden="1" customWidth="1"/>
    <col min="8" max="8" width="42" hidden="1" customWidth="1"/>
    <col min="9" max="9" width="25" hidden="1" customWidth="1"/>
    <col min="10" max="10" width="8" hidden="1" customWidth="1"/>
    <col min="11" max="11" width="31" hidden="1" customWidth="1"/>
    <col min="12" max="12" width="42" hidden="1" customWidth="1"/>
    <col min="13" max="13" width="25" hidden="1" customWidth="1"/>
    <col min="14" max="14" width="8" hidden="1" customWidth="1"/>
    <col min="15" max="15" width="31" customWidth="1"/>
    <col min="16" max="16" width="42" customWidth="1"/>
    <col min="17" max="17" width="25" customWidth="1"/>
    <col min="18" max="18" width="8" customWidth="1"/>
    <col min="19" max="19" width="31" customWidth="1"/>
    <col min="20" max="20" width="42" customWidth="1"/>
    <col min="21" max="21" width="25" customWidth="1"/>
    <col min="22" max="22" width="8" customWidth="1"/>
    <col min="23" max="23" width="31" customWidth="1"/>
    <col min="24" max="24" width="42" customWidth="1"/>
    <col min="25" max="25" width="25" customWidth="1"/>
    <col min="26" max="26" width="8" customWidth="1"/>
    <col min="27" max="27" width="31" customWidth="1"/>
    <col min="28" max="28" width="42" customWidth="1"/>
    <col min="29" max="29" width="25" customWidth="1"/>
    <col min="30" max="30" width="8" customWidth="1"/>
    <col min="31" max="31" width="14" customWidth="1"/>
    <col min="32" max="32" width="31" customWidth="1"/>
  </cols>
  <sheetData>
    <row r="1" spans="1:32" ht="22.35" customHeight="1" x14ac:dyDescent="0.3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38.4" customHeight="1" x14ac:dyDescent="0.3">
      <c r="A2" s="9" t="s">
        <v>318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4" spans="1:32" ht="40.049999999999997" customHeight="1" x14ac:dyDescent="0.3">
      <c r="A4" s="10" t="s">
        <v>77</v>
      </c>
      <c r="B4" s="10"/>
      <c r="C4" s="10" t="s">
        <v>319</v>
      </c>
      <c r="D4" s="10"/>
      <c r="E4" s="10"/>
      <c r="F4" s="10"/>
      <c r="G4" s="10" t="s">
        <v>320</v>
      </c>
      <c r="H4" s="10"/>
      <c r="I4" s="10"/>
      <c r="J4" s="10"/>
      <c r="K4" s="10" t="s">
        <v>321</v>
      </c>
      <c r="L4" s="10"/>
      <c r="M4" s="10"/>
      <c r="N4" s="10"/>
      <c r="O4" s="10" t="s">
        <v>322</v>
      </c>
      <c r="P4" s="10"/>
      <c r="Q4" s="10"/>
      <c r="R4" s="10"/>
      <c r="S4" s="10" t="s">
        <v>323</v>
      </c>
      <c r="T4" s="10"/>
      <c r="U4" s="10"/>
      <c r="V4" s="10"/>
      <c r="W4" s="10"/>
      <c r="X4" s="10"/>
      <c r="Y4" s="10"/>
      <c r="Z4" s="10"/>
      <c r="AA4" s="10" t="s">
        <v>324</v>
      </c>
      <c r="AB4" s="10"/>
      <c r="AC4" s="10"/>
      <c r="AD4" s="10"/>
      <c r="AE4" s="10" t="s">
        <v>161</v>
      </c>
      <c r="AF4" s="10"/>
    </row>
    <row r="5" spans="1:32" ht="49.65" customHeight="1" x14ac:dyDescent="0.3">
      <c r="A5" s="2" t="s">
        <v>80</v>
      </c>
      <c r="B5" s="2" t="s">
        <v>81</v>
      </c>
      <c r="C5" s="2" t="s">
        <v>325</v>
      </c>
      <c r="D5" s="2" t="s">
        <v>83</v>
      </c>
      <c r="E5" s="2" t="s">
        <v>84</v>
      </c>
      <c r="F5" s="2" t="s">
        <v>302</v>
      </c>
      <c r="G5" s="2" t="s">
        <v>326</v>
      </c>
      <c r="H5" s="2" t="s">
        <v>83</v>
      </c>
      <c r="I5" s="2" t="s">
        <v>84</v>
      </c>
      <c r="J5" s="2" t="s">
        <v>302</v>
      </c>
      <c r="K5" s="2" t="s">
        <v>327</v>
      </c>
      <c r="L5" s="2" t="s">
        <v>83</v>
      </c>
      <c r="M5" s="2" t="s">
        <v>84</v>
      </c>
      <c r="N5" s="2" t="s">
        <v>302</v>
      </c>
      <c r="O5" s="2" t="s">
        <v>328</v>
      </c>
      <c r="P5" s="2" t="s">
        <v>83</v>
      </c>
      <c r="Q5" s="2" t="s">
        <v>84</v>
      </c>
      <c r="R5" s="2" t="s">
        <v>329</v>
      </c>
      <c r="S5" s="2" t="s">
        <v>330</v>
      </c>
      <c r="T5" s="2" t="s">
        <v>83</v>
      </c>
      <c r="U5" s="2" t="s">
        <v>84</v>
      </c>
      <c r="V5" s="2" t="s">
        <v>255</v>
      </c>
      <c r="W5" s="2" t="s">
        <v>331</v>
      </c>
      <c r="X5" s="2" t="s">
        <v>83</v>
      </c>
      <c r="Y5" s="2" t="s">
        <v>84</v>
      </c>
      <c r="Z5" s="2" t="s">
        <v>255</v>
      </c>
      <c r="AA5" s="2" t="s">
        <v>332</v>
      </c>
      <c r="AB5" s="2" t="s">
        <v>83</v>
      </c>
      <c r="AC5" s="2" t="s">
        <v>84</v>
      </c>
      <c r="AD5" s="2" t="s">
        <v>255</v>
      </c>
      <c r="AE5" s="2" t="s">
        <v>333</v>
      </c>
      <c r="AF5" s="2" t="s">
        <v>88</v>
      </c>
    </row>
    <row r="6" spans="1:32" ht="105.6" customHeight="1" x14ac:dyDescent="0.3">
      <c r="A6" s="7" t="s">
        <v>89</v>
      </c>
      <c r="B6" s="7"/>
      <c r="C6" s="4" t="s">
        <v>334</v>
      </c>
      <c r="D6" s="5" t="s">
        <v>169</v>
      </c>
      <c r="E6" s="6" t="s">
        <v>335</v>
      </c>
      <c r="F6" s="1" t="s">
        <v>307</v>
      </c>
      <c r="G6" s="4" t="s">
        <v>336</v>
      </c>
      <c r="H6" s="5" t="s">
        <v>169</v>
      </c>
      <c r="I6" s="6" t="s">
        <v>337</v>
      </c>
      <c r="J6" s="1" t="s">
        <v>307</v>
      </c>
      <c r="K6" s="4" t="s">
        <v>338</v>
      </c>
      <c r="L6" s="5" t="s">
        <v>169</v>
      </c>
      <c r="M6" s="6" t="s">
        <v>339</v>
      </c>
      <c r="N6" s="1" t="s">
        <v>307</v>
      </c>
      <c r="O6" s="4" t="s">
        <v>340</v>
      </c>
      <c r="P6" s="5" t="s">
        <v>169</v>
      </c>
      <c r="Q6" s="6" t="s">
        <v>341</v>
      </c>
      <c r="R6" s="1" t="s">
        <v>342</v>
      </c>
      <c r="S6" s="4" t="s">
        <v>343</v>
      </c>
      <c r="T6" s="5" t="s">
        <v>169</v>
      </c>
      <c r="U6" s="6" t="s">
        <v>344</v>
      </c>
      <c r="V6" s="1" t="s">
        <v>263</v>
      </c>
      <c r="W6" s="4" t="s">
        <v>345</v>
      </c>
      <c r="X6" s="5" t="s">
        <v>169</v>
      </c>
      <c r="Y6" s="6" t="s">
        <v>346</v>
      </c>
      <c r="Z6" s="1" t="s">
        <v>263</v>
      </c>
      <c r="AA6" s="4" t="s">
        <v>347</v>
      </c>
      <c r="AB6" s="5" t="s">
        <v>169</v>
      </c>
      <c r="AC6" s="6" t="s">
        <v>348</v>
      </c>
      <c r="AD6" s="1" t="s">
        <v>263</v>
      </c>
      <c r="AE6" s="1" t="s">
        <v>180</v>
      </c>
      <c r="AF6" s="1" t="s">
        <v>181</v>
      </c>
    </row>
    <row r="7" spans="1:32" ht="60" x14ac:dyDescent="0.3">
      <c r="A7" s="3" t="s">
        <v>97</v>
      </c>
      <c r="B7" s="3" t="s">
        <v>98</v>
      </c>
      <c r="C7" s="3" t="s">
        <v>521</v>
      </c>
      <c r="D7" s="5" t="s">
        <v>349</v>
      </c>
      <c r="E7" s="6" t="s">
        <v>335</v>
      </c>
      <c r="F7" s="3">
        <f t="shared" ref="F7:F34" si="0">IF(C7="Atende",5,IF(C7="Parcial",2.5,0))</f>
        <v>5</v>
      </c>
      <c r="G7" s="3" t="s">
        <v>521</v>
      </c>
      <c r="H7" s="5" t="s">
        <v>350</v>
      </c>
      <c r="I7" s="6" t="s">
        <v>337</v>
      </c>
      <c r="J7" s="3">
        <f t="shared" ref="J7:J34" si="1">IF(G7="Atende",5,IF(G7="Parcial",2.5,0))</f>
        <v>5</v>
      </c>
      <c r="K7" s="3" t="s">
        <v>521</v>
      </c>
      <c r="L7" s="5" t="s">
        <v>351</v>
      </c>
      <c r="M7" s="6" t="s">
        <v>339</v>
      </c>
      <c r="N7" s="3">
        <f t="shared" ref="N7:N34" si="2">IF(K7="Atende",5,IF(K7="Parcial",2.5,0))</f>
        <v>5</v>
      </c>
      <c r="O7" s="3" t="s">
        <v>521</v>
      </c>
      <c r="P7" s="5" t="s">
        <v>352</v>
      </c>
      <c r="Q7" s="6" t="s">
        <v>341</v>
      </c>
      <c r="R7" s="3">
        <f t="shared" ref="R7:R34" si="3">IF(O7="Atende",4,IF(O7="Parcial",2,0))</f>
        <v>4</v>
      </c>
      <c r="S7" s="3" t="s">
        <v>521</v>
      </c>
      <c r="T7" s="5" t="s">
        <v>353</v>
      </c>
      <c r="U7" s="6" t="s">
        <v>344</v>
      </c>
      <c r="V7" s="3">
        <f t="shared" ref="V7:V34" si="4">IF(S7="Atende",2,IF(S7="Parcial",1,0))</f>
        <v>2</v>
      </c>
      <c r="W7" s="3" t="s">
        <v>523</v>
      </c>
      <c r="X7" s="5" t="s">
        <v>354</v>
      </c>
      <c r="Y7" s="6" t="s">
        <v>346</v>
      </c>
      <c r="Z7" s="3">
        <f t="shared" ref="Z7:Z34" si="5">IF(W7="Atende",2,IF(W7="Parcial",1,0))</f>
        <v>0</v>
      </c>
      <c r="AA7" s="3" t="s">
        <v>521</v>
      </c>
      <c r="AB7" s="5" t="s">
        <v>353</v>
      </c>
      <c r="AC7" s="6" t="s">
        <v>348</v>
      </c>
      <c r="AD7" s="3">
        <f t="shared" ref="AD7:AD34" si="6">IF(AA7="Atende",2,IF(AA7="Parcial",1,0))</f>
        <v>2</v>
      </c>
      <c r="AE7" s="3">
        <f t="shared" ref="AE7:AE34" si="7">SUM(F7,J7,N7,R7,V7,Z7,AD7)</f>
        <v>23</v>
      </c>
      <c r="AF7" s="3" t="s">
        <v>96</v>
      </c>
    </row>
    <row r="8" spans="1:32" ht="72" x14ac:dyDescent="0.3">
      <c r="A8" s="3" t="s">
        <v>100</v>
      </c>
      <c r="B8" s="3" t="s">
        <v>101</v>
      </c>
      <c r="C8" s="3" t="s">
        <v>521</v>
      </c>
      <c r="D8" s="5" t="s">
        <v>355</v>
      </c>
      <c r="E8" s="6" t="s">
        <v>335</v>
      </c>
      <c r="F8" s="3">
        <f t="shared" si="0"/>
        <v>5</v>
      </c>
      <c r="G8" s="3" t="s">
        <v>524</v>
      </c>
      <c r="H8" s="5" t="s">
        <v>356</v>
      </c>
      <c r="I8" s="6" t="s">
        <v>337</v>
      </c>
      <c r="J8" s="3">
        <f t="shared" si="1"/>
        <v>2.5</v>
      </c>
      <c r="K8" s="3" t="s">
        <v>521</v>
      </c>
      <c r="L8" s="5" t="s">
        <v>357</v>
      </c>
      <c r="M8" s="6" t="s">
        <v>339</v>
      </c>
      <c r="N8" s="3">
        <f t="shared" si="2"/>
        <v>5</v>
      </c>
      <c r="O8" s="3" t="s">
        <v>523</v>
      </c>
      <c r="P8" s="5" t="s">
        <v>352</v>
      </c>
      <c r="Q8" s="6" t="s">
        <v>341</v>
      </c>
      <c r="R8" s="3">
        <f t="shared" si="3"/>
        <v>0</v>
      </c>
      <c r="S8" s="3" t="s">
        <v>523</v>
      </c>
      <c r="T8" s="5" t="s">
        <v>353</v>
      </c>
      <c r="U8" s="6" t="s">
        <v>344</v>
      </c>
      <c r="V8" s="3">
        <f t="shared" si="4"/>
        <v>0</v>
      </c>
      <c r="W8" s="3" t="s">
        <v>523</v>
      </c>
      <c r="X8" s="5" t="s">
        <v>353</v>
      </c>
      <c r="Y8" s="6" t="s">
        <v>346</v>
      </c>
      <c r="Z8" s="3">
        <f t="shared" si="5"/>
        <v>0</v>
      </c>
      <c r="AA8" s="3" t="s">
        <v>521</v>
      </c>
      <c r="AB8" s="5" t="s">
        <v>352</v>
      </c>
      <c r="AC8" s="6" t="s">
        <v>348</v>
      </c>
      <c r="AD8" s="3">
        <f t="shared" si="6"/>
        <v>2</v>
      </c>
      <c r="AE8" s="3">
        <f t="shared" si="7"/>
        <v>14.5</v>
      </c>
      <c r="AF8" s="3" t="s">
        <v>96</v>
      </c>
    </row>
    <row r="9" spans="1:32" ht="48" x14ac:dyDescent="0.3">
      <c r="A9" s="3" t="s">
        <v>103</v>
      </c>
      <c r="B9" s="3" t="s">
        <v>104</v>
      </c>
      <c r="C9" s="3" t="s">
        <v>521</v>
      </c>
      <c r="D9" s="5" t="s">
        <v>355</v>
      </c>
      <c r="E9" s="6" t="s">
        <v>335</v>
      </c>
      <c r="F9" s="3">
        <f t="shared" si="0"/>
        <v>5</v>
      </c>
      <c r="G9" s="3" t="s">
        <v>521</v>
      </c>
      <c r="H9" s="5" t="s">
        <v>350</v>
      </c>
      <c r="I9" s="6" t="s">
        <v>337</v>
      </c>
      <c r="J9" s="3">
        <f t="shared" si="1"/>
        <v>5</v>
      </c>
      <c r="K9" s="3" t="s">
        <v>521</v>
      </c>
      <c r="L9" s="5" t="s">
        <v>358</v>
      </c>
      <c r="M9" s="6" t="s">
        <v>339</v>
      </c>
      <c r="N9" s="3">
        <f t="shared" si="2"/>
        <v>5</v>
      </c>
      <c r="O9" s="3" t="s">
        <v>523</v>
      </c>
      <c r="P9" s="5" t="s">
        <v>359</v>
      </c>
      <c r="Q9" s="6" t="s">
        <v>341</v>
      </c>
      <c r="R9" s="3">
        <f t="shared" si="3"/>
        <v>0</v>
      </c>
      <c r="S9" s="3" t="s">
        <v>523</v>
      </c>
      <c r="T9" s="5" t="s">
        <v>354</v>
      </c>
      <c r="U9" s="6" t="s">
        <v>344</v>
      </c>
      <c r="V9" s="3">
        <f t="shared" si="4"/>
        <v>0</v>
      </c>
      <c r="W9" s="3" t="s">
        <v>523</v>
      </c>
      <c r="X9" s="5" t="s">
        <v>354</v>
      </c>
      <c r="Y9" s="6" t="s">
        <v>346</v>
      </c>
      <c r="Z9" s="3">
        <f t="shared" si="5"/>
        <v>0</v>
      </c>
      <c r="AA9" s="3" t="s">
        <v>521</v>
      </c>
      <c r="AB9" s="5" t="s">
        <v>353</v>
      </c>
      <c r="AC9" s="6" t="s">
        <v>348</v>
      </c>
      <c r="AD9" s="3">
        <f t="shared" si="6"/>
        <v>2</v>
      </c>
      <c r="AE9" s="3">
        <f t="shared" si="7"/>
        <v>17</v>
      </c>
      <c r="AF9" s="3" t="s">
        <v>96</v>
      </c>
    </row>
    <row r="10" spans="1:32" ht="72" x14ac:dyDescent="0.3">
      <c r="A10" s="3" t="s">
        <v>105</v>
      </c>
      <c r="B10" s="3" t="s">
        <v>106</v>
      </c>
      <c r="C10" s="3" t="s">
        <v>521</v>
      </c>
      <c r="D10" s="5" t="s">
        <v>360</v>
      </c>
      <c r="E10" s="6" t="s">
        <v>335</v>
      </c>
      <c r="F10" s="3">
        <f t="shared" si="0"/>
        <v>5</v>
      </c>
      <c r="G10" s="3" t="s">
        <v>521</v>
      </c>
      <c r="H10" s="5" t="s">
        <v>350</v>
      </c>
      <c r="I10" s="6" t="s">
        <v>337</v>
      </c>
      <c r="J10" s="3">
        <f t="shared" si="1"/>
        <v>5</v>
      </c>
      <c r="K10" s="3" t="s">
        <v>521</v>
      </c>
      <c r="L10" s="5" t="s">
        <v>357</v>
      </c>
      <c r="M10" s="6" t="s">
        <v>339</v>
      </c>
      <c r="N10" s="3">
        <f t="shared" si="2"/>
        <v>5</v>
      </c>
      <c r="O10" s="3" t="s">
        <v>521</v>
      </c>
      <c r="P10" s="5" t="s">
        <v>361</v>
      </c>
      <c r="Q10" s="6" t="s">
        <v>341</v>
      </c>
      <c r="R10" s="3">
        <f t="shared" si="3"/>
        <v>4</v>
      </c>
      <c r="S10" s="3" t="s">
        <v>521</v>
      </c>
      <c r="T10" s="5" t="s">
        <v>353</v>
      </c>
      <c r="U10" s="6" t="s">
        <v>344</v>
      </c>
      <c r="V10" s="3">
        <f t="shared" si="4"/>
        <v>2</v>
      </c>
      <c r="W10" s="3" t="s">
        <v>521</v>
      </c>
      <c r="X10" s="5" t="s">
        <v>353</v>
      </c>
      <c r="Y10" s="6" t="s">
        <v>346</v>
      </c>
      <c r="Z10" s="3">
        <f t="shared" si="5"/>
        <v>2</v>
      </c>
      <c r="AA10" s="3" t="s">
        <v>521</v>
      </c>
      <c r="AB10" s="5" t="s">
        <v>359</v>
      </c>
      <c r="AC10" s="6" t="s">
        <v>348</v>
      </c>
      <c r="AD10" s="3">
        <f t="shared" si="6"/>
        <v>2</v>
      </c>
      <c r="AE10" s="3">
        <f t="shared" si="7"/>
        <v>25</v>
      </c>
      <c r="AF10" s="3" t="s">
        <v>96</v>
      </c>
    </row>
    <row r="11" spans="1:32" ht="60" x14ac:dyDescent="0.3">
      <c r="A11" s="3" t="s">
        <v>107</v>
      </c>
      <c r="B11" s="3" t="s">
        <v>108</v>
      </c>
      <c r="C11" s="3" t="s">
        <v>521</v>
      </c>
      <c r="D11" s="5" t="s">
        <v>355</v>
      </c>
      <c r="E11" s="6" t="s">
        <v>335</v>
      </c>
      <c r="F11" s="3">
        <f t="shared" si="0"/>
        <v>5</v>
      </c>
      <c r="G11" s="3" t="s">
        <v>521</v>
      </c>
      <c r="H11" s="5" t="s">
        <v>350</v>
      </c>
      <c r="I11" s="6" t="s">
        <v>337</v>
      </c>
      <c r="J11" s="3">
        <f t="shared" si="1"/>
        <v>5</v>
      </c>
      <c r="K11" s="3" t="s">
        <v>521</v>
      </c>
      <c r="L11" s="5" t="s">
        <v>362</v>
      </c>
      <c r="M11" s="6" t="s">
        <v>339</v>
      </c>
      <c r="N11" s="3">
        <f t="shared" si="2"/>
        <v>5</v>
      </c>
      <c r="O11" s="3" t="s">
        <v>523</v>
      </c>
      <c r="P11" s="5" t="s">
        <v>359</v>
      </c>
      <c r="Q11" s="6" t="s">
        <v>341</v>
      </c>
      <c r="R11" s="3">
        <f t="shared" si="3"/>
        <v>0</v>
      </c>
      <c r="S11" s="3" t="s">
        <v>523</v>
      </c>
      <c r="T11" s="5" t="s">
        <v>353</v>
      </c>
      <c r="U11" s="6" t="s">
        <v>344</v>
      </c>
      <c r="V11" s="3">
        <f t="shared" si="4"/>
        <v>0</v>
      </c>
      <c r="W11" s="3" t="s">
        <v>523</v>
      </c>
      <c r="X11" s="5" t="s">
        <v>353</v>
      </c>
      <c r="Y11" s="6" t="s">
        <v>346</v>
      </c>
      <c r="Z11" s="3">
        <f t="shared" si="5"/>
        <v>0</v>
      </c>
      <c r="AA11" s="3" t="s">
        <v>521</v>
      </c>
      <c r="AB11" s="5" t="s">
        <v>354</v>
      </c>
      <c r="AC11" s="6" t="s">
        <v>348</v>
      </c>
      <c r="AD11" s="3">
        <f t="shared" si="6"/>
        <v>2</v>
      </c>
      <c r="AE11" s="3">
        <f t="shared" si="7"/>
        <v>17</v>
      </c>
      <c r="AF11" s="3" t="s">
        <v>96</v>
      </c>
    </row>
    <row r="12" spans="1:32" ht="72" x14ac:dyDescent="0.3">
      <c r="A12" s="3" t="s">
        <v>109</v>
      </c>
      <c r="B12" s="3" t="s">
        <v>110</v>
      </c>
      <c r="C12" s="3" t="s">
        <v>521</v>
      </c>
      <c r="D12" s="5" t="s">
        <v>355</v>
      </c>
      <c r="E12" s="6" t="s">
        <v>335</v>
      </c>
      <c r="F12" s="3">
        <f t="shared" si="0"/>
        <v>5</v>
      </c>
      <c r="G12" s="3" t="s">
        <v>521</v>
      </c>
      <c r="H12" s="5" t="s">
        <v>350</v>
      </c>
      <c r="I12" s="6" t="s">
        <v>337</v>
      </c>
      <c r="J12" s="3">
        <f t="shared" si="1"/>
        <v>5</v>
      </c>
      <c r="K12" s="3" t="s">
        <v>521</v>
      </c>
      <c r="L12" s="5" t="s">
        <v>357</v>
      </c>
      <c r="M12" s="6" t="s">
        <v>339</v>
      </c>
      <c r="N12" s="3">
        <f t="shared" si="2"/>
        <v>5</v>
      </c>
      <c r="O12" s="3" t="s">
        <v>521</v>
      </c>
      <c r="P12" s="5" t="s">
        <v>363</v>
      </c>
      <c r="Q12" s="6" t="s">
        <v>341</v>
      </c>
      <c r="R12" s="3">
        <f t="shared" si="3"/>
        <v>4</v>
      </c>
      <c r="S12" s="3" t="s">
        <v>521</v>
      </c>
      <c r="T12" s="5" t="s">
        <v>353</v>
      </c>
      <c r="U12" s="6" t="s">
        <v>344</v>
      </c>
      <c r="V12" s="3">
        <f t="shared" si="4"/>
        <v>2</v>
      </c>
      <c r="W12" s="3" t="s">
        <v>521</v>
      </c>
      <c r="X12" s="5" t="s">
        <v>354</v>
      </c>
      <c r="Y12" s="6" t="s">
        <v>346</v>
      </c>
      <c r="Z12" s="3">
        <f t="shared" si="5"/>
        <v>2</v>
      </c>
      <c r="AA12" s="3" t="s">
        <v>521</v>
      </c>
      <c r="AB12" s="5" t="s">
        <v>359</v>
      </c>
      <c r="AC12" s="6" t="s">
        <v>348</v>
      </c>
      <c r="AD12" s="3">
        <f t="shared" si="6"/>
        <v>2</v>
      </c>
      <c r="AE12" s="3">
        <f t="shared" si="7"/>
        <v>25</v>
      </c>
      <c r="AF12" s="3" t="s">
        <v>96</v>
      </c>
    </row>
    <row r="13" spans="1:32" ht="72" x14ac:dyDescent="0.3">
      <c r="A13" s="3" t="s">
        <v>111</v>
      </c>
      <c r="B13" s="3" t="s">
        <v>112</v>
      </c>
      <c r="C13" s="3" t="s">
        <v>521</v>
      </c>
      <c r="D13" s="5" t="s">
        <v>355</v>
      </c>
      <c r="E13" s="6" t="s">
        <v>335</v>
      </c>
      <c r="F13" s="3">
        <f t="shared" si="0"/>
        <v>5</v>
      </c>
      <c r="G13" s="3" t="s">
        <v>521</v>
      </c>
      <c r="H13" s="5" t="s">
        <v>350</v>
      </c>
      <c r="I13" s="6" t="s">
        <v>337</v>
      </c>
      <c r="J13" s="3">
        <f t="shared" si="1"/>
        <v>5</v>
      </c>
      <c r="K13" s="3" t="s">
        <v>521</v>
      </c>
      <c r="L13" s="5" t="s">
        <v>357</v>
      </c>
      <c r="M13" s="6" t="s">
        <v>339</v>
      </c>
      <c r="N13" s="3">
        <f t="shared" si="2"/>
        <v>5</v>
      </c>
      <c r="O13" s="3" t="s">
        <v>521</v>
      </c>
      <c r="P13" s="5" t="s">
        <v>363</v>
      </c>
      <c r="Q13" s="6" t="s">
        <v>341</v>
      </c>
      <c r="R13" s="3">
        <f t="shared" si="3"/>
        <v>4</v>
      </c>
      <c r="S13" s="3" t="s">
        <v>521</v>
      </c>
      <c r="T13" s="5" t="s">
        <v>359</v>
      </c>
      <c r="U13" s="6" t="s">
        <v>344</v>
      </c>
      <c r="V13" s="3">
        <f t="shared" si="4"/>
        <v>2</v>
      </c>
      <c r="W13" s="3" t="s">
        <v>521</v>
      </c>
      <c r="X13" s="5" t="s">
        <v>354</v>
      </c>
      <c r="Y13" s="6" t="s">
        <v>346</v>
      </c>
      <c r="Z13" s="3">
        <f t="shared" si="5"/>
        <v>2</v>
      </c>
      <c r="AA13" s="3" t="s">
        <v>521</v>
      </c>
      <c r="AB13" s="5" t="s">
        <v>353</v>
      </c>
      <c r="AC13" s="6" t="s">
        <v>348</v>
      </c>
      <c r="AD13" s="3">
        <f t="shared" si="6"/>
        <v>2</v>
      </c>
      <c r="AE13" s="3">
        <f t="shared" si="7"/>
        <v>25</v>
      </c>
      <c r="AF13" s="3" t="s">
        <v>96</v>
      </c>
    </row>
    <row r="14" spans="1:32" ht="72" x14ac:dyDescent="0.3">
      <c r="A14" s="3" t="s">
        <v>113</v>
      </c>
      <c r="B14" s="3" t="s">
        <v>114</v>
      </c>
      <c r="C14" s="3" t="s">
        <v>521</v>
      </c>
      <c r="D14" s="5" t="s">
        <v>355</v>
      </c>
      <c r="E14" s="6" t="s">
        <v>335</v>
      </c>
      <c r="F14" s="3">
        <f t="shared" si="0"/>
        <v>5</v>
      </c>
      <c r="G14" s="3" t="s">
        <v>521</v>
      </c>
      <c r="H14" s="5" t="s">
        <v>350</v>
      </c>
      <c r="I14" s="6" t="s">
        <v>337</v>
      </c>
      <c r="J14" s="3">
        <f t="shared" si="1"/>
        <v>5</v>
      </c>
      <c r="K14" s="3" t="s">
        <v>521</v>
      </c>
      <c r="L14" s="5" t="s">
        <v>357</v>
      </c>
      <c r="M14" s="6" t="s">
        <v>339</v>
      </c>
      <c r="N14" s="3">
        <f t="shared" si="2"/>
        <v>5</v>
      </c>
      <c r="O14" s="3" t="s">
        <v>521</v>
      </c>
      <c r="P14" s="5" t="s">
        <v>352</v>
      </c>
      <c r="Q14" s="6" t="s">
        <v>341</v>
      </c>
      <c r="R14" s="3">
        <f t="shared" si="3"/>
        <v>4</v>
      </c>
      <c r="S14" s="3" t="s">
        <v>521</v>
      </c>
      <c r="T14" s="5" t="s">
        <v>352</v>
      </c>
      <c r="U14" s="6" t="s">
        <v>344</v>
      </c>
      <c r="V14" s="3">
        <f t="shared" si="4"/>
        <v>2</v>
      </c>
      <c r="W14" s="3" t="s">
        <v>521</v>
      </c>
      <c r="X14" s="5" t="s">
        <v>352</v>
      </c>
      <c r="Y14" s="6" t="s">
        <v>346</v>
      </c>
      <c r="Z14" s="3">
        <f t="shared" si="5"/>
        <v>2</v>
      </c>
      <c r="AA14" s="3" t="s">
        <v>521</v>
      </c>
      <c r="AB14" s="5" t="s">
        <v>359</v>
      </c>
      <c r="AC14" s="6" t="s">
        <v>348</v>
      </c>
      <c r="AD14" s="3">
        <f t="shared" si="6"/>
        <v>2</v>
      </c>
      <c r="AE14" s="3">
        <f t="shared" si="7"/>
        <v>25</v>
      </c>
      <c r="AF14" s="3" t="s">
        <v>96</v>
      </c>
    </row>
    <row r="15" spans="1:32" ht="72" x14ac:dyDescent="0.3">
      <c r="A15" s="3" t="s">
        <v>113</v>
      </c>
      <c r="B15" s="3" t="s">
        <v>115</v>
      </c>
      <c r="C15" s="3" t="s">
        <v>521</v>
      </c>
      <c r="D15" s="5" t="s">
        <v>355</v>
      </c>
      <c r="E15" s="6" t="s">
        <v>335</v>
      </c>
      <c r="F15" s="3">
        <f t="shared" si="0"/>
        <v>5</v>
      </c>
      <c r="G15" s="3" t="s">
        <v>521</v>
      </c>
      <c r="H15" s="5" t="s">
        <v>350</v>
      </c>
      <c r="I15" s="6" t="s">
        <v>337</v>
      </c>
      <c r="J15" s="3">
        <f t="shared" si="1"/>
        <v>5</v>
      </c>
      <c r="K15" s="3" t="s">
        <v>521</v>
      </c>
      <c r="L15" s="5" t="s">
        <v>357</v>
      </c>
      <c r="M15" s="6" t="s">
        <v>339</v>
      </c>
      <c r="N15" s="3">
        <f t="shared" si="2"/>
        <v>5</v>
      </c>
      <c r="O15" s="3" t="s">
        <v>521</v>
      </c>
      <c r="P15" s="5" t="s">
        <v>364</v>
      </c>
      <c r="Q15" s="6" t="s">
        <v>341</v>
      </c>
      <c r="R15" s="3">
        <f t="shared" si="3"/>
        <v>4</v>
      </c>
      <c r="S15" s="3" t="s">
        <v>521</v>
      </c>
      <c r="T15" s="5" t="s">
        <v>353</v>
      </c>
      <c r="U15" s="6" t="s">
        <v>344</v>
      </c>
      <c r="V15" s="3">
        <f t="shared" si="4"/>
        <v>2</v>
      </c>
      <c r="W15" s="3" t="s">
        <v>521</v>
      </c>
      <c r="X15" s="5" t="s">
        <v>353</v>
      </c>
      <c r="Y15" s="6" t="s">
        <v>346</v>
      </c>
      <c r="Z15" s="3">
        <f t="shared" si="5"/>
        <v>2</v>
      </c>
      <c r="AA15" s="3" t="s">
        <v>521</v>
      </c>
      <c r="AB15" s="5" t="s">
        <v>353</v>
      </c>
      <c r="AC15" s="6" t="s">
        <v>348</v>
      </c>
      <c r="AD15" s="3">
        <f t="shared" si="6"/>
        <v>2</v>
      </c>
      <c r="AE15" s="3">
        <f t="shared" si="7"/>
        <v>25</v>
      </c>
      <c r="AF15" s="3" t="s">
        <v>96</v>
      </c>
    </row>
    <row r="16" spans="1:32" ht="72" x14ac:dyDescent="0.3">
      <c r="A16" s="3" t="s">
        <v>116</v>
      </c>
      <c r="B16" s="3" t="s">
        <v>117</v>
      </c>
      <c r="C16" s="3" t="s">
        <v>521</v>
      </c>
      <c r="D16" s="5" t="s">
        <v>365</v>
      </c>
      <c r="E16" s="6" t="s">
        <v>335</v>
      </c>
      <c r="F16" s="3">
        <f t="shared" si="0"/>
        <v>5</v>
      </c>
      <c r="G16" s="3" t="s">
        <v>521</v>
      </c>
      <c r="H16" s="5" t="s">
        <v>350</v>
      </c>
      <c r="I16" s="6" t="s">
        <v>337</v>
      </c>
      <c r="J16" s="3">
        <f t="shared" si="1"/>
        <v>5</v>
      </c>
      <c r="K16" s="3" t="s">
        <v>521</v>
      </c>
      <c r="L16" s="5" t="s">
        <v>366</v>
      </c>
      <c r="M16" s="6" t="s">
        <v>339</v>
      </c>
      <c r="N16" s="3">
        <f t="shared" si="2"/>
        <v>5</v>
      </c>
      <c r="O16" s="3" t="s">
        <v>521</v>
      </c>
      <c r="P16" s="5" t="s">
        <v>367</v>
      </c>
      <c r="Q16" s="6" t="s">
        <v>341</v>
      </c>
      <c r="R16" s="3">
        <f t="shared" si="3"/>
        <v>4</v>
      </c>
      <c r="S16" s="3" t="s">
        <v>521</v>
      </c>
      <c r="T16" s="5" t="s">
        <v>353</v>
      </c>
      <c r="U16" s="6" t="s">
        <v>344</v>
      </c>
      <c r="V16" s="3">
        <f t="shared" si="4"/>
        <v>2</v>
      </c>
      <c r="W16" s="3" t="s">
        <v>521</v>
      </c>
      <c r="X16" s="5" t="s">
        <v>353</v>
      </c>
      <c r="Y16" s="6" t="s">
        <v>346</v>
      </c>
      <c r="Z16" s="3">
        <f t="shared" si="5"/>
        <v>2</v>
      </c>
      <c r="AA16" s="3" t="s">
        <v>521</v>
      </c>
      <c r="AB16" s="5" t="s">
        <v>353</v>
      </c>
      <c r="AC16" s="6" t="s">
        <v>348</v>
      </c>
      <c r="AD16" s="3">
        <f t="shared" si="6"/>
        <v>2</v>
      </c>
      <c r="AE16" s="3">
        <f t="shared" si="7"/>
        <v>25</v>
      </c>
      <c r="AF16" s="3" t="s">
        <v>96</v>
      </c>
    </row>
    <row r="17" spans="1:32" ht="60" x14ac:dyDescent="0.3">
      <c r="A17" s="3" t="s">
        <v>118</v>
      </c>
      <c r="B17" s="3" t="s">
        <v>119</v>
      </c>
      <c r="C17" s="3" t="s">
        <v>521</v>
      </c>
      <c r="D17" s="5" t="s">
        <v>355</v>
      </c>
      <c r="E17" s="6" t="s">
        <v>335</v>
      </c>
      <c r="F17" s="3">
        <f t="shared" si="0"/>
        <v>5</v>
      </c>
      <c r="G17" s="3" t="s">
        <v>521</v>
      </c>
      <c r="H17" s="5" t="s">
        <v>350</v>
      </c>
      <c r="I17" s="6" t="s">
        <v>337</v>
      </c>
      <c r="J17" s="3">
        <f t="shared" si="1"/>
        <v>5</v>
      </c>
      <c r="K17" s="3" t="s">
        <v>521</v>
      </c>
      <c r="L17" s="5" t="s">
        <v>351</v>
      </c>
      <c r="M17" s="6" t="s">
        <v>339</v>
      </c>
      <c r="N17" s="3">
        <f t="shared" si="2"/>
        <v>5</v>
      </c>
      <c r="O17" s="3" t="s">
        <v>521</v>
      </c>
      <c r="P17" s="5" t="s">
        <v>363</v>
      </c>
      <c r="Q17" s="6" t="s">
        <v>341</v>
      </c>
      <c r="R17" s="3">
        <f t="shared" si="3"/>
        <v>4</v>
      </c>
      <c r="S17" s="3" t="s">
        <v>523</v>
      </c>
      <c r="T17" s="5" t="s">
        <v>353</v>
      </c>
      <c r="U17" s="6" t="s">
        <v>344</v>
      </c>
      <c r="V17" s="3">
        <f t="shared" si="4"/>
        <v>0</v>
      </c>
      <c r="W17" s="3" t="s">
        <v>523</v>
      </c>
      <c r="X17" s="5" t="s">
        <v>353</v>
      </c>
      <c r="Y17" s="6" t="s">
        <v>346</v>
      </c>
      <c r="Z17" s="3">
        <f t="shared" si="5"/>
        <v>0</v>
      </c>
      <c r="AA17" s="3" t="s">
        <v>521</v>
      </c>
      <c r="AB17" s="5" t="s">
        <v>353</v>
      </c>
      <c r="AC17" s="6" t="s">
        <v>348</v>
      </c>
      <c r="AD17" s="3">
        <f t="shared" si="6"/>
        <v>2</v>
      </c>
      <c r="AE17" s="3">
        <f t="shared" si="7"/>
        <v>21</v>
      </c>
      <c r="AF17" s="3" t="s">
        <v>96</v>
      </c>
    </row>
    <row r="18" spans="1:32" ht="48" x14ac:dyDescent="0.3">
      <c r="A18" s="3" t="s">
        <v>120</v>
      </c>
      <c r="B18" s="3" t="s">
        <v>121</v>
      </c>
      <c r="C18" s="3" t="s">
        <v>521</v>
      </c>
      <c r="D18" s="5" t="s">
        <v>368</v>
      </c>
      <c r="E18" s="6" t="s">
        <v>335</v>
      </c>
      <c r="F18" s="3">
        <f t="shared" si="0"/>
        <v>5</v>
      </c>
      <c r="G18" s="3" t="s">
        <v>521</v>
      </c>
      <c r="H18" s="5" t="s">
        <v>350</v>
      </c>
      <c r="I18" s="6" t="s">
        <v>337</v>
      </c>
      <c r="J18" s="3">
        <f t="shared" si="1"/>
        <v>5</v>
      </c>
      <c r="K18" s="3" t="s">
        <v>521</v>
      </c>
      <c r="L18" s="5" t="s">
        <v>369</v>
      </c>
      <c r="M18" s="6" t="s">
        <v>339</v>
      </c>
      <c r="N18" s="3">
        <f t="shared" si="2"/>
        <v>5</v>
      </c>
      <c r="O18" s="3" t="s">
        <v>523</v>
      </c>
      <c r="P18" s="5" t="s">
        <v>352</v>
      </c>
      <c r="Q18" s="6" t="s">
        <v>341</v>
      </c>
      <c r="R18" s="3">
        <f t="shared" si="3"/>
        <v>0</v>
      </c>
      <c r="S18" s="3" t="s">
        <v>521</v>
      </c>
      <c r="T18" s="5" t="s">
        <v>353</v>
      </c>
      <c r="U18" s="6" t="s">
        <v>344</v>
      </c>
      <c r="V18" s="3">
        <f t="shared" si="4"/>
        <v>2</v>
      </c>
      <c r="W18" s="3" t="s">
        <v>523</v>
      </c>
      <c r="X18" s="5" t="s">
        <v>354</v>
      </c>
      <c r="Y18" s="6" t="s">
        <v>346</v>
      </c>
      <c r="Z18" s="3">
        <f t="shared" si="5"/>
        <v>0</v>
      </c>
      <c r="AA18" s="3" t="s">
        <v>521</v>
      </c>
      <c r="AB18" s="5" t="s">
        <v>359</v>
      </c>
      <c r="AC18" s="6" t="s">
        <v>348</v>
      </c>
      <c r="AD18" s="3">
        <f t="shared" si="6"/>
        <v>2</v>
      </c>
      <c r="AE18" s="3">
        <f t="shared" si="7"/>
        <v>19</v>
      </c>
      <c r="AF18" s="3" t="s">
        <v>96</v>
      </c>
    </row>
    <row r="19" spans="1:32" ht="72" x14ac:dyDescent="0.3">
      <c r="A19" s="3" t="s">
        <v>122</v>
      </c>
      <c r="B19" s="3" t="s">
        <v>123</v>
      </c>
      <c r="C19" s="3" t="s">
        <v>521</v>
      </c>
      <c r="D19" s="5" t="s">
        <v>368</v>
      </c>
      <c r="E19" s="6" t="s">
        <v>335</v>
      </c>
      <c r="F19" s="3">
        <f t="shared" si="0"/>
        <v>5</v>
      </c>
      <c r="G19" s="3" t="s">
        <v>521</v>
      </c>
      <c r="H19" s="5" t="s">
        <v>350</v>
      </c>
      <c r="I19" s="6" t="s">
        <v>337</v>
      </c>
      <c r="J19" s="3">
        <f t="shared" si="1"/>
        <v>5</v>
      </c>
      <c r="K19" s="3" t="s">
        <v>521</v>
      </c>
      <c r="L19" s="5" t="s">
        <v>357</v>
      </c>
      <c r="M19" s="6" t="s">
        <v>339</v>
      </c>
      <c r="N19" s="3">
        <f t="shared" si="2"/>
        <v>5</v>
      </c>
      <c r="O19" s="3" t="s">
        <v>521</v>
      </c>
      <c r="P19" s="5" t="s">
        <v>363</v>
      </c>
      <c r="Q19" s="6" t="s">
        <v>341</v>
      </c>
      <c r="R19" s="3">
        <f t="shared" si="3"/>
        <v>4</v>
      </c>
      <c r="S19" s="3" t="s">
        <v>521</v>
      </c>
      <c r="T19" s="5" t="s">
        <v>353</v>
      </c>
      <c r="U19" s="6" t="s">
        <v>344</v>
      </c>
      <c r="V19" s="3">
        <f t="shared" si="4"/>
        <v>2</v>
      </c>
      <c r="W19" s="3" t="s">
        <v>523</v>
      </c>
      <c r="X19" s="5" t="s">
        <v>354</v>
      </c>
      <c r="Y19" s="6" t="s">
        <v>346</v>
      </c>
      <c r="Z19" s="3">
        <f t="shared" si="5"/>
        <v>0</v>
      </c>
      <c r="AA19" s="3" t="s">
        <v>521</v>
      </c>
      <c r="AB19" s="5" t="s">
        <v>353</v>
      </c>
      <c r="AC19" s="6" t="s">
        <v>348</v>
      </c>
      <c r="AD19" s="3">
        <f t="shared" si="6"/>
        <v>2</v>
      </c>
      <c r="AE19" s="3">
        <f t="shared" si="7"/>
        <v>23</v>
      </c>
      <c r="AF19" s="3" t="s">
        <v>96</v>
      </c>
    </row>
    <row r="20" spans="1:32" ht="72" x14ac:dyDescent="0.3">
      <c r="A20" s="3" t="s">
        <v>125</v>
      </c>
      <c r="B20" s="3" t="s">
        <v>126</v>
      </c>
      <c r="C20" s="3" t="s">
        <v>521</v>
      </c>
      <c r="D20" s="5" t="s">
        <v>355</v>
      </c>
      <c r="E20" s="6" t="s">
        <v>335</v>
      </c>
      <c r="F20" s="3">
        <f t="shared" si="0"/>
        <v>5</v>
      </c>
      <c r="G20" s="3" t="s">
        <v>521</v>
      </c>
      <c r="H20" s="5" t="s">
        <v>350</v>
      </c>
      <c r="I20" s="6" t="s">
        <v>337</v>
      </c>
      <c r="J20" s="3">
        <f t="shared" si="1"/>
        <v>5</v>
      </c>
      <c r="K20" s="3" t="s">
        <v>521</v>
      </c>
      <c r="L20" s="5" t="s">
        <v>357</v>
      </c>
      <c r="M20" s="6" t="s">
        <v>339</v>
      </c>
      <c r="N20" s="3">
        <f t="shared" si="2"/>
        <v>5</v>
      </c>
      <c r="O20" s="3" t="s">
        <v>523</v>
      </c>
      <c r="P20" s="5" t="s">
        <v>370</v>
      </c>
      <c r="Q20" s="6" t="s">
        <v>341</v>
      </c>
      <c r="R20" s="3">
        <f t="shared" si="3"/>
        <v>0</v>
      </c>
      <c r="S20" s="3" t="s">
        <v>523</v>
      </c>
      <c r="T20" s="5" t="s">
        <v>354</v>
      </c>
      <c r="U20" s="6" t="s">
        <v>344</v>
      </c>
      <c r="V20" s="3">
        <f t="shared" si="4"/>
        <v>0</v>
      </c>
      <c r="W20" s="3" t="s">
        <v>523</v>
      </c>
      <c r="X20" s="5" t="s">
        <v>354</v>
      </c>
      <c r="Y20" s="6" t="s">
        <v>346</v>
      </c>
      <c r="Z20" s="3">
        <f t="shared" si="5"/>
        <v>0</v>
      </c>
      <c r="AA20" s="3" t="s">
        <v>521</v>
      </c>
      <c r="AB20" s="5" t="s">
        <v>354</v>
      </c>
      <c r="AC20" s="6" t="s">
        <v>348</v>
      </c>
      <c r="AD20" s="3">
        <f t="shared" si="6"/>
        <v>2</v>
      </c>
      <c r="AE20" s="3">
        <f t="shared" si="7"/>
        <v>17</v>
      </c>
      <c r="AF20" s="3" t="s">
        <v>96</v>
      </c>
    </row>
    <row r="21" spans="1:32" ht="72" x14ac:dyDescent="0.3">
      <c r="A21" s="3" t="s">
        <v>127</v>
      </c>
      <c r="B21" s="3" t="s">
        <v>128</v>
      </c>
      <c r="C21" s="3" t="s">
        <v>522</v>
      </c>
      <c r="D21" s="5" t="s">
        <v>371</v>
      </c>
      <c r="E21" s="6" t="s">
        <v>335</v>
      </c>
      <c r="F21" s="3">
        <f t="shared" si="0"/>
        <v>0</v>
      </c>
      <c r="G21" s="3" t="s">
        <v>522</v>
      </c>
      <c r="H21" s="5" t="s">
        <v>206</v>
      </c>
      <c r="I21" s="6" t="s">
        <v>337</v>
      </c>
      <c r="J21" s="3">
        <f t="shared" si="1"/>
        <v>0</v>
      </c>
      <c r="K21" s="3" t="s">
        <v>522</v>
      </c>
      <c r="L21" s="5" t="s">
        <v>372</v>
      </c>
      <c r="M21" s="6" t="s">
        <v>339</v>
      </c>
      <c r="N21" s="3">
        <f t="shared" si="2"/>
        <v>0</v>
      </c>
      <c r="O21" s="3" t="s">
        <v>523</v>
      </c>
      <c r="P21" s="5" t="s">
        <v>354</v>
      </c>
      <c r="Q21" s="6" t="s">
        <v>341</v>
      </c>
      <c r="R21" s="3">
        <f t="shared" si="3"/>
        <v>0</v>
      </c>
      <c r="S21" s="3" t="s">
        <v>523</v>
      </c>
      <c r="T21" s="5" t="s">
        <v>354</v>
      </c>
      <c r="U21" s="6" t="s">
        <v>344</v>
      </c>
      <c r="V21" s="3">
        <f t="shared" si="4"/>
        <v>0</v>
      </c>
      <c r="W21" s="3" t="s">
        <v>523</v>
      </c>
      <c r="X21" s="5" t="s">
        <v>354</v>
      </c>
      <c r="Y21" s="6" t="s">
        <v>346</v>
      </c>
      <c r="Z21" s="3">
        <f t="shared" si="5"/>
        <v>0</v>
      </c>
      <c r="AA21" s="3" t="s">
        <v>522</v>
      </c>
      <c r="AB21" s="5" t="s">
        <v>354</v>
      </c>
      <c r="AC21" s="6" t="s">
        <v>348</v>
      </c>
      <c r="AD21" s="3">
        <f t="shared" si="6"/>
        <v>0</v>
      </c>
      <c r="AE21" s="3">
        <f t="shared" si="7"/>
        <v>0</v>
      </c>
      <c r="AF21" s="3" t="s">
        <v>96</v>
      </c>
    </row>
    <row r="22" spans="1:32" ht="48" x14ac:dyDescent="0.3">
      <c r="A22" s="3" t="s">
        <v>130</v>
      </c>
      <c r="B22" s="3" t="s">
        <v>131</v>
      </c>
      <c r="C22" s="3" t="s">
        <v>521</v>
      </c>
      <c r="D22" s="5" t="s">
        <v>355</v>
      </c>
      <c r="E22" s="6" t="s">
        <v>335</v>
      </c>
      <c r="F22" s="3">
        <f t="shared" si="0"/>
        <v>5</v>
      </c>
      <c r="G22" s="3" t="s">
        <v>521</v>
      </c>
      <c r="H22" s="5" t="s">
        <v>350</v>
      </c>
      <c r="I22" s="6" t="s">
        <v>337</v>
      </c>
      <c r="J22" s="3">
        <f t="shared" si="1"/>
        <v>5</v>
      </c>
      <c r="K22" s="3" t="s">
        <v>521</v>
      </c>
      <c r="L22" s="5" t="s">
        <v>373</v>
      </c>
      <c r="M22" s="6" t="s">
        <v>339</v>
      </c>
      <c r="N22" s="3">
        <f t="shared" si="2"/>
        <v>5</v>
      </c>
      <c r="O22" s="3" t="s">
        <v>523</v>
      </c>
      <c r="P22" s="5" t="s">
        <v>359</v>
      </c>
      <c r="Q22" s="6" t="s">
        <v>341</v>
      </c>
      <c r="R22" s="3">
        <f t="shared" si="3"/>
        <v>0</v>
      </c>
      <c r="S22" s="3" t="s">
        <v>521</v>
      </c>
      <c r="T22" s="5" t="s">
        <v>353</v>
      </c>
      <c r="U22" s="6" t="s">
        <v>344</v>
      </c>
      <c r="V22" s="3">
        <f t="shared" si="4"/>
        <v>2</v>
      </c>
      <c r="W22" s="3" t="s">
        <v>521</v>
      </c>
      <c r="X22" s="5" t="s">
        <v>353</v>
      </c>
      <c r="Y22" s="6" t="s">
        <v>346</v>
      </c>
      <c r="Z22" s="3">
        <f t="shared" si="5"/>
        <v>2</v>
      </c>
      <c r="AA22" s="3" t="s">
        <v>521</v>
      </c>
      <c r="AB22" s="5" t="s">
        <v>353</v>
      </c>
      <c r="AC22" s="6" t="s">
        <v>348</v>
      </c>
      <c r="AD22" s="3">
        <f t="shared" si="6"/>
        <v>2</v>
      </c>
      <c r="AE22" s="3">
        <f t="shared" si="7"/>
        <v>21</v>
      </c>
      <c r="AF22" s="3" t="s">
        <v>96</v>
      </c>
    </row>
    <row r="23" spans="1:32" ht="48" x14ac:dyDescent="0.3">
      <c r="A23" s="3" t="s">
        <v>132</v>
      </c>
      <c r="B23" s="3" t="s">
        <v>133</v>
      </c>
      <c r="C23" s="3" t="s">
        <v>521</v>
      </c>
      <c r="D23" s="5" t="s">
        <v>355</v>
      </c>
      <c r="E23" s="6" t="s">
        <v>335</v>
      </c>
      <c r="F23" s="3">
        <f t="shared" si="0"/>
        <v>5</v>
      </c>
      <c r="G23" s="3" t="s">
        <v>521</v>
      </c>
      <c r="H23" s="5" t="s">
        <v>350</v>
      </c>
      <c r="I23" s="6" t="s">
        <v>337</v>
      </c>
      <c r="J23" s="3">
        <f t="shared" si="1"/>
        <v>5</v>
      </c>
      <c r="K23" s="3" t="s">
        <v>521</v>
      </c>
      <c r="L23" s="5" t="s">
        <v>374</v>
      </c>
      <c r="M23" s="6" t="s">
        <v>339</v>
      </c>
      <c r="N23" s="3">
        <f t="shared" si="2"/>
        <v>5</v>
      </c>
      <c r="O23" s="3" t="s">
        <v>521</v>
      </c>
      <c r="P23" s="5" t="s">
        <v>352</v>
      </c>
      <c r="Q23" s="6" t="s">
        <v>341</v>
      </c>
      <c r="R23" s="3">
        <f t="shared" si="3"/>
        <v>4</v>
      </c>
      <c r="S23" s="3" t="s">
        <v>521</v>
      </c>
      <c r="T23" s="5" t="s">
        <v>353</v>
      </c>
      <c r="U23" s="6" t="s">
        <v>344</v>
      </c>
      <c r="V23" s="3">
        <f t="shared" si="4"/>
        <v>2</v>
      </c>
      <c r="W23" s="3" t="s">
        <v>521</v>
      </c>
      <c r="X23" s="5" t="s">
        <v>353</v>
      </c>
      <c r="Y23" s="6" t="s">
        <v>346</v>
      </c>
      <c r="Z23" s="3">
        <f t="shared" si="5"/>
        <v>2</v>
      </c>
      <c r="AA23" s="3" t="s">
        <v>521</v>
      </c>
      <c r="AB23" s="5" t="s">
        <v>354</v>
      </c>
      <c r="AC23" s="6" t="s">
        <v>348</v>
      </c>
      <c r="AD23" s="3">
        <f t="shared" si="6"/>
        <v>2</v>
      </c>
      <c r="AE23" s="3">
        <f t="shared" si="7"/>
        <v>25</v>
      </c>
      <c r="AF23" s="3" t="s">
        <v>96</v>
      </c>
    </row>
    <row r="24" spans="1:32" ht="48" x14ac:dyDescent="0.3">
      <c r="A24" s="3" t="s">
        <v>134</v>
      </c>
      <c r="B24" s="3" t="s">
        <v>135</v>
      </c>
      <c r="C24" s="3" t="s">
        <v>521</v>
      </c>
      <c r="D24" s="5" t="s">
        <v>355</v>
      </c>
      <c r="E24" s="6" t="s">
        <v>335</v>
      </c>
      <c r="F24" s="3">
        <f t="shared" si="0"/>
        <v>5</v>
      </c>
      <c r="G24" s="3" t="s">
        <v>521</v>
      </c>
      <c r="H24" s="5" t="s">
        <v>350</v>
      </c>
      <c r="I24" s="6" t="s">
        <v>337</v>
      </c>
      <c r="J24" s="3">
        <f t="shared" si="1"/>
        <v>5</v>
      </c>
      <c r="K24" s="3" t="s">
        <v>521</v>
      </c>
      <c r="L24" s="5" t="s">
        <v>375</v>
      </c>
      <c r="M24" s="6" t="s">
        <v>339</v>
      </c>
      <c r="N24" s="3">
        <f t="shared" si="2"/>
        <v>5</v>
      </c>
      <c r="O24" s="3" t="s">
        <v>521</v>
      </c>
      <c r="P24" s="5" t="s">
        <v>364</v>
      </c>
      <c r="Q24" s="6" t="s">
        <v>341</v>
      </c>
      <c r="R24" s="3">
        <f t="shared" si="3"/>
        <v>4</v>
      </c>
      <c r="S24" s="3" t="s">
        <v>521</v>
      </c>
      <c r="T24" s="5" t="s">
        <v>353</v>
      </c>
      <c r="U24" s="6" t="s">
        <v>344</v>
      </c>
      <c r="V24" s="3">
        <f t="shared" si="4"/>
        <v>2</v>
      </c>
      <c r="W24" s="3" t="s">
        <v>523</v>
      </c>
      <c r="X24" s="5" t="s">
        <v>353</v>
      </c>
      <c r="Y24" s="6" t="s">
        <v>346</v>
      </c>
      <c r="Z24" s="3">
        <f t="shared" si="5"/>
        <v>0</v>
      </c>
      <c r="AA24" s="3" t="s">
        <v>521</v>
      </c>
      <c r="AB24" s="5" t="s">
        <v>353</v>
      </c>
      <c r="AC24" s="6" t="s">
        <v>348</v>
      </c>
      <c r="AD24" s="3">
        <f t="shared" si="6"/>
        <v>2</v>
      </c>
      <c r="AE24" s="3">
        <f t="shared" si="7"/>
        <v>23</v>
      </c>
      <c r="AF24" s="3" t="s">
        <v>96</v>
      </c>
    </row>
    <row r="25" spans="1:32" ht="48" x14ac:dyDescent="0.3">
      <c r="A25" s="3" t="s">
        <v>136</v>
      </c>
      <c r="B25" s="3" t="s">
        <v>137</v>
      </c>
      <c r="C25" s="3" t="s">
        <v>521</v>
      </c>
      <c r="D25" s="5" t="s">
        <v>368</v>
      </c>
      <c r="E25" s="6" t="s">
        <v>335</v>
      </c>
      <c r="F25" s="3">
        <f t="shared" si="0"/>
        <v>5</v>
      </c>
      <c r="G25" s="3" t="s">
        <v>521</v>
      </c>
      <c r="H25" s="5" t="s">
        <v>350</v>
      </c>
      <c r="I25" s="6" t="s">
        <v>337</v>
      </c>
      <c r="J25" s="3">
        <f t="shared" si="1"/>
        <v>5</v>
      </c>
      <c r="K25" s="3" t="s">
        <v>521</v>
      </c>
      <c r="L25" s="5" t="s">
        <v>376</v>
      </c>
      <c r="M25" s="6" t="s">
        <v>339</v>
      </c>
      <c r="N25" s="3">
        <f t="shared" si="2"/>
        <v>5</v>
      </c>
      <c r="O25" s="3" t="s">
        <v>523</v>
      </c>
      <c r="P25" s="5" t="s">
        <v>353</v>
      </c>
      <c r="Q25" s="6" t="s">
        <v>341</v>
      </c>
      <c r="R25" s="3">
        <f t="shared" si="3"/>
        <v>0</v>
      </c>
      <c r="S25" s="3" t="s">
        <v>523</v>
      </c>
      <c r="T25" s="5" t="s">
        <v>353</v>
      </c>
      <c r="U25" s="6" t="s">
        <v>344</v>
      </c>
      <c r="V25" s="3">
        <f t="shared" si="4"/>
        <v>0</v>
      </c>
      <c r="W25" s="3" t="s">
        <v>523</v>
      </c>
      <c r="X25" s="5" t="s">
        <v>353</v>
      </c>
      <c r="Y25" s="6" t="s">
        <v>346</v>
      </c>
      <c r="Z25" s="3">
        <f t="shared" si="5"/>
        <v>0</v>
      </c>
      <c r="AA25" s="3" t="s">
        <v>521</v>
      </c>
      <c r="AB25" s="5" t="s">
        <v>354</v>
      </c>
      <c r="AC25" s="6" t="s">
        <v>348</v>
      </c>
      <c r="AD25" s="3">
        <f t="shared" si="6"/>
        <v>2</v>
      </c>
      <c r="AE25" s="3">
        <f t="shared" si="7"/>
        <v>17</v>
      </c>
      <c r="AF25" s="3" t="s">
        <v>96</v>
      </c>
    </row>
    <row r="26" spans="1:32" ht="72" x14ac:dyDescent="0.3">
      <c r="A26" s="3" t="s">
        <v>138</v>
      </c>
      <c r="B26" s="3" t="s">
        <v>139</v>
      </c>
      <c r="C26" s="3" t="s">
        <v>521</v>
      </c>
      <c r="D26" s="5" t="s">
        <v>355</v>
      </c>
      <c r="E26" s="6" t="s">
        <v>335</v>
      </c>
      <c r="F26" s="3">
        <f t="shared" si="0"/>
        <v>5</v>
      </c>
      <c r="G26" s="3" t="s">
        <v>521</v>
      </c>
      <c r="H26" s="5" t="s">
        <v>350</v>
      </c>
      <c r="I26" s="6" t="s">
        <v>337</v>
      </c>
      <c r="J26" s="3">
        <f t="shared" si="1"/>
        <v>5</v>
      </c>
      <c r="K26" s="3" t="s">
        <v>521</v>
      </c>
      <c r="L26" s="5" t="s">
        <v>377</v>
      </c>
      <c r="M26" s="6" t="s">
        <v>339</v>
      </c>
      <c r="N26" s="3">
        <f t="shared" si="2"/>
        <v>5</v>
      </c>
      <c r="O26" s="3" t="s">
        <v>523</v>
      </c>
      <c r="P26" s="5" t="s">
        <v>367</v>
      </c>
      <c r="Q26" s="6" t="s">
        <v>341</v>
      </c>
      <c r="R26" s="3">
        <f t="shared" si="3"/>
        <v>0</v>
      </c>
      <c r="S26" s="3" t="s">
        <v>523</v>
      </c>
      <c r="T26" s="5" t="s">
        <v>353</v>
      </c>
      <c r="U26" s="6" t="s">
        <v>344</v>
      </c>
      <c r="V26" s="3">
        <f t="shared" si="4"/>
        <v>0</v>
      </c>
      <c r="W26" s="3" t="s">
        <v>523</v>
      </c>
      <c r="X26" s="5" t="s">
        <v>353</v>
      </c>
      <c r="Y26" s="6" t="s">
        <v>346</v>
      </c>
      <c r="Z26" s="3">
        <f t="shared" si="5"/>
        <v>0</v>
      </c>
      <c r="AA26" s="3" t="s">
        <v>521</v>
      </c>
      <c r="AB26" s="5" t="s">
        <v>359</v>
      </c>
      <c r="AC26" s="6" t="s">
        <v>348</v>
      </c>
      <c r="AD26" s="3">
        <f t="shared" si="6"/>
        <v>2</v>
      </c>
      <c r="AE26" s="3">
        <f t="shared" si="7"/>
        <v>17</v>
      </c>
      <c r="AF26" s="3" t="s">
        <v>96</v>
      </c>
    </row>
    <row r="27" spans="1:32" ht="48" x14ac:dyDescent="0.3">
      <c r="A27" s="3" t="s">
        <v>140</v>
      </c>
      <c r="B27" s="3" t="s">
        <v>141</v>
      </c>
      <c r="C27" s="3" t="s">
        <v>521</v>
      </c>
      <c r="D27" s="5" t="s">
        <v>368</v>
      </c>
      <c r="E27" s="6" t="s">
        <v>335</v>
      </c>
      <c r="F27" s="3">
        <f t="shared" si="0"/>
        <v>5</v>
      </c>
      <c r="G27" s="3" t="s">
        <v>521</v>
      </c>
      <c r="H27" s="5" t="s">
        <v>350</v>
      </c>
      <c r="I27" s="6" t="s">
        <v>337</v>
      </c>
      <c r="J27" s="3">
        <f t="shared" si="1"/>
        <v>5</v>
      </c>
      <c r="K27" s="3" t="s">
        <v>521</v>
      </c>
      <c r="L27" s="5" t="s">
        <v>378</v>
      </c>
      <c r="M27" s="6" t="s">
        <v>339</v>
      </c>
      <c r="N27" s="3">
        <f t="shared" si="2"/>
        <v>5</v>
      </c>
      <c r="O27" s="3" t="s">
        <v>523</v>
      </c>
      <c r="P27" s="5" t="s">
        <v>353</v>
      </c>
      <c r="Q27" s="6" t="s">
        <v>341</v>
      </c>
      <c r="R27" s="3">
        <f t="shared" si="3"/>
        <v>0</v>
      </c>
      <c r="S27" s="3" t="s">
        <v>523</v>
      </c>
      <c r="T27" s="5" t="s">
        <v>354</v>
      </c>
      <c r="U27" s="6" t="s">
        <v>344</v>
      </c>
      <c r="V27" s="3">
        <f t="shared" si="4"/>
        <v>0</v>
      </c>
      <c r="W27" s="3" t="s">
        <v>523</v>
      </c>
      <c r="X27" s="5" t="s">
        <v>354</v>
      </c>
      <c r="Y27" s="6" t="s">
        <v>346</v>
      </c>
      <c r="Z27" s="3">
        <f t="shared" si="5"/>
        <v>0</v>
      </c>
      <c r="AA27" s="3" t="s">
        <v>521</v>
      </c>
      <c r="AB27" s="5" t="s">
        <v>352</v>
      </c>
      <c r="AC27" s="6" t="s">
        <v>348</v>
      </c>
      <c r="AD27" s="3">
        <f t="shared" si="6"/>
        <v>2</v>
      </c>
      <c r="AE27" s="3">
        <f t="shared" si="7"/>
        <v>17</v>
      </c>
      <c r="AF27" s="3" t="s">
        <v>96</v>
      </c>
    </row>
    <row r="28" spans="1:32" ht="72" x14ac:dyDescent="0.3">
      <c r="A28" s="3" t="s">
        <v>142</v>
      </c>
      <c r="B28" s="3" t="s">
        <v>143</v>
      </c>
      <c r="C28" s="3" t="s">
        <v>521</v>
      </c>
      <c r="D28" s="5" t="s">
        <v>355</v>
      </c>
      <c r="E28" s="6" t="s">
        <v>335</v>
      </c>
      <c r="F28" s="3">
        <f t="shared" si="0"/>
        <v>5</v>
      </c>
      <c r="G28" s="3" t="s">
        <v>524</v>
      </c>
      <c r="H28" s="5" t="s">
        <v>379</v>
      </c>
      <c r="I28" s="6" t="s">
        <v>337</v>
      </c>
      <c r="J28" s="3">
        <f t="shared" si="1"/>
        <v>2.5</v>
      </c>
      <c r="K28" s="3" t="s">
        <v>521</v>
      </c>
      <c r="L28" s="5" t="s">
        <v>357</v>
      </c>
      <c r="M28" s="6" t="s">
        <v>339</v>
      </c>
      <c r="N28" s="3">
        <f t="shared" si="2"/>
        <v>5</v>
      </c>
      <c r="O28" s="3" t="s">
        <v>523</v>
      </c>
      <c r="P28" s="5" t="s">
        <v>359</v>
      </c>
      <c r="Q28" s="6" t="s">
        <v>341</v>
      </c>
      <c r="R28" s="3">
        <f t="shared" si="3"/>
        <v>0</v>
      </c>
      <c r="S28" s="3" t="s">
        <v>521</v>
      </c>
      <c r="T28" s="5" t="s">
        <v>353</v>
      </c>
      <c r="U28" s="6" t="s">
        <v>344</v>
      </c>
      <c r="V28" s="3">
        <f t="shared" si="4"/>
        <v>2</v>
      </c>
      <c r="W28" s="3" t="s">
        <v>523</v>
      </c>
      <c r="X28" s="5" t="s">
        <v>354</v>
      </c>
      <c r="Y28" s="6" t="s">
        <v>346</v>
      </c>
      <c r="Z28" s="3">
        <f t="shared" si="5"/>
        <v>0</v>
      </c>
      <c r="AA28" s="3" t="s">
        <v>521</v>
      </c>
      <c r="AB28" s="5" t="s">
        <v>354</v>
      </c>
      <c r="AC28" s="6" t="s">
        <v>348</v>
      </c>
      <c r="AD28" s="3">
        <f t="shared" si="6"/>
        <v>2</v>
      </c>
      <c r="AE28" s="3">
        <f t="shared" si="7"/>
        <v>16.5</v>
      </c>
      <c r="AF28" s="3" t="s">
        <v>96</v>
      </c>
    </row>
    <row r="29" spans="1:32" ht="36" x14ac:dyDescent="0.3">
      <c r="A29" s="3" t="s">
        <v>144</v>
      </c>
      <c r="B29" s="3" t="s">
        <v>145</v>
      </c>
      <c r="C29" s="3" t="s">
        <v>522</v>
      </c>
      <c r="D29" s="5" t="s">
        <v>368</v>
      </c>
      <c r="E29" s="6" t="s">
        <v>335</v>
      </c>
      <c r="F29" s="3">
        <f t="shared" si="0"/>
        <v>0</v>
      </c>
      <c r="G29" s="3" t="s">
        <v>522</v>
      </c>
      <c r="H29" s="5" t="s">
        <v>379</v>
      </c>
      <c r="I29" s="6" t="s">
        <v>337</v>
      </c>
      <c r="J29" s="3">
        <f t="shared" si="1"/>
        <v>0</v>
      </c>
      <c r="K29" s="3" t="s">
        <v>522</v>
      </c>
      <c r="L29" s="5" t="s">
        <v>369</v>
      </c>
      <c r="M29" s="6" t="s">
        <v>339</v>
      </c>
      <c r="N29" s="3">
        <f t="shared" si="2"/>
        <v>0</v>
      </c>
      <c r="O29" s="3" t="s">
        <v>523</v>
      </c>
      <c r="P29" s="5" t="s">
        <v>359</v>
      </c>
      <c r="Q29" s="6" t="s">
        <v>341</v>
      </c>
      <c r="R29" s="3">
        <f t="shared" si="3"/>
        <v>0</v>
      </c>
      <c r="S29" s="3" t="s">
        <v>523</v>
      </c>
      <c r="T29" s="5" t="s">
        <v>353</v>
      </c>
      <c r="U29" s="6" t="s">
        <v>344</v>
      </c>
      <c r="V29" s="3">
        <f t="shared" si="4"/>
        <v>0</v>
      </c>
      <c r="W29" s="3" t="s">
        <v>523</v>
      </c>
      <c r="X29" s="5" t="s">
        <v>353</v>
      </c>
      <c r="Y29" s="6" t="s">
        <v>346</v>
      </c>
      <c r="Z29" s="3">
        <f t="shared" si="5"/>
        <v>0</v>
      </c>
      <c r="AA29" s="3" t="s">
        <v>522</v>
      </c>
      <c r="AB29" s="5" t="s">
        <v>359</v>
      </c>
      <c r="AC29" s="6" t="s">
        <v>348</v>
      </c>
      <c r="AD29" s="3">
        <f t="shared" si="6"/>
        <v>0</v>
      </c>
      <c r="AE29" s="3">
        <f t="shared" si="7"/>
        <v>0</v>
      </c>
      <c r="AF29" s="3" t="s">
        <v>96</v>
      </c>
    </row>
    <row r="30" spans="1:32" ht="48" x14ac:dyDescent="0.3">
      <c r="A30" s="3" t="s">
        <v>147</v>
      </c>
      <c r="B30" s="3" t="s">
        <v>148</v>
      </c>
      <c r="C30" s="3" t="s">
        <v>521</v>
      </c>
      <c r="D30" s="5" t="s">
        <v>368</v>
      </c>
      <c r="E30" s="6" t="s">
        <v>335</v>
      </c>
      <c r="F30" s="3">
        <f t="shared" si="0"/>
        <v>5</v>
      </c>
      <c r="G30" s="3" t="s">
        <v>521</v>
      </c>
      <c r="H30" s="5" t="s">
        <v>350</v>
      </c>
      <c r="I30" s="6" t="s">
        <v>337</v>
      </c>
      <c r="J30" s="3">
        <f t="shared" si="1"/>
        <v>5</v>
      </c>
      <c r="K30" s="3" t="s">
        <v>521</v>
      </c>
      <c r="L30" s="5" t="s">
        <v>380</v>
      </c>
      <c r="M30" s="6" t="s">
        <v>339</v>
      </c>
      <c r="N30" s="3">
        <f t="shared" si="2"/>
        <v>5</v>
      </c>
      <c r="O30" s="3" t="s">
        <v>521</v>
      </c>
      <c r="P30" s="5" t="s">
        <v>353</v>
      </c>
      <c r="Q30" s="6" t="s">
        <v>341</v>
      </c>
      <c r="R30" s="3">
        <f t="shared" si="3"/>
        <v>4</v>
      </c>
      <c r="S30" s="3" t="s">
        <v>521</v>
      </c>
      <c r="T30" s="5" t="s">
        <v>353</v>
      </c>
      <c r="U30" s="6" t="s">
        <v>344</v>
      </c>
      <c r="V30" s="3">
        <f t="shared" si="4"/>
        <v>2</v>
      </c>
      <c r="W30" s="3" t="s">
        <v>521</v>
      </c>
      <c r="X30" s="5" t="s">
        <v>353</v>
      </c>
      <c r="Y30" s="6" t="s">
        <v>346</v>
      </c>
      <c r="Z30" s="3">
        <f t="shared" si="5"/>
        <v>2</v>
      </c>
      <c r="AA30" s="3" t="s">
        <v>521</v>
      </c>
      <c r="AB30" s="5" t="s">
        <v>354</v>
      </c>
      <c r="AC30" s="6" t="s">
        <v>348</v>
      </c>
      <c r="AD30" s="3">
        <f t="shared" si="6"/>
        <v>2</v>
      </c>
      <c r="AE30" s="3">
        <f t="shared" si="7"/>
        <v>25</v>
      </c>
      <c r="AF30" s="3" t="s">
        <v>96</v>
      </c>
    </row>
    <row r="31" spans="1:32" ht="72" x14ac:dyDescent="0.3">
      <c r="A31" s="3" t="s">
        <v>149</v>
      </c>
      <c r="B31" s="3" t="s">
        <v>150</v>
      </c>
      <c r="C31" s="3" t="s">
        <v>522</v>
      </c>
      <c r="D31" s="5" t="s">
        <v>355</v>
      </c>
      <c r="E31" s="6" t="s">
        <v>335</v>
      </c>
      <c r="F31" s="3">
        <f t="shared" si="0"/>
        <v>0</v>
      </c>
      <c r="G31" s="3" t="s">
        <v>522</v>
      </c>
      <c r="H31" s="5" t="s">
        <v>350</v>
      </c>
      <c r="I31" s="6" t="s">
        <v>337</v>
      </c>
      <c r="J31" s="3">
        <f t="shared" si="1"/>
        <v>0</v>
      </c>
      <c r="K31" s="3" t="s">
        <v>522</v>
      </c>
      <c r="L31" s="5" t="s">
        <v>357</v>
      </c>
      <c r="M31" s="6" t="s">
        <v>339</v>
      </c>
      <c r="N31" s="3">
        <f t="shared" si="2"/>
        <v>0</v>
      </c>
      <c r="O31" s="3" t="s">
        <v>523</v>
      </c>
      <c r="P31" s="5" t="s">
        <v>352</v>
      </c>
      <c r="Q31" s="6" t="s">
        <v>341</v>
      </c>
      <c r="R31" s="3">
        <f t="shared" si="3"/>
        <v>0</v>
      </c>
      <c r="S31" s="3" t="s">
        <v>521</v>
      </c>
      <c r="T31" s="5" t="s">
        <v>353</v>
      </c>
      <c r="U31" s="6" t="s">
        <v>344</v>
      </c>
      <c r="V31" s="3">
        <f t="shared" si="4"/>
        <v>2</v>
      </c>
      <c r="W31" s="3" t="s">
        <v>523</v>
      </c>
      <c r="X31" s="5" t="s">
        <v>353</v>
      </c>
      <c r="Y31" s="6" t="s">
        <v>346</v>
      </c>
      <c r="Z31" s="3">
        <f t="shared" si="5"/>
        <v>0</v>
      </c>
      <c r="AA31" s="3" t="s">
        <v>521</v>
      </c>
      <c r="AB31" s="5" t="s">
        <v>353</v>
      </c>
      <c r="AC31" s="6" t="s">
        <v>348</v>
      </c>
      <c r="AD31" s="3">
        <f t="shared" si="6"/>
        <v>2</v>
      </c>
      <c r="AE31" s="3">
        <f t="shared" si="7"/>
        <v>4</v>
      </c>
      <c r="AF31" s="3" t="s">
        <v>96</v>
      </c>
    </row>
    <row r="32" spans="1:32" ht="72" x14ac:dyDescent="0.3">
      <c r="A32" s="3" t="s">
        <v>151</v>
      </c>
      <c r="B32" s="3" t="s">
        <v>152</v>
      </c>
      <c r="C32" s="3" t="s">
        <v>521</v>
      </c>
      <c r="D32" s="5" t="s">
        <v>355</v>
      </c>
      <c r="E32" s="6" t="s">
        <v>335</v>
      </c>
      <c r="F32" s="3">
        <f t="shared" si="0"/>
        <v>5</v>
      </c>
      <c r="G32" s="3" t="s">
        <v>521</v>
      </c>
      <c r="H32" s="5" t="s">
        <v>350</v>
      </c>
      <c r="I32" s="6" t="s">
        <v>337</v>
      </c>
      <c r="J32" s="3">
        <f t="shared" si="1"/>
        <v>5</v>
      </c>
      <c r="K32" s="3" t="s">
        <v>521</v>
      </c>
      <c r="L32" s="5" t="s">
        <v>381</v>
      </c>
      <c r="M32" s="6" t="s">
        <v>339</v>
      </c>
      <c r="N32" s="3">
        <f t="shared" si="2"/>
        <v>5</v>
      </c>
      <c r="O32" s="3" t="s">
        <v>523</v>
      </c>
      <c r="P32" s="5" t="s">
        <v>382</v>
      </c>
      <c r="Q32" s="6" t="s">
        <v>341</v>
      </c>
      <c r="R32" s="3">
        <f t="shared" si="3"/>
        <v>0</v>
      </c>
      <c r="S32" s="3" t="s">
        <v>521</v>
      </c>
      <c r="T32" s="5" t="s">
        <v>359</v>
      </c>
      <c r="U32" s="6" t="s">
        <v>344</v>
      </c>
      <c r="V32" s="3">
        <f t="shared" si="4"/>
        <v>2</v>
      </c>
      <c r="W32" s="3" t="s">
        <v>521</v>
      </c>
      <c r="X32" s="5" t="s">
        <v>354</v>
      </c>
      <c r="Y32" s="6" t="s">
        <v>346</v>
      </c>
      <c r="Z32" s="3">
        <f t="shared" si="5"/>
        <v>2</v>
      </c>
      <c r="AA32" s="3" t="s">
        <v>521</v>
      </c>
      <c r="AB32" s="5" t="s">
        <v>353</v>
      </c>
      <c r="AC32" s="6" t="s">
        <v>348</v>
      </c>
      <c r="AD32" s="3">
        <f t="shared" si="6"/>
        <v>2</v>
      </c>
      <c r="AE32" s="3">
        <f t="shared" si="7"/>
        <v>21</v>
      </c>
      <c r="AF32" s="3" t="s">
        <v>96</v>
      </c>
    </row>
    <row r="33" spans="1:32" ht="36" x14ac:dyDescent="0.3">
      <c r="A33" s="3" t="s">
        <v>153</v>
      </c>
      <c r="B33" s="3" t="s">
        <v>154</v>
      </c>
      <c r="C33" s="3" t="s">
        <v>522</v>
      </c>
      <c r="D33" s="5" t="s">
        <v>155</v>
      </c>
      <c r="E33" s="6" t="s">
        <v>335</v>
      </c>
      <c r="F33" s="3">
        <f t="shared" si="0"/>
        <v>0</v>
      </c>
      <c r="G33" s="3" t="s">
        <v>522</v>
      </c>
      <c r="H33" s="5" t="s">
        <v>155</v>
      </c>
      <c r="I33" s="6" t="s">
        <v>337</v>
      </c>
      <c r="J33" s="3">
        <f t="shared" si="1"/>
        <v>0</v>
      </c>
      <c r="K33" s="3" t="s">
        <v>522</v>
      </c>
      <c r="L33" s="5" t="s">
        <v>155</v>
      </c>
      <c r="M33" s="6" t="s">
        <v>339</v>
      </c>
      <c r="N33" s="3">
        <f t="shared" si="2"/>
        <v>0</v>
      </c>
      <c r="O33" s="3" t="s">
        <v>523</v>
      </c>
      <c r="P33" s="5" t="s">
        <v>155</v>
      </c>
      <c r="Q33" s="6" t="s">
        <v>341</v>
      </c>
      <c r="R33" s="3">
        <f t="shared" si="3"/>
        <v>0</v>
      </c>
      <c r="S33" s="3" t="s">
        <v>523</v>
      </c>
      <c r="T33" s="5" t="s">
        <v>155</v>
      </c>
      <c r="U33" s="6" t="s">
        <v>344</v>
      </c>
      <c r="V33" s="3">
        <f t="shared" si="4"/>
        <v>0</v>
      </c>
      <c r="W33" s="3" t="s">
        <v>523</v>
      </c>
      <c r="X33" s="5" t="s">
        <v>155</v>
      </c>
      <c r="Y33" s="6" t="s">
        <v>346</v>
      </c>
      <c r="Z33" s="3">
        <f t="shared" si="5"/>
        <v>0</v>
      </c>
      <c r="AA33" s="3" t="s">
        <v>522</v>
      </c>
      <c r="AB33" s="5" t="s">
        <v>155</v>
      </c>
      <c r="AC33" s="6" t="s">
        <v>348</v>
      </c>
      <c r="AD33" s="3">
        <f t="shared" si="6"/>
        <v>0</v>
      </c>
      <c r="AE33" s="3">
        <f t="shared" si="7"/>
        <v>0</v>
      </c>
      <c r="AF33" s="3" t="s">
        <v>96</v>
      </c>
    </row>
    <row r="34" spans="1:32" ht="48" x14ac:dyDescent="0.3">
      <c r="A34" s="3" t="s">
        <v>156</v>
      </c>
      <c r="B34" s="3" t="s">
        <v>157</v>
      </c>
      <c r="C34" s="3" t="s">
        <v>522</v>
      </c>
      <c r="D34" s="5" t="s">
        <v>383</v>
      </c>
      <c r="E34" s="6" t="s">
        <v>335</v>
      </c>
      <c r="F34" s="3">
        <f t="shared" si="0"/>
        <v>0</v>
      </c>
      <c r="G34" s="3" t="s">
        <v>522</v>
      </c>
      <c r="H34" s="5" t="s">
        <v>350</v>
      </c>
      <c r="I34" s="6" t="s">
        <v>337</v>
      </c>
      <c r="J34" s="3">
        <f t="shared" si="1"/>
        <v>0</v>
      </c>
      <c r="K34" s="3" t="s">
        <v>522</v>
      </c>
      <c r="L34" s="5" t="s">
        <v>378</v>
      </c>
      <c r="M34" s="6" t="s">
        <v>339</v>
      </c>
      <c r="N34" s="3">
        <f t="shared" si="2"/>
        <v>0</v>
      </c>
      <c r="O34" s="3" t="s">
        <v>523</v>
      </c>
      <c r="P34" s="5" t="s">
        <v>359</v>
      </c>
      <c r="Q34" s="6" t="s">
        <v>341</v>
      </c>
      <c r="R34" s="3">
        <f t="shared" si="3"/>
        <v>0</v>
      </c>
      <c r="S34" s="3" t="s">
        <v>523</v>
      </c>
      <c r="T34" s="5" t="s">
        <v>353</v>
      </c>
      <c r="U34" s="6" t="s">
        <v>344</v>
      </c>
      <c r="V34" s="3">
        <f t="shared" si="4"/>
        <v>0</v>
      </c>
      <c r="W34" s="3" t="s">
        <v>523</v>
      </c>
      <c r="X34" s="5" t="s">
        <v>354</v>
      </c>
      <c r="Y34" s="6" t="s">
        <v>346</v>
      </c>
      <c r="Z34" s="3">
        <f t="shared" si="5"/>
        <v>0</v>
      </c>
      <c r="AA34" s="3" t="s">
        <v>522</v>
      </c>
      <c r="AB34" s="5" t="s">
        <v>353</v>
      </c>
      <c r="AC34" s="6" t="s">
        <v>348</v>
      </c>
      <c r="AD34" s="3">
        <f t="shared" si="6"/>
        <v>0</v>
      </c>
      <c r="AE34" s="3">
        <f t="shared" si="7"/>
        <v>0</v>
      </c>
      <c r="AF34" s="3" t="s">
        <v>96</v>
      </c>
    </row>
  </sheetData>
  <mergeCells count="11">
    <mergeCell ref="A6:B6"/>
    <mergeCell ref="A1:AF1"/>
    <mergeCell ref="A2:AF2"/>
    <mergeCell ref="A4:B4"/>
    <mergeCell ref="C4:F4"/>
    <mergeCell ref="G4:J4"/>
    <mergeCell ref="K4:N4"/>
    <mergeCell ref="O4:R4"/>
    <mergeCell ref="S4:Z4"/>
    <mergeCell ref="AA4:AD4"/>
    <mergeCell ref="AE4:AF4"/>
  </mergeCells>
  <conditionalFormatting sqref="C7:C34">
    <cfRule type="expression" dxfId="41" priority="91">
      <formula>C7="Atende"</formula>
    </cfRule>
    <cfRule type="expression" dxfId="40" priority="92">
      <formula>C7="Parcial"</formula>
    </cfRule>
    <cfRule type="expression" dxfId="39" priority="93">
      <formula>OR(C7="Não atende",C7="Sem evidência")</formula>
    </cfRule>
  </conditionalFormatting>
  <conditionalFormatting sqref="G7:G34">
    <cfRule type="expression" dxfId="38" priority="64">
      <formula>G7="Atende"</formula>
    </cfRule>
    <cfRule type="expression" dxfId="37" priority="65">
      <formula>G7="Parcial"</formula>
    </cfRule>
    <cfRule type="expression" dxfId="36" priority="66">
      <formula>OR(G7="Não atende",G7="Sem evidência")</formula>
    </cfRule>
  </conditionalFormatting>
  <conditionalFormatting sqref="K7:K34">
    <cfRule type="expression" dxfId="35" priority="61">
      <formula>K7="Atende"</formula>
    </cfRule>
    <cfRule type="expression" dxfId="34" priority="62">
      <formula>K7="Parcial"</formula>
    </cfRule>
    <cfRule type="expression" dxfId="33" priority="63">
      <formula>OR(K7="Não atende",K7="Sem evidência")</formula>
    </cfRule>
  </conditionalFormatting>
  <conditionalFormatting sqref="O7:O34">
    <cfRule type="expression" dxfId="32" priority="46">
      <formula>O7="Atende"</formula>
    </cfRule>
    <cfRule type="expression" dxfId="31" priority="47">
      <formula>O7="Parcial"</formula>
    </cfRule>
    <cfRule type="expression" dxfId="30" priority="48">
      <formula>OR(O7="Não atende",O7="Sem evidência")</formula>
    </cfRule>
  </conditionalFormatting>
  <conditionalFormatting sqref="S7:S34">
    <cfRule type="expression" dxfId="29" priority="25">
      <formula>S7="Atende"</formula>
    </cfRule>
    <cfRule type="expression" dxfId="28" priority="26">
      <formula>S7="Parcial"</formula>
    </cfRule>
    <cfRule type="expression" dxfId="27" priority="27">
      <formula>OR(S7="Não atende",S7="Sem evidência")</formula>
    </cfRule>
  </conditionalFormatting>
  <conditionalFormatting sqref="W7:W34">
    <cfRule type="expression" dxfId="26" priority="13">
      <formula>W7="Atende"</formula>
    </cfRule>
    <cfRule type="expression" dxfId="25" priority="14">
      <formula>W7="Parcial"</formula>
    </cfRule>
    <cfRule type="expression" dxfId="24" priority="15">
      <formula>OR(W7="Não atende",W7="Sem evidência")</formula>
    </cfRule>
  </conditionalFormatting>
  <conditionalFormatting sqref="AA7:AA34">
    <cfRule type="expression" dxfId="23" priority="1">
      <formula>AA7="Atende"</formula>
    </cfRule>
    <cfRule type="expression" dxfId="22" priority="2">
      <formula>AA7="Parcial"</formula>
    </cfRule>
    <cfRule type="expression" dxfId="21" priority="3">
      <formula>OR(AA7="Não atende",AA7="Sem evidência")</formula>
    </cfRule>
  </conditionalFormatting>
  <dataValidations count="1">
    <dataValidation type="list" sqref="C7:C34 S7:S34 W7:W34 O7:O34 K7:K34 G7:G34 AA7:AA34" xr:uid="{00000000-0002-0000-0600-000000000000}">
      <formula1>"Atende,Parcial,Não atende,Sem evidência"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4"/>
  <sheetViews>
    <sheetView topLeftCell="A30" zoomScale="80" zoomScaleNormal="80" workbookViewId="0">
      <selection activeCell="U31" sqref="U31"/>
    </sheetView>
  </sheetViews>
  <sheetFormatPr defaultRowHeight="14.4" x14ac:dyDescent="0.3"/>
  <cols>
    <col min="1" max="1" width="8" customWidth="1"/>
    <col min="2" max="2" width="29" customWidth="1"/>
    <col min="3" max="3" width="27" customWidth="1"/>
    <col min="4" max="4" width="42" customWidth="1"/>
    <col min="5" max="5" width="25" customWidth="1"/>
    <col min="6" max="6" width="27" customWidth="1"/>
    <col min="7" max="7" width="42" customWidth="1"/>
    <col min="8" max="8" width="25" customWidth="1"/>
    <col min="9" max="9" width="27" customWidth="1"/>
    <col min="10" max="10" width="42" customWidth="1"/>
    <col min="11" max="11" width="25" customWidth="1"/>
    <col min="12" max="12" width="27" customWidth="1"/>
    <col min="13" max="13" width="42" customWidth="1"/>
    <col min="14" max="14" width="25" customWidth="1"/>
    <col min="15" max="15" width="27" customWidth="1"/>
    <col min="16" max="16" width="42" customWidth="1"/>
    <col min="17" max="17" width="25" customWidth="1"/>
    <col min="18" max="18" width="27" customWidth="1"/>
    <col min="19" max="19" width="42" customWidth="1"/>
    <col min="20" max="20" width="25" customWidth="1"/>
    <col min="21" max="21" width="27" customWidth="1"/>
    <col min="22" max="22" width="42" customWidth="1"/>
    <col min="23" max="23" width="25" customWidth="1"/>
    <col min="24" max="24" width="16" customWidth="1"/>
    <col min="25" max="25" width="31" customWidth="1"/>
  </cols>
  <sheetData>
    <row r="1" spans="1:25" ht="22.35" customHeight="1" x14ac:dyDescent="0.3">
      <c r="A1" s="8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38.4" customHeight="1" x14ac:dyDescent="0.3">
      <c r="A2" s="9" t="s">
        <v>384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4" spans="1:25" x14ac:dyDescent="0.3">
      <c r="A4" s="10" t="s">
        <v>77</v>
      </c>
      <c r="B4" s="10"/>
      <c r="C4" s="10" t="s">
        <v>385</v>
      </c>
      <c r="D4" s="10"/>
      <c r="E4" s="10"/>
      <c r="F4" s="10" t="s">
        <v>386</v>
      </c>
      <c r="G4" s="10"/>
      <c r="H4" s="10"/>
      <c r="I4" s="10" t="s">
        <v>387</v>
      </c>
      <c r="J4" s="10"/>
      <c r="K4" s="10"/>
      <c r="L4" s="10" t="s">
        <v>388</v>
      </c>
      <c r="M4" s="10"/>
      <c r="N4" s="10"/>
      <c r="O4" s="10" t="s">
        <v>389</v>
      </c>
      <c r="P4" s="10"/>
      <c r="Q4" s="10"/>
      <c r="R4" s="10" t="s">
        <v>390</v>
      </c>
      <c r="S4" s="10"/>
      <c r="T4" s="10"/>
      <c r="U4" s="10" t="s">
        <v>391</v>
      </c>
      <c r="V4" s="10"/>
      <c r="W4" s="10"/>
      <c r="X4" s="10" t="s">
        <v>392</v>
      </c>
      <c r="Y4" s="10"/>
    </row>
    <row r="5" spans="1:25" ht="43.2" x14ac:dyDescent="0.3">
      <c r="A5" s="2" t="s">
        <v>80</v>
      </c>
      <c r="B5" s="2" t="s">
        <v>81</v>
      </c>
      <c r="C5" s="2" t="s">
        <v>393</v>
      </c>
      <c r="D5" s="2" t="s">
        <v>83</v>
      </c>
      <c r="E5" s="2" t="s">
        <v>84</v>
      </c>
      <c r="F5" s="2" t="s">
        <v>394</v>
      </c>
      <c r="G5" s="2" t="s">
        <v>83</v>
      </c>
      <c r="H5" s="2" t="s">
        <v>84</v>
      </c>
      <c r="I5" s="2" t="s">
        <v>395</v>
      </c>
      <c r="J5" s="2" t="s">
        <v>83</v>
      </c>
      <c r="K5" s="2" t="s">
        <v>84</v>
      </c>
      <c r="L5" s="2" t="s">
        <v>396</v>
      </c>
      <c r="M5" s="2" t="s">
        <v>83</v>
      </c>
      <c r="N5" s="2" t="s">
        <v>84</v>
      </c>
      <c r="O5" s="2" t="s">
        <v>397</v>
      </c>
      <c r="P5" s="2" t="s">
        <v>83</v>
      </c>
      <c r="Q5" s="2" t="s">
        <v>84</v>
      </c>
      <c r="R5" s="2" t="s">
        <v>398</v>
      </c>
      <c r="S5" s="2" t="s">
        <v>83</v>
      </c>
      <c r="T5" s="2" t="s">
        <v>84</v>
      </c>
      <c r="U5" s="2" t="s">
        <v>399</v>
      </c>
      <c r="V5" s="2" t="s">
        <v>83</v>
      </c>
      <c r="W5" s="2" t="s">
        <v>84</v>
      </c>
      <c r="X5" s="2" t="s">
        <v>400</v>
      </c>
      <c r="Y5" s="2" t="s">
        <v>88</v>
      </c>
    </row>
    <row r="6" spans="1:25" ht="91.95" customHeight="1" x14ac:dyDescent="0.3">
      <c r="A6" s="7" t="s">
        <v>89</v>
      </c>
      <c r="B6" s="7"/>
      <c r="C6" s="4" t="s">
        <v>401</v>
      </c>
      <c r="D6" s="5" t="s">
        <v>91</v>
      </c>
      <c r="E6" s="6" t="s">
        <v>402</v>
      </c>
      <c r="F6" s="4" t="s">
        <v>403</v>
      </c>
      <c r="G6" s="5" t="s">
        <v>91</v>
      </c>
      <c r="H6" s="6" t="s">
        <v>404</v>
      </c>
      <c r="I6" s="4" t="s">
        <v>405</v>
      </c>
      <c r="J6" s="5" t="s">
        <v>91</v>
      </c>
      <c r="K6" s="6" t="s">
        <v>406</v>
      </c>
      <c r="L6" s="4" t="s">
        <v>407</v>
      </c>
      <c r="M6" s="5" t="s">
        <v>91</v>
      </c>
      <c r="N6" s="6" t="s">
        <v>408</v>
      </c>
      <c r="O6" s="4" t="s">
        <v>409</v>
      </c>
      <c r="P6" s="5" t="s">
        <v>91</v>
      </c>
      <c r="Q6" s="6" t="s">
        <v>410</v>
      </c>
      <c r="R6" s="4" t="s">
        <v>411</v>
      </c>
      <c r="S6" s="5" t="s">
        <v>91</v>
      </c>
      <c r="T6" s="6" t="s">
        <v>412</v>
      </c>
      <c r="U6" s="4" t="s">
        <v>413</v>
      </c>
      <c r="V6" s="5" t="s">
        <v>91</v>
      </c>
      <c r="W6" s="6" t="s">
        <v>414</v>
      </c>
      <c r="X6" s="1" t="s">
        <v>415</v>
      </c>
      <c r="Y6" s="1" t="s">
        <v>96</v>
      </c>
    </row>
    <row r="7" spans="1:25" ht="36" x14ac:dyDescent="0.3">
      <c r="A7" s="3" t="s">
        <v>97</v>
      </c>
      <c r="B7" s="3" t="s">
        <v>98</v>
      </c>
      <c r="C7" s="3" t="s">
        <v>73</v>
      </c>
      <c r="D7" s="5" t="s">
        <v>416</v>
      </c>
      <c r="E7" s="6" t="s">
        <v>402</v>
      </c>
      <c r="F7" s="3" t="s">
        <v>20</v>
      </c>
      <c r="G7" s="5" t="s">
        <v>417</v>
      </c>
      <c r="H7" s="6" t="s">
        <v>404</v>
      </c>
      <c r="I7" s="3" t="s">
        <v>73</v>
      </c>
      <c r="J7" s="5" t="s">
        <v>418</v>
      </c>
      <c r="K7" s="6" t="s">
        <v>406</v>
      </c>
      <c r="L7" s="3" t="s">
        <v>73</v>
      </c>
      <c r="M7" s="5" t="s">
        <v>419</v>
      </c>
      <c r="N7" s="6" t="s">
        <v>408</v>
      </c>
      <c r="O7" s="3" t="s">
        <v>73</v>
      </c>
      <c r="P7" s="5" t="s">
        <v>420</v>
      </c>
      <c r="Q7" s="6" t="s">
        <v>410</v>
      </c>
      <c r="R7" s="3" t="s">
        <v>73</v>
      </c>
      <c r="S7" s="5" t="s">
        <v>421</v>
      </c>
      <c r="T7" s="6" t="s">
        <v>412</v>
      </c>
      <c r="U7" s="3" t="s">
        <v>73</v>
      </c>
      <c r="V7" s="5" t="s">
        <v>422</v>
      </c>
      <c r="W7" s="6" t="s">
        <v>414</v>
      </c>
      <c r="X7" s="3">
        <f t="shared" ref="X7:X34" si="0">SUM(IF(C7="Sim",3,0),IF(F7="Sim",1,0),IF(I7="Sim",1,0),IF(L7="Sim",1,0),IF(O7="Sim",1,0),IF(R7="Sim",1,0),IF(U7="Sim",2,0))</f>
        <v>9</v>
      </c>
      <c r="Y7" s="3" t="s">
        <v>96</v>
      </c>
    </row>
    <row r="8" spans="1:25" ht="60" x14ac:dyDescent="0.3">
      <c r="A8" s="3" t="s">
        <v>100</v>
      </c>
      <c r="B8" s="3" t="s">
        <v>101</v>
      </c>
      <c r="C8" s="3" t="s">
        <v>20</v>
      </c>
      <c r="D8" s="5" t="s">
        <v>423</v>
      </c>
      <c r="E8" s="6" t="s">
        <v>402</v>
      </c>
      <c r="F8" s="3" t="s">
        <v>20</v>
      </c>
      <c r="G8" s="5" t="s">
        <v>424</v>
      </c>
      <c r="H8" s="6" t="s">
        <v>404</v>
      </c>
      <c r="I8" s="3" t="s">
        <v>73</v>
      </c>
      <c r="J8" s="5" t="s">
        <v>418</v>
      </c>
      <c r="K8" s="6" t="s">
        <v>406</v>
      </c>
      <c r="L8" s="3" t="s">
        <v>73</v>
      </c>
      <c r="M8" s="5" t="s">
        <v>419</v>
      </c>
      <c r="N8" s="6" t="s">
        <v>408</v>
      </c>
      <c r="O8" s="3" t="s">
        <v>73</v>
      </c>
      <c r="P8" s="5" t="s">
        <v>425</v>
      </c>
      <c r="Q8" s="6" t="s">
        <v>410</v>
      </c>
      <c r="R8" s="3" t="s">
        <v>73</v>
      </c>
      <c r="S8" s="5" t="s">
        <v>426</v>
      </c>
      <c r="T8" s="6" t="s">
        <v>412</v>
      </c>
      <c r="U8" s="3" t="s">
        <v>73</v>
      </c>
      <c r="V8" s="5" t="s">
        <v>427</v>
      </c>
      <c r="W8" s="6" t="s">
        <v>414</v>
      </c>
      <c r="X8" s="3">
        <f t="shared" si="0"/>
        <v>6</v>
      </c>
      <c r="Y8" s="3" t="s">
        <v>96</v>
      </c>
    </row>
    <row r="9" spans="1:25" ht="36" x14ac:dyDescent="0.3">
      <c r="A9" s="3" t="s">
        <v>103</v>
      </c>
      <c r="B9" s="3" t="s">
        <v>104</v>
      </c>
      <c r="C9" s="3" t="s">
        <v>20</v>
      </c>
      <c r="D9" s="5" t="s">
        <v>423</v>
      </c>
      <c r="E9" s="6" t="s">
        <v>402</v>
      </c>
      <c r="F9" s="3" t="s">
        <v>20</v>
      </c>
      <c r="G9" s="5" t="s">
        <v>20</v>
      </c>
      <c r="H9" s="6" t="s">
        <v>404</v>
      </c>
      <c r="I9" s="3" t="s">
        <v>73</v>
      </c>
      <c r="J9" s="5" t="s">
        <v>418</v>
      </c>
      <c r="K9" s="6" t="s">
        <v>406</v>
      </c>
      <c r="L9" s="3" t="s">
        <v>73</v>
      </c>
      <c r="M9" s="5" t="s">
        <v>428</v>
      </c>
      <c r="N9" s="6" t="s">
        <v>408</v>
      </c>
      <c r="O9" s="3" t="s">
        <v>73</v>
      </c>
      <c r="P9" s="5" t="s">
        <v>429</v>
      </c>
      <c r="Q9" s="6" t="s">
        <v>410</v>
      </c>
      <c r="R9" s="3" t="s">
        <v>73</v>
      </c>
      <c r="S9" s="5" t="s">
        <v>430</v>
      </c>
      <c r="T9" s="6" t="s">
        <v>412</v>
      </c>
      <c r="U9" s="3" t="s">
        <v>73</v>
      </c>
      <c r="V9" s="5" t="s">
        <v>431</v>
      </c>
      <c r="W9" s="6" t="s">
        <v>414</v>
      </c>
      <c r="X9" s="3">
        <f t="shared" si="0"/>
        <v>6</v>
      </c>
      <c r="Y9" s="3" t="s">
        <v>96</v>
      </c>
    </row>
    <row r="10" spans="1:25" ht="60" x14ac:dyDescent="0.3">
      <c r="A10" s="3" t="s">
        <v>105</v>
      </c>
      <c r="B10" s="3" t="s">
        <v>106</v>
      </c>
      <c r="C10" s="3" t="s">
        <v>73</v>
      </c>
      <c r="D10" s="5" t="s">
        <v>416</v>
      </c>
      <c r="E10" s="6" t="s">
        <v>402</v>
      </c>
      <c r="F10" s="3" t="s">
        <v>20</v>
      </c>
      <c r="G10" s="5" t="s">
        <v>432</v>
      </c>
      <c r="H10" s="6" t="s">
        <v>404</v>
      </c>
      <c r="I10" s="3" t="s">
        <v>73</v>
      </c>
      <c r="J10" s="5" t="s">
        <v>418</v>
      </c>
      <c r="K10" s="6" t="s">
        <v>406</v>
      </c>
      <c r="L10" s="3" t="s">
        <v>73</v>
      </c>
      <c r="M10" s="5" t="s">
        <v>428</v>
      </c>
      <c r="N10" s="6" t="s">
        <v>408</v>
      </c>
      <c r="O10" s="3" t="s">
        <v>73</v>
      </c>
      <c r="P10" s="5" t="s">
        <v>433</v>
      </c>
      <c r="Q10" s="6" t="s">
        <v>410</v>
      </c>
      <c r="R10" s="3" t="s">
        <v>73</v>
      </c>
      <c r="S10" s="5" t="s">
        <v>426</v>
      </c>
      <c r="T10" s="6" t="s">
        <v>412</v>
      </c>
      <c r="U10" s="3" t="s">
        <v>73</v>
      </c>
      <c r="V10" s="5" t="s">
        <v>434</v>
      </c>
      <c r="W10" s="6" t="s">
        <v>414</v>
      </c>
      <c r="X10" s="3">
        <f t="shared" si="0"/>
        <v>9</v>
      </c>
      <c r="Y10" s="3" t="s">
        <v>96</v>
      </c>
    </row>
    <row r="11" spans="1:25" ht="36" x14ac:dyDescent="0.3">
      <c r="A11" s="3" t="s">
        <v>107</v>
      </c>
      <c r="B11" s="3" t="s">
        <v>108</v>
      </c>
      <c r="C11" s="3" t="s">
        <v>20</v>
      </c>
      <c r="D11" s="5" t="s">
        <v>423</v>
      </c>
      <c r="E11" s="6" t="s">
        <v>402</v>
      </c>
      <c r="F11" s="3" t="s">
        <v>20</v>
      </c>
      <c r="G11" s="5" t="s">
        <v>20</v>
      </c>
      <c r="H11" s="6" t="s">
        <v>404</v>
      </c>
      <c r="I11" s="3" t="s">
        <v>20</v>
      </c>
      <c r="J11" s="5" t="s">
        <v>435</v>
      </c>
      <c r="K11" s="6" t="s">
        <v>406</v>
      </c>
      <c r="L11" s="3" t="s">
        <v>73</v>
      </c>
      <c r="M11" s="5" t="s">
        <v>436</v>
      </c>
      <c r="N11" s="6" t="s">
        <v>408</v>
      </c>
      <c r="O11" s="3" t="s">
        <v>20</v>
      </c>
      <c r="P11" s="5" t="s">
        <v>155</v>
      </c>
      <c r="Q11" s="6" t="s">
        <v>410</v>
      </c>
      <c r="R11" s="3" t="s">
        <v>73</v>
      </c>
      <c r="S11" s="5" t="s">
        <v>437</v>
      </c>
      <c r="T11" s="6" t="s">
        <v>412</v>
      </c>
      <c r="U11" s="3" t="s">
        <v>73</v>
      </c>
      <c r="V11" s="5" t="s">
        <v>438</v>
      </c>
      <c r="W11" s="6" t="s">
        <v>414</v>
      </c>
      <c r="X11" s="3">
        <f t="shared" si="0"/>
        <v>4</v>
      </c>
      <c r="Y11" s="3" t="s">
        <v>96</v>
      </c>
    </row>
    <row r="12" spans="1:25" ht="36" x14ac:dyDescent="0.3">
      <c r="A12" s="3" t="s">
        <v>109</v>
      </c>
      <c r="B12" s="3" t="s">
        <v>110</v>
      </c>
      <c r="C12" s="3" t="s">
        <v>20</v>
      </c>
      <c r="D12" s="5" t="s">
        <v>423</v>
      </c>
      <c r="E12" s="6" t="s">
        <v>402</v>
      </c>
      <c r="F12" s="3" t="s">
        <v>20</v>
      </c>
      <c r="G12" s="5" t="s">
        <v>439</v>
      </c>
      <c r="H12" s="6" t="s">
        <v>404</v>
      </c>
      <c r="I12" s="3" t="s">
        <v>73</v>
      </c>
      <c r="J12" s="5" t="s">
        <v>418</v>
      </c>
      <c r="K12" s="6" t="s">
        <v>406</v>
      </c>
      <c r="L12" s="3" t="s">
        <v>73</v>
      </c>
      <c r="M12" s="5" t="s">
        <v>428</v>
      </c>
      <c r="N12" s="6" t="s">
        <v>408</v>
      </c>
      <c r="O12" s="3" t="s">
        <v>20</v>
      </c>
      <c r="P12" s="5" t="s">
        <v>440</v>
      </c>
      <c r="Q12" s="6" t="s">
        <v>410</v>
      </c>
      <c r="R12" s="3" t="s">
        <v>73</v>
      </c>
      <c r="S12" s="5" t="s">
        <v>441</v>
      </c>
      <c r="T12" s="6" t="s">
        <v>412</v>
      </c>
      <c r="U12" s="3" t="s">
        <v>73</v>
      </c>
      <c r="V12" s="5" t="s">
        <v>442</v>
      </c>
      <c r="W12" s="6" t="s">
        <v>414</v>
      </c>
      <c r="X12" s="3">
        <f t="shared" si="0"/>
        <v>5</v>
      </c>
      <c r="Y12" s="3" t="s">
        <v>96</v>
      </c>
    </row>
    <row r="13" spans="1:25" ht="36" x14ac:dyDescent="0.3">
      <c r="A13" s="3" t="s">
        <v>111</v>
      </c>
      <c r="B13" s="3" t="s">
        <v>112</v>
      </c>
      <c r="C13" s="3" t="s">
        <v>20</v>
      </c>
      <c r="D13" s="5" t="s">
        <v>423</v>
      </c>
      <c r="E13" s="6" t="s">
        <v>402</v>
      </c>
      <c r="F13" s="3" t="s">
        <v>20</v>
      </c>
      <c r="G13" s="5" t="s">
        <v>443</v>
      </c>
      <c r="H13" s="6" t="s">
        <v>404</v>
      </c>
      <c r="I13" s="3" t="s">
        <v>20</v>
      </c>
      <c r="J13" s="5" t="s">
        <v>435</v>
      </c>
      <c r="K13" s="6" t="s">
        <v>406</v>
      </c>
      <c r="L13" s="3" t="s">
        <v>73</v>
      </c>
      <c r="M13" s="5" t="s">
        <v>444</v>
      </c>
      <c r="N13" s="6" t="s">
        <v>408</v>
      </c>
      <c r="O13" s="3" t="s">
        <v>20</v>
      </c>
      <c r="P13" s="5" t="s">
        <v>155</v>
      </c>
      <c r="Q13" s="6" t="s">
        <v>410</v>
      </c>
      <c r="R13" s="3" t="s">
        <v>20</v>
      </c>
      <c r="S13" s="5" t="s">
        <v>445</v>
      </c>
      <c r="T13" s="6" t="s">
        <v>412</v>
      </c>
      <c r="U13" s="3" t="s">
        <v>73</v>
      </c>
      <c r="V13" s="5" t="s">
        <v>446</v>
      </c>
      <c r="W13" s="6" t="s">
        <v>414</v>
      </c>
      <c r="X13" s="3">
        <f t="shared" si="0"/>
        <v>3</v>
      </c>
      <c r="Y13" s="3" t="s">
        <v>96</v>
      </c>
    </row>
    <row r="14" spans="1:25" ht="60" x14ac:dyDescent="0.3">
      <c r="A14" s="3" t="s">
        <v>113</v>
      </c>
      <c r="B14" s="3" t="s">
        <v>114</v>
      </c>
      <c r="C14" s="3" t="s">
        <v>20</v>
      </c>
      <c r="D14" s="5" t="s">
        <v>423</v>
      </c>
      <c r="E14" s="6" t="s">
        <v>402</v>
      </c>
      <c r="F14" s="3" t="s">
        <v>73</v>
      </c>
      <c r="G14" s="5" t="s">
        <v>447</v>
      </c>
      <c r="H14" s="6" t="s">
        <v>404</v>
      </c>
      <c r="I14" s="3" t="s">
        <v>73</v>
      </c>
      <c r="J14" s="5" t="s">
        <v>418</v>
      </c>
      <c r="K14" s="6" t="s">
        <v>406</v>
      </c>
      <c r="L14" s="3" t="s">
        <v>73</v>
      </c>
      <c r="M14" s="5" t="s">
        <v>448</v>
      </c>
      <c r="N14" s="6" t="s">
        <v>408</v>
      </c>
      <c r="O14" s="3" t="s">
        <v>73</v>
      </c>
      <c r="P14" s="5" t="s">
        <v>449</v>
      </c>
      <c r="Q14" s="6" t="s">
        <v>410</v>
      </c>
      <c r="R14" s="3" t="s">
        <v>73</v>
      </c>
      <c r="S14" s="5" t="s">
        <v>426</v>
      </c>
      <c r="T14" s="6" t="s">
        <v>412</v>
      </c>
      <c r="U14" s="3" t="s">
        <v>73</v>
      </c>
      <c r="V14" s="5" t="s">
        <v>450</v>
      </c>
      <c r="W14" s="6" t="s">
        <v>414</v>
      </c>
      <c r="X14" s="3">
        <f t="shared" si="0"/>
        <v>7</v>
      </c>
      <c r="Y14" s="3" t="s">
        <v>96</v>
      </c>
    </row>
    <row r="15" spans="1:25" ht="36" x14ac:dyDescent="0.3">
      <c r="A15" s="3" t="s">
        <v>113</v>
      </c>
      <c r="B15" s="3" t="s">
        <v>115</v>
      </c>
      <c r="C15" s="3" t="s">
        <v>20</v>
      </c>
      <c r="D15" s="5" t="s">
        <v>423</v>
      </c>
      <c r="E15" s="6" t="s">
        <v>402</v>
      </c>
      <c r="F15" s="3" t="s">
        <v>20</v>
      </c>
      <c r="G15" s="5" t="s">
        <v>443</v>
      </c>
      <c r="H15" s="6" t="s">
        <v>404</v>
      </c>
      <c r="I15" s="3" t="s">
        <v>20</v>
      </c>
      <c r="J15" s="5" t="s">
        <v>451</v>
      </c>
      <c r="K15" s="6" t="s">
        <v>406</v>
      </c>
      <c r="L15" s="3" t="s">
        <v>73</v>
      </c>
      <c r="M15" s="5" t="s">
        <v>428</v>
      </c>
      <c r="N15" s="6" t="s">
        <v>408</v>
      </c>
      <c r="O15" s="3" t="s">
        <v>20</v>
      </c>
      <c r="P15" s="5" t="s">
        <v>452</v>
      </c>
      <c r="Q15" s="6" t="s">
        <v>410</v>
      </c>
      <c r="R15" s="3" t="s">
        <v>73</v>
      </c>
      <c r="S15" s="5" t="s">
        <v>453</v>
      </c>
      <c r="T15" s="6" t="s">
        <v>412</v>
      </c>
      <c r="U15" s="3" t="s">
        <v>73</v>
      </c>
      <c r="V15" s="5" t="s">
        <v>454</v>
      </c>
      <c r="W15" s="6" t="s">
        <v>414</v>
      </c>
      <c r="X15" s="3">
        <f t="shared" si="0"/>
        <v>4</v>
      </c>
      <c r="Y15" s="3" t="s">
        <v>96</v>
      </c>
    </row>
    <row r="16" spans="1:25" ht="36" x14ac:dyDescent="0.3">
      <c r="A16" s="3" t="s">
        <v>116</v>
      </c>
      <c r="B16" s="3" t="s">
        <v>117</v>
      </c>
      <c r="C16" s="3" t="s">
        <v>20</v>
      </c>
      <c r="D16" s="5" t="s">
        <v>423</v>
      </c>
      <c r="E16" s="6" t="s">
        <v>402</v>
      </c>
      <c r="F16" s="3" t="s">
        <v>20</v>
      </c>
      <c r="G16" s="5" t="s">
        <v>20</v>
      </c>
      <c r="H16" s="6" t="s">
        <v>404</v>
      </c>
      <c r="I16" s="3" t="s">
        <v>73</v>
      </c>
      <c r="J16" s="5" t="s">
        <v>418</v>
      </c>
      <c r="K16" s="6" t="s">
        <v>406</v>
      </c>
      <c r="L16" s="3" t="s">
        <v>73</v>
      </c>
      <c r="M16" s="5" t="s">
        <v>419</v>
      </c>
      <c r="N16" s="6" t="s">
        <v>408</v>
      </c>
      <c r="O16" s="3" t="s">
        <v>20</v>
      </c>
      <c r="P16" s="5" t="s">
        <v>155</v>
      </c>
      <c r="Q16" s="6" t="s">
        <v>410</v>
      </c>
      <c r="R16" s="3" t="s">
        <v>73</v>
      </c>
      <c r="S16" s="5" t="s">
        <v>455</v>
      </c>
      <c r="T16" s="6" t="s">
        <v>412</v>
      </c>
      <c r="U16" s="3" t="s">
        <v>73</v>
      </c>
      <c r="V16" s="5" t="s">
        <v>456</v>
      </c>
      <c r="W16" s="6" t="s">
        <v>414</v>
      </c>
      <c r="X16" s="3">
        <f t="shared" si="0"/>
        <v>5</v>
      </c>
      <c r="Y16" s="3" t="s">
        <v>96</v>
      </c>
    </row>
    <row r="17" spans="1:25" ht="36" x14ac:dyDescent="0.3">
      <c r="A17" s="3" t="s">
        <v>118</v>
      </c>
      <c r="B17" s="3" t="s">
        <v>119</v>
      </c>
      <c r="C17" s="3" t="s">
        <v>20</v>
      </c>
      <c r="D17" s="5" t="s">
        <v>423</v>
      </c>
      <c r="E17" s="6" t="s">
        <v>402</v>
      </c>
      <c r="F17" s="3" t="s">
        <v>20</v>
      </c>
      <c r="G17" s="5" t="s">
        <v>457</v>
      </c>
      <c r="H17" s="6" t="s">
        <v>404</v>
      </c>
      <c r="I17" s="3" t="s">
        <v>73</v>
      </c>
      <c r="J17" s="5" t="s">
        <v>418</v>
      </c>
      <c r="K17" s="6" t="s">
        <v>406</v>
      </c>
      <c r="L17" s="3" t="s">
        <v>73</v>
      </c>
      <c r="M17" s="5" t="s">
        <v>458</v>
      </c>
      <c r="N17" s="6" t="s">
        <v>408</v>
      </c>
      <c r="O17" s="3" t="s">
        <v>73</v>
      </c>
      <c r="P17" s="5" t="s">
        <v>459</v>
      </c>
      <c r="Q17" s="6" t="s">
        <v>410</v>
      </c>
      <c r="R17" s="3" t="s">
        <v>73</v>
      </c>
      <c r="S17" s="5" t="s">
        <v>460</v>
      </c>
      <c r="T17" s="6" t="s">
        <v>412</v>
      </c>
      <c r="U17" s="3" t="s">
        <v>73</v>
      </c>
      <c r="V17" s="5" t="s">
        <v>422</v>
      </c>
      <c r="W17" s="6" t="s">
        <v>414</v>
      </c>
      <c r="X17" s="3">
        <f t="shared" si="0"/>
        <v>6</v>
      </c>
      <c r="Y17" s="3" t="s">
        <v>96</v>
      </c>
    </row>
    <row r="18" spans="1:25" ht="84" x14ac:dyDescent="0.3">
      <c r="A18" s="3" t="s">
        <v>120</v>
      </c>
      <c r="B18" s="3" t="s">
        <v>121</v>
      </c>
      <c r="C18" s="3" t="s">
        <v>73</v>
      </c>
      <c r="D18" s="5" t="s">
        <v>461</v>
      </c>
      <c r="E18" s="6" t="s">
        <v>402</v>
      </c>
      <c r="F18" s="3" t="s">
        <v>73</v>
      </c>
      <c r="G18" s="5" t="s">
        <v>462</v>
      </c>
      <c r="H18" s="6" t="s">
        <v>404</v>
      </c>
      <c r="I18" s="3" t="s">
        <v>73</v>
      </c>
      <c r="J18" s="5" t="s">
        <v>418</v>
      </c>
      <c r="K18" s="6" t="s">
        <v>406</v>
      </c>
      <c r="L18" s="3" t="s">
        <v>73</v>
      </c>
      <c r="M18" s="5" t="s">
        <v>419</v>
      </c>
      <c r="N18" s="6" t="s">
        <v>408</v>
      </c>
      <c r="O18" s="3" t="s">
        <v>73</v>
      </c>
      <c r="P18" s="5" t="s">
        <v>463</v>
      </c>
      <c r="Q18" s="6" t="s">
        <v>410</v>
      </c>
      <c r="R18" s="3" t="s">
        <v>73</v>
      </c>
      <c r="S18" s="5" t="s">
        <v>464</v>
      </c>
      <c r="T18" s="6" t="s">
        <v>412</v>
      </c>
      <c r="U18" s="3" t="s">
        <v>73</v>
      </c>
      <c r="V18" s="5" t="s">
        <v>465</v>
      </c>
      <c r="W18" s="6" t="s">
        <v>414</v>
      </c>
      <c r="X18" s="3">
        <f t="shared" si="0"/>
        <v>10</v>
      </c>
      <c r="Y18" s="3" t="s">
        <v>96</v>
      </c>
    </row>
    <row r="19" spans="1:25" ht="36" x14ac:dyDescent="0.3">
      <c r="A19" s="3" t="s">
        <v>122</v>
      </c>
      <c r="B19" s="3" t="s">
        <v>123</v>
      </c>
      <c r="C19" s="3" t="s">
        <v>73</v>
      </c>
      <c r="D19" s="5" t="s">
        <v>461</v>
      </c>
      <c r="E19" s="6" t="s">
        <v>402</v>
      </c>
      <c r="F19" s="3" t="s">
        <v>20</v>
      </c>
      <c r="G19" s="5" t="s">
        <v>457</v>
      </c>
      <c r="H19" s="6" t="s">
        <v>404</v>
      </c>
      <c r="I19" s="3" t="s">
        <v>73</v>
      </c>
      <c r="J19" s="5" t="s">
        <v>418</v>
      </c>
      <c r="K19" s="6" t="s">
        <v>406</v>
      </c>
      <c r="L19" s="3" t="s">
        <v>73</v>
      </c>
      <c r="M19" s="5" t="s">
        <v>419</v>
      </c>
      <c r="N19" s="6" t="s">
        <v>408</v>
      </c>
      <c r="O19" s="3" t="s">
        <v>73</v>
      </c>
      <c r="P19" s="5" t="s">
        <v>466</v>
      </c>
      <c r="Q19" s="6" t="s">
        <v>410</v>
      </c>
      <c r="R19" s="3" t="s">
        <v>73</v>
      </c>
      <c r="S19" s="5" t="s">
        <v>426</v>
      </c>
      <c r="T19" s="6" t="s">
        <v>412</v>
      </c>
      <c r="U19" s="3" t="s">
        <v>73</v>
      </c>
      <c r="V19" s="5" t="s">
        <v>456</v>
      </c>
      <c r="W19" s="6" t="s">
        <v>414</v>
      </c>
      <c r="X19" s="3">
        <f t="shared" si="0"/>
        <v>9</v>
      </c>
      <c r="Y19" s="3" t="s">
        <v>96</v>
      </c>
    </row>
    <row r="20" spans="1:25" ht="36" x14ac:dyDescent="0.3">
      <c r="A20" s="3" t="s">
        <v>125</v>
      </c>
      <c r="B20" s="3" t="s">
        <v>126</v>
      </c>
      <c r="C20" s="3" t="s">
        <v>20</v>
      </c>
      <c r="D20" s="5" t="s">
        <v>423</v>
      </c>
      <c r="E20" s="6" t="s">
        <v>402</v>
      </c>
      <c r="F20" s="3" t="s">
        <v>20</v>
      </c>
      <c r="G20" s="5" t="s">
        <v>20</v>
      </c>
      <c r="H20" s="6" t="s">
        <v>404</v>
      </c>
      <c r="I20" s="3" t="s">
        <v>73</v>
      </c>
      <c r="J20" s="5" t="s">
        <v>418</v>
      </c>
      <c r="K20" s="6" t="s">
        <v>406</v>
      </c>
      <c r="L20" s="3" t="s">
        <v>20</v>
      </c>
      <c r="M20" s="5" t="s">
        <v>155</v>
      </c>
      <c r="N20" s="6" t="s">
        <v>408</v>
      </c>
      <c r="O20" s="3" t="s">
        <v>73</v>
      </c>
      <c r="P20" s="5" t="s">
        <v>467</v>
      </c>
      <c r="Q20" s="6" t="s">
        <v>410</v>
      </c>
      <c r="R20" s="3" t="s">
        <v>73</v>
      </c>
      <c r="S20" s="5" t="s">
        <v>460</v>
      </c>
      <c r="T20" s="6" t="s">
        <v>412</v>
      </c>
      <c r="U20" s="3" t="s">
        <v>73</v>
      </c>
      <c r="V20" s="5" t="s">
        <v>468</v>
      </c>
      <c r="W20" s="6" t="s">
        <v>414</v>
      </c>
      <c r="X20" s="3">
        <f t="shared" si="0"/>
        <v>5</v>
      </c>
      <c r="Y20" s="3" t="s">
        <v>96</v>
      </c>
    </row>
    <row r="21" spans="1:25" ht="36" x14ac:dyDescent="0.3">
      <c r="A21" s="3" t="s">
        <v>127</v>
      </c>
      <c r="B21" s="3" t="s">
        <v>128</v>
      </c>
      <c r="C21" s="3" t="s">
        <v>20</v>
      </c>
      <c r="D21" s="5" t="s">
        <v>423</v>
      </c>
      <c r="E21" s="6" t="s">
        <v>402</v>
      </c>
      <c r="F21" s="3" t="s">
        <v>20</v>
      </c>
      <c r="G21" s="5" t="s">
        <v>20</v>
      </c>
      <c r="H21" s="6" t="s">
        <v>404</v>
      </c>
      <c r="I21" s="3" t="s">
        <v>20</v>
      </c>
      <c r="J21" s="5" t="s">
        <v>243</v>
      </c>
      <c r="K21" s="6" t="s">
        <v>406</v>
      </c>
      <c r="L21" s="3" t="s">
        <v>20</v>
      </c>
      <c r="M21" s="5" t="s">
        <v>428</v>
      </c>
      <c r="N21" s="6" t="s">
        <v>408</v>
      </c>
      <c r="O21" s="3" t="s">
        <v>20</v>
      </c>
      <c r="P21" s="5" t="s">
        <v>469</v>
      </c>
      <c r="Q21" s="6" t="s">
        <v>410</v>
      </c>
      <c r="R21" s="3" t="s">
        <v>20</v>
      </c>
      <c r="S21" s="5" t="s">
        <v>470</v>
      </c>
      <c r="T21" s="6" t="s">
        <v>412</v>
      </c>
      <c r="U21" s="3" t="s">
        <v>20</v>
      </c>
      <c r="V21" s="5" t="s">
        <v>442</v>
      </c>
      <c r="W21" s="6" t="s">
        <v>414</v>
      </c>
      <c r="X21" s="3">
        <f t="shared" si="0"/>
        <v>0</v>
      </c>
      <c r="Y21" s="3" t="s">
        <v>96</v>
      </c>
    </row>
    <row r="22" spans="1:25" ht="36" x14ac:dyDescent="0.3">
      <c r="A22" s="3" t="s">
        <v>130</v>
      </c>
      <c r="B22" s="3" t="s">
        <v>131</v>
      </c>
      <c r="C22" s="3" t="s">
        <v>20</v>
      </c>
      <c r="D22" s="5" t="s">
        <v>423</v>
      </c>
      <c r="E22" s="6" t="s">
        <v>402</v>
      </c>
      <c r="F22" s="3" t="s">
        <v>20</v>
      </c>
      <c r="G22" s="5" t="s">
        <v>20</v>
      </c>
      <c r="H22" s="6" t="s">
        <v>404</v>
      </c>
      <c r="I22" s="3" t="s">
        <v>73</v>
      </c>
      <c r="J22" s="5" t="s">
        <v>435</v>
      </c>
      <c r="K22" s="6" t="s">
        <v>406</v>
      </c>
      <c r="L22" s="3" t="s">
        <v>73</v>
      </c>
      <c r="M22" s="5" t="s">
        <v>471</v>
      </c>
      <c r="N22" s="6" t="s">
        <v>408</v>
      </c>
      <c r="O22" s="3" t="s">
        <v>73</v>
      </c>
      <c r="P22" s="5" t="s">
        <v>472</v>
      </c>
      <c r="Q22" s="6" t="s">
        <v>410</v>
      </c>
      <c r="R22" s="3" t="s">
        <v>73</v>
      </c>
      <c r="S22" s="5" t="s">
        <v>460</v>
      </c>
      <c r="T22" s="6" t="s">
        <v>412</v>
      </c>
      <c r="U22" s="3" t="s">
        <v>73</v>
      </c>
      <c r="V22" s="5" t="s">
        <v>456</v>
      </c>
      <c r="W22" s="6" t="s">
        <v>414</v>
      </c>
      <c r="X22" s="3">
        <f t="shared" si="0"/>
        <v>6</v>
      </c>
      <c r="Y22" s="3" t="s">
        <v>96</v>
      </c>
    </row>
    <row r="23" spans="1:25" ht="48" x14ac:dyDescent="0.3">
      <c r="A23" s="3" t="s">
        <v>132</v>
      </c>
      <c r="B23" s="3" t="s">
        <v>133</v>
      </c>
      <c r="C23" s="3" t="s">
        <v>20</v>
      </c>
      <c r="D23" s="5" t="s">
        <v>423</v>
      </c>
      <c r="E23" s="6" t="s">
        <v>402</v>
      </c>
      <c r="F23" s="3" t="s">
        <v>20</v>
      </c>
      <c r="G23" s="5" t="s">
        <v>473</v>
      </c>
      <c r="H23" s="6" t="s">
        <v>404</v>
      </c>
      <c r="I23" s="3" t="s">
        <v>73</v>
      </c>
      <c r="J23" s="5" t="s">
        <v>418</v>
      </c>
      <c r="K23" s="6" t="s">
        <v>406</v>
      </c>
      <c r="L23" s="3" t="s">
        <v>73</v>
      </c>
      <c r="M23" s="5" t="s">
        <v>419</v>
      </c>
      <c r="N23" s="6" t="s">
        <v>408</v>
      </c>
      <c r="O23" s="3" t="s">
        <v>73</v>
      </c>
      <c r="P23" s="5" t="s">
        <v>474</v>
      </c>
      <c r="Q23" s="6" t="s">
        <v>410</v>
      </c>
      <c r="R23" s="3" t="s">
        <v>73</v>
      </c>
      <c r="S23" s="5" t="s">
        <v>426</v>
      </c>
      <c r="T23" s="6" t="s">
        <v>412</v>
      </c>
      <c r="U23" s="3" t="s">
        <v>73</v>
      </c>
      <c r="V23" s="5" t="s">
        <v>475</v>
      </c>
      <c r="W23" s="6" t="s">
        <v>414</v>
      </c>
      <c r="X23" s="3">
        <f t="shared" si="0"/>
        <v>6</v>
      </c>
      <c r="Y23" s="3" t="s">
        <v>96</v>
      </c>
    </row>
    <row r="24" spans="1:25" ht="36" x14ac:dyDescent="0.3">
      <c r="A24" s="3" t="s">
        <v>134</v>
      </c>
      <c r="B24" s="3" t="s">
        <v>135</v>
      </c>
      <c r="C24" s="3" t="s">
        <v>20</v>
      </c>
      <c r="D24" s="5" t="s">
        <v>423</v>
      </c>
      <c r="E24" s="6" t="s">
        <v>402</v>
      </c>
      <c r="F24" s="3" t="s">
        <v>20</v>
      </c>
      <c r="G24" s="5" t="s">
        <v>20</v>
      </c>
      <c r="H24" s="6" t="s">
        <v>404</v>
      </c>
      <c r="I24" s="3" t="s">
        <v>73</v>
      </c>
      <c r="J24" s="5" t="s">
        <v>418</v>
      </c>
      <c r="K24" s="6" t="s">
        <v>406</v>
      </c>
      <c r="L24" s="3" t="s">
        <v>73</v>
      </c>
      <c r="M24" s="5" t="s">
        <v>476</v>
      </c>
      <c r="N24" s="6" t="s">
        <v>408</v>
      </c>
      <c r="O24" s="3" t="s">
        <v>73</v>
      </c>
      <c r="P24" s="5" t="s">
        <v>477</v>
      </c>
      <c r="Q24" s="6" t="s">
        <v>410</v>
      </c>
      <c r="R24" s="3" t="s">
        <v>73</v>
      </c>
      <c r="S24" s="5" t="s">
        <v>426</v>
      </c>
      <c r="T24" s="6" t="s">
        <v>412</v>
      </c>
      <c r="U24" s="3" t="s">
        <v>73</v>
      </c>
      <c r="V24" s="5" t="s">
        <v>454</v>
      </c>
      <c r="W24" s="6" t="s">
        <v>414</v>
      </c>
      <c r="X24" s="3">
        <f t="shared" si="0"/>
        <v>6</v>
      </c>
      <c r="Y24" s="3" t="s">
        <v>96</v>
      </c>
    </row>
    <row r="25" spans="1:25" ht="36" x14ac:dyDescent="0.3">
      <c r="A25" s="3" t="s">
        <v>136</v>
      </c>
      <c r="B25" s="3" t="s">
        <v>137</v>
      </c>
      <c r="C25" s="3" t="s">
        <v>73</v>
      </c>
      <c r="D25" s="5" t="s">
        <v>461</v>
      </c>
      <c r="E25" s="6" t="s">
        <v>402</v>
      </c>
      <c r="F25" s="3" t="s">
        <v>20</v>
      </c>
      <c r="G25" s="5" t="s">
        <v>478</v>
      </c>
      <c r="H25" s="6" t="s">
        <v>404</v>
      </c>
      <c r="I25" s="3" t="s">
        <v>20</v>
      </c>
      <c r="J25" s="5" t="s">
        <v>435</v>
      </c>
      <c r="K25" s="6" t="s">
        <v>406</v>
      </c>
      <c r="L25" s="3" t="s">
        <v>73</v>
      </c>
      <c r="M25" s="5" t="s">
        <v>479</v>
      </c>
      <c r="N25" s="6" t="s">
        <v>408</v>
      </c>
      <c r="O25" s="3" t="s">
        <v>20</v>
      </c>
      <c r="P25" s="5" t="s">
        <v>155</v>
      </c>
      <c r="Q25" s="6" t="s">
        <v>410</v>
      </c>
      <c r="R25" s="3" t="s">
        <v>73</v>
      </c>
      <c r="S25" s="5" t="s">
        <v>480</v>
      </c>
      <c r="T25" s="6" t="s">
        <v>412</v>
      </c>
      <c r="U25" s="3" t="s">
        <v>73</v>
      </c>
      <c r="V25" s="5" t="s">
        <v>456</v>
      </c>
      <c r="W25" s="6" t="s">
        <v>414</v>
      </c>
      <c r="X25" s="3">
        <f t="shared" si="0"/>
        <v>7</v>
      </c>
      <c r="Y25" s="3" t="s">
        <v>96</v>
      </c>
    </row>
    <row r="26" spans="1:25" ht="60" x14ac:dyDescent="0.3">
      <c r="A26" s="3" t="s">
        <v>138</v>
      </c>
      <c r="B26" s="3" t="s">
        <v>139</v>
      </c>
      <c r="C26" s="3" t="s">
        <v>20</v>
      </c>
      <c r="D26" s="5" t="s">
        <v>423</v>
      </c>
      <c r="E26" s="6" t="s">
        <v>402</v>
      </c>
      <c r="F26" s="3" t="s">
        <v>20</v>
      </c>
      <c r="G26" s="5" t="s">
        <v>424</v>
      </c>
      <c r="H26" s="6" t="s">
        <v>404</v>
      </c>
      <c r="I26" s="3" t="s">
        <v>73</v>
      </c>
      <c r="J26" s="5" t="s">
        <v>418</v>
      </c>
      <c r="K26" s="6" t="s">
        <v>406</v>
      </c>
      <c r="L26" s="3" t="s">
        <v>73</v>
      </c>
      <c r="M26" s="5" t="s">
        <v>436</v>
      </c>
      <c r="N26" s="6" t="s">
        <v>408</v>
      </c>
      <c r="O26" s="3" t="s">
        <v>73</v>
      </c>
      <c r="P26" s="5" t="s">
        <v>481</v>
      </c>
      <c r="Q26" s="6" t="s">
        <v>410</v>
      </c>
      <c r="R26" s="3" t="s">
        <v>73</v>
      </c>
      <c r="S26" s="5" t="s">
        <v>482</v>
      </c>
      <c r="T26" s="6" t="s">
        <v>412</v>
      </c>
      <c r="U26" s="3" t="s">
        <v>73</v>
      </c>
      <c r="V26" s="5" t="s">
        <v>450</v>
      </c>
      <c r="W26" s="6" t="s">
        <v>414</v>
      </c>
      <c r="X26" s="3">
        <f t="shared" si="0"/>
        <v>6</v>
      </c>
      <c r="Y26" s="3" t="s">
        <v>96</v>
      </c>
    </row>
    <row r="27" spans="1:25" ht="60" x14ac:dyDescent="0.3">
      <c r="A27" s="3" t="s">
        <v>140</v>
      </c>
      <c r="B27" s="3" t="s">
        <v>141</v>
      </c>
      <c r="C27" s="3" t="s">
        <v>73</v>
      </c>
      <c r="D27" s="5" t="s">
        <v>461</v>
      </c>
      <c r="E27" s="6" t="s">
        <v>402</v>
      </c>
      <c r="F27" s="3" t="s">
        <v>73</v>
      </c>
      <c r="G27" s="5" t="s">
        <v>483</v>
      </c>
      <c r="H27" s="6" t="s">
        <v>404</v>
      </c>
      <c r="I27" s="3" t="s">
        <v>73</v>
      </c>
      <c r="J27" s="5" t="s">
        <v>418</v>
      </c>
      <c r="K27" s="6" t="s">
        <v>406</v>
      </c>
      <c r="L27" s="3" t="s">
        <v>73</v>
      </c>
      <c r="M27" s="5" t="s">
        <v>448</v>
      </c>
      <c r="N27" s="6" t="s">
        <v>408</v>
      </c>
      <c r="O27" s="3" t="s">
        <v>73</v>
      </c>
      <c r="P27" s="5" t="s">
        <v>484</v>
      </c>
      <c r="Q27" s="6" t="s">
        <v>410</v>
      </c>
      <c r="R27" s="3" t="s">
        <v>73</v>
      </c>
      <c r="S27" s="5" t="s">
        <v>485</v>
      </c>
      <c r="T27" s="6" t="s">
        <v>412</v>
      </c>
      <c r="U27" s="3" t="s">
        <v>73</v>
      </c>
      <c r="V27" s="5" t="s">
        <v>486</v>
      </c>
      <c r="W27" s="6" t="s">
        <v>414</v>
      </c>
      <c r="X27" s="3">
        <f t="shared" si="0"/>
        <v>10</v>
      </c>
      <c r="Y27" s="3" t="s">
        <v>96</v>
      </c>
    </row>
    <row r="28" spans="1:25" ht="36" x14ac:dyDescent="0.3">
      <c r="A28" s="3" t="s">
        <v>142</v>
      </c>
      <c r="B28" s="3" t="s">
        <v>143</v>
      </c>
      <c r="C28" s="3" t="s">
        <v>20</v>
      </c>
      <c r="D28" s="5" t="s">
        <v>423</v>
      </c>
      <c r="E28" s="6" t="s">
        <v>402</v>
      </c>
      <c r="F28" s="3" t="s">
        <v>20</v>
      </c>
      <c r="G28" s="5" t="s">
        <v>487</v>
      </c>
      <c r="H28" s="6" t="s">
        <v>404</v>
      </c>
      <c r="I28" s="3" t="s">
        <v>73</v>
      </c>
      <c r="J28" s="5" t="s">
        <v>418</v>
      </c>
      <c r="K28" s="6" t="s">
        <v>406</v>
      </c>
      <c r="L28" s="3" t="s">
        <v>73</v>
      </c>
      <c r="M28" s="5" t="s">
        <v>428</v>
      </c>
      <c r="N28" s="6" t="s">
        <v>408</v>
      </c>
      <c r="O28" s="3" t="s">
        <v>20</v>
      </c>
      <c r="P28" s="5" t="s">
        <v>469</v>
      </c>
      <c r="Q28" s="6" t="s">
        <v>410</v>
      </c>
      <c r="R28" s="3" t="s">
        <v>73</v>
      </c>
      <c r="S28" s="5" t="s">
        <v>455</v>
      </c>
      <c r="T28" s="6" t="s">
        <v>412</v>
      </c>
      <c r="U28" s="3" t="s">
        <v>73</v>
      </c>
      <c r="V28" s="5" t="s">
        <v>438</v>
      </c>
      <c r="W28" s="6" t="s">
        <v>414</v>
      </c>
      <c r="X28" s="3">
        <f t="shared" si="0"/>
        <v>5</v>
      </c>
      <c r="Y28" s="3" t="s">
        <v>96</v>
      </c>
    </row>
    <row r="29" spans="1:25" ht="36" x14ac:dyDescent="0.3">
      <c r="A29" s="3" t="s">
        <v>144</v>
      </c>
      <c r="B29" s="3" t="s">
        <v>145</v>
      </c>
      <c r="C29" s="3" t="s">
        <v>20</v>
      </c>
      <c r="D29" s="5" t="s">
        <v>416</v>
      </c>
      <c r="E29" s="6" t="s">
        <v>402</v>
      </c>
      <c r="F29" s="3" t="s">
        <v>20</v>
      </c>
      <c r="G29" s="5" t="s">
        <v>457</v>
      </c>
      <c r="H29" s="6" t="s">
        <v>404</v>
      </c>
      <c r="I29" s="3" t="s">
        <v>20</v>
      </c>
      <c r="J29" s="5" t="s">
        <v>418</v>
      </c>
      <c r="K29" s="6" t="s">
        <v>406</v>
      </c>
      <c r="L29" s="3" t="s">
        <v>20</v>
      </c>
      <c r="M29" s="5" t="s">
        <v>488</v>
      </c>
      <c r="N29" s="6" t="s">
        <v>408</v>
      </c>
      <c r="O29" s="3" t="s">
        <v>20</v>
      </c>
      <c r="P29" s="5" t="s">
        <v>489</v>
      </c>
      <c r="Q29" s="6" t="s">
        <v>410</v>
      </c>
      <c r="R29" s="3" t="s">
        <v>20</v>
      </c>
      <c r="S29" s="5" t="s">
        <v>455</v>
      </c>
      <c r="T29" s="6" t="s">
        <v>412</v>
      </c>
      <c r="U29" s="3" t="s">
        <v>20</v>
      </c>
      <c r="V29" s="5" t="s">
        <v>490</v>
      </c>
      <c r="W29" s="6" t="s">
        <v>414</v>
      </c>
      <c r="X29" s="3">
        <f t="shared" si="0"/>
        <v>0</v>
      </c>
      <c r="Y29" s="3" t="s">
        <v>96</v>
      </c>
    </row>
    <row r="30" spans="1:25" ht="48" x14ac:dyDescent="0.3">
      <c r="A30" s="3" t="s">
        <v>147</v>
      </c>
      <c r="B30" s="3" t="s">
        <v>148</v>
      </c>
      <c r="C30" s="3" t="s">
        <v>73</v>
      </c>
      <c r="D30" s="5" t="s">
        <v>461</v>
      </c>
      <c r="E30" s="6" t="s">
        <v>402</v>
      </c>
      <c r="F30" s="3" t="s">
        <v>20</v>
      </c>
      <c r="G30" s="5" t="s">
        <v>457</v>
      </c>
      <c r="H30" s="6" t="s">
        <v>404</v>
      </c>
      <c r="I30" s="3" t="s">
        <v>73</v>
      </c>
      <c r="J30" s="5" t="s">
        <v>418</v>
      </c>
      <c r="K30" s="6" t="s">
        <v>406</v>
      </c>
      <c r="L30" s="3" t="s">
        <v>73</v>
      </c>
      <c r="M30" s="5" t="s">
        <v>428</v>
      </c>
      <c r="N30" s="6" t="s">
        <v>408</v>
      </c>
      <c r="O30" s="3" t="s">
        <v>20</v>
      </c>
      <c r="P30" s="5" t="s">
        <v>491</v>
      </c>
      <c r="Q30" s="6" t="s">
        <v>410</v>
      </c>
      <c r="R30" s="3" t="s">
        <v>20</v>
      </c>
      <c r="S30" s="5" t="s">
        <v>492</v>
      </c>
      <c r="T30" s="6" t="s">
        <v>412</v>
      </c>
      <c r="U30" s="3" t="s">
        <v>73</v>
      </c>
      <c r="V30" s="5" t="s">
        <v>493</v>
      </c>
      <c r="W30" s="6" t="s">
        <v>414</v>
      </c>
      <c r="X30" s="3">
        <f t="shared" si="0"/>
        <v>7</v>
      </c>
      <c r="Y30" s="3" t="s">
        <v>96</v>
      </c>
    </row>
    <row r="31" spans="1:25" ht="36" x14ac:dyDescent="0.3">
      <c r="A31" s="3" t="s">
        <v>149</v>
      </c>
      <c r="B31" s="3" t="s">
        <v>150</v>
      </c>
      <c r="C31" s="3" t="s">
        <v>20</v>
      </c>
      <c r="D31" s="5" t="s">
        <v>423</v>
      </c>
      <c r="E31" s="6" t="s">
        <v>402</v>
      </c>
      <c r="F31" s="3" t="s">
        <v>20</v>
      </c>
      <c r="G31" s="5" t="s">
        <v>20</v>
      </c>
      <c r="H31" s="6" t="s">
        <v>404</v>
      </c>
      <c r="I31" s="3" t="s">
        <v>73</v>
      </c>
      <c r="J31" s="5" t="s">
        <v>418</v>
      </c>
      <c r="K31" s="6" t="s">
        <v>406</v>
      </c>
      <c r="L31" s="3" t="s">
        <v>73</v>
      </c>
      <c r="M31" s="5" t="s">
        <v>476</v>
      </c>
      <c r="N31" s="6" t="s">
        <v>408</v>
      </c>
      <c r="O31" s="3" t="s">
        <v>20</v>
      </c>
      <c r="P31" s="5" t="s">
        <v>155</v>
      </c>
      <c r="Q31" s="6" t="s">
        <v>410</v>
      </c>
      <c r="R31" s="3" t="s">
        <v>73</v>
      </c>
      <c r="S31" s="5" t="s">
        <v>494</v>
      </c>
      <c r="T31" s="6" t="s">
        <v>412</v>
      </c>
      <c r="U31" s="3" t="s">
        <v>73</v>
      </c>
      <c r="V31" s="5" t="s">
        <v>442</v>
      </c>
      <c r="W31" s="6" t="s">
        <v>414</v>
      </c>
      <c r="X31" s="3">
        <f t="shared" si="0"/>
        <v>5</v>
      </c>
      <c r="Y31" s="3" t="s">
        <v>96</v>
      </c>
    </row>
    <row r="32" spans="1:25" ht="60" x14ac:dyDescent="0.3">
      <c r="A32" s="3" t="s">
        <v>151</v>
      </c>
      <c r="B32" s="3" t="s">
        <v>152</v>
      </c>
      <c r="C32" s="3" t="s">
        <v>20</v>
      </c>
      <c r="D32" s="5" t="s">
        <v>423</v>
      </c>
      <c r="E32" s="6" t="s">
        <v>402</v>
      </c>
      <c r="F32" s="3" t="s">
        <v>73</v>
      </c>
      <c r="G32" s="5" t="s">
        <v>495</v>
      </c>
      <c r="H32" s="6" t="s">
        <v>404</v>
      </c>
      <c r="I32" s="3" t="s">
        <v>73</v>
      </c>
      <c r="J32" s="5" t="s">
        <v>418</v>
      </c>
      <c r="K32" s="6" t="s">
        <v>406</v>
      </c>
      <c r="L32" s="3" t="s">
        <v>73</v>
      </c>
      <c r="M32" s="5" t="s">
        <v>496</v>
      </c>
      <c r="N32" s="6" t="s">
        <v>408</v>
      </c>
      <c r="O32" s="3" t="s">
        <v>73</v>
      </c>
      <c r="P32" s="5" t="s">
        <v>497</v>
      </c>
      <c r="Q32" s="6" t="s">
        <v>410</v>
      </c>
      <c r="R32" s="3" t="s">
        <v>73</v>
      </c>
      <c r="S32" s="5" t="s">
        <v>426</v>
      </c>
      <c r="T32" s="6" t="s">
        <v>412</v>
      </c>
      <c r="U32" s="3" t="s">
        <v>73</v>
      </c>
      <c r="V32" s="5" t="s">
        <v>450</v>
      </c>
      <c r="W32" s="6" t="s">
        <v>414</v>
      </c>
      <c r="X32" s="3">
        <f t="shared" si="0"/>
        <v>7</v>
      </c>
      <c r="Y32" s="3" t="s">
        <v>96</v>
      </c>
    </row>
    <row r="33" spans="1:25" ht="36" x14ac:dyDescent="0.3">
      <c r="A33" s="3" t="s">
        <v>153</v>
      </c>
      <c r="B33" s="3" t="s">
        <v>154</v>
      </c>
      <c r="C33" s="3" t="s">
        <v>20</v>
      </c>
      <c r="D33" s="5" t="s">
        <v>155</v>
      </c>
      <c r="E33" s="6" t="s">
        <v>402</v>
      </c>
      <c r="F33" s="3" t="s">
        <v>20</v>
      </c>
      <c r="G33" s="5" t="s">
        <v>155</v>
      </c>
      <c r="H33" s="6" t="s">
        <v>404</v>
      </c>
      <c r="I33" s="3" t="s">
        <v>20</v>
      </c>
      <c r="J33" s="5" t="s">
        <v>155</v>
      </c>
      <c r="K33" s="6" t="s">
        <v>406</v>
      </c>
      <c r="L33" s="3" t="s">
        <v>20</v>
      </c>
      <c r="M33" s="5" t="s">
        <v>155</v>
      </c>
      <c r="N33" s="6" t="s">
        <v>408</v>
      </c>
      <c r="O33" s="3" t="s">
        <v>20</v>
      </c>
      <c r="P33" s="5" t="s">
        <v>155</v>
      </c>
      <c r="Q33" s="6" t="s">
        <v>410</v>
      </c>
      <c r="R33" s="3" t="s">
        <v>20</v>
      </c>
      <c r="S33" s="5" t="s">
        <v>155</v>
      </c>
      <c r="T33" s="6" t="s">
        <v>412</v>
      </c>
      <c r="U33" s="3" t="s">
        <v>20</v>
      </c>
      <c r="V33" s="5" t="s">
        <v>155</v>
      </c>
      <c r="W33" s="6" t="s">
        <v>414</v>
      </c>
      <c r="X33" s="3">
        <f t="shared" si="0"/>
        <v>0</v>
      </c>
      <c r="Y33" s="3" t="s">
        <v>96</v>
      </c>
    </row>
    <row r="34" spans="1:25" ht="36" x14ac:dyDescent="0.3">
      <c r="A34" s="3" t="s">
        <v>156</v>
      </c>
      <c r="B34" s="3" t="s">
        <v>157</v>
      </c>
      <c r="C34" s="3" t="s">
        <v>20</v>
      </c>
      <c r="D34" s="5" t="s">
        <v>461</v>
      </c>
      <c r="E34" s="6" t="s">
        <v>402</v>
      </c>
      <c r="F34" s="3" t="s">
        <v>20</v>
      </c>
      <c r="G34" s="5" t="s">
        <v>457</v>
      </c>
      <c r="H34" s="6" t="s">
        <v>404</v>
      </c>
      <c r="I34" s="3" t="s">
        <v>20</v>
      </c>
      <c r="J34" s="5" t="s">
        <v>418</v>
      </c>
      <c r="K34" s="6" t="s">
        <v>406</v>
      </c>
      <c r="L34" s="3" t="s">
        <v>20</v>
      </c>
      <c r="M34" s="5" t="s">
        <v>436</v>
      </c>
      <c r="N34" s="6" t="s">
        <v>408</v>
      </c>
      <c r="O34" s="3" t="s">
        <v>20</v>
      </c>
      <c r="P34" s="5" t="s">
        <v>155</v>
      </c>
      <c r="Q34" s="6" t="s">
        <v>410</v>
      </c>
      <c r="R34" s="3" t="s">
        <v>20</v>
      </c>
      <c r="S34" s="5" t="s">
        <v>426</v>
      </c>
      <c r="T34" s="6" t="s">
        <v>412</v>
      </c>
      <c r="U34" s="3" t="s">
        <v>20</v>
      </c>
      <c r="V34" s="5" t="s">
        <v>454</v>
      </c>
      <c r="W34" s="6" t="s">
        <v>414</v>
      </c>
      <c r="X34" s="3">
        <f t="shared" si="0"/>
        <v>0</v>
      </c>
      <c r="Y34" s="3" t="s">
        <v>96</v>
      </c>
    </row>
  </sheetData>
  <mergeCells count="12">
    <mergeCell ref="A6:B6"/>
    <mergeCell ref="A1:Y1"/>
    <mergeCell ref="A2:Y2"/>
    <mergeCell ref="A4:B4"/>
    <mergeCell ref="C4:E4"/>
    <mergeCell ref="F4:H4"/>
    <mergeCell ref="I4:K4"/>
    <mergeCell ref="L4:N4"/>
    <mergeCell ref="O4:Q4"/>
    <mergeCell ref="R4:T4"/>
    <mergeCell ref="U4:W4"/>
    <mergeCell ref="X4:Y4"/>
  </mergeCells>
  <conditionalFormatting sqref="C7:C34">
    <cfRule type="expression" dxfId="20" priority="37">
      <formula>C7="Sim"</formula>
    </cfRule>
    <cfRule type="expression" dxfId="19" priority="38">
      <formula>C7="Não"</formula>
    </cfRule>
    <cfRule type="expression" dxfId="18" priority="39">
      <formula>C7="Sem evidência"</formula>
    </cfRule>
  </conditionalFormatting>
  <conditionalFormatting sqref="F7:F34">
    <cfRule type="expression" dxfId="17" priority="40">
      <formula>F7="Sim"</formula>
    </cfRule>
    <cfRule type="expression" dxfId="16" priority="41">
      <formula>F7="Não"</formula>
    </cfRule>
    <cfRule type="expression" dxfId="15" priority="42">
      <formula>F7="Sem evidência"</formula>
    </cfRule>
  </conditionalFormatting>
  <conditionalFormatting sqref="I7:I34">
    <cfRule type="expression" dxfId="14" priority="43">
      <formula>I7="Sim"</formula>
    </cfRule>
    <cfRule type="expression" dxfId="13" priority="44">
      <formula>I7="Não"</formula>
    </cfRule>
    <cfRule type="expression" dxfId="12" priority="45">
      <formula>I7="Sem evidência"</formula>
    </cfRule>
  </conditionalFormatting>
  <conditionalFormatting sqref="L7:L34">
    <cfRule type="expression" dxfId="11" priority="46">
      <formula>L7="Sim"</formula>
    </cfRule>
    <cfRule type="expression" dxfId="10" priority="47">
      <formula>L7="Não"</formula>
    </cfRule>
    <cfRule type="expression" dxfId="9" priority="48">
      <formula>L7="Sem evidência"</formula>
    </cfRule>
  </conditionalFormatting>
  <conditionalFormatting sqref="O7:O34">
    <cfRule type="expression" dxfId="8" priority="25">
      <formula>O7="Sim"</formula>
    </cfRule>
    <cfRule type="expression" dxfId="7" priority="26">
      <formula>O7="Não"</formula>
    </cfRule>
    <cfRule type="expression" dxfId="6" priority="27">
      <formula>O7="Sem evidência"</formula>
    </cfRule>
  </conditionalFormatting>
  <conditionalFormatting sqref="R7:R34">
    <cfRule type="expression" dxfId="5" priority="13">
      <formula>R7="Sim"</formula>
    </cfRule>
    <cfRule type="expression" dxfId="4" priority="14">
      <formula>R7="Não"</formula>
    </cfRule>
    <cfRule type="expression" dxfId="3" priority="15">
      <formula>R7="Sem evidência"</formula>
    </cfRule>
  </conditionalFormatting>
  <conditionalFormatting sqref="U7:U34">
    <cfRule type="expression" dxfId="2" priority="1">
      <formula>U7="Sim"</formula>
    </cfRule>
    <cfRule type="expression" dxfId="1" priority="2">
      <formula>U7="Não"</formula>
    </cfRule>
    <cfRule type="expression" dxfId="0" priority="3">
      <formula>U7="Sem evidência"</formula>
    </cfRule>
  </conditionalFormatting>
  <dataValidations count="1">
    <dataValidation type="list" sqref="C7:C34 O7:O34 L7:L34 I7:I34 R7:R34 F7:F34 U7:U34" xr:uid="{00000000-0002-0000-0700-000000000000}">
      <formula1>"Sim,Não,Sem evidência"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2"/>
  <sheetViews>
    <sheetView topLeftCell="A4" workbookViewId="0">
      <selection sqref="A1:P1"/>
    </sheetView>
  </sheetViews>
  <sheetFormatPr defaultRowHeight="14.4" x14ac:dyDescent="0.3"/>
  <cols>
    <col min="1" max="1" width="8" customWidth="1"/>
    <col min="2" max="2" width="29" customWidth="1"/>
    <col min="3" max="3" width="18" customWidth="1"/>
    <col min="4" max="4" width="14" customWidth="1"/>
    <col min="5" max="7" width="16" customWidth="1"/>
    <col min="8" max="8" width="20" customWidth="1"/>
    <col min="9" max="9" width="14" customWidth="1"/>
    <col min="10" max="10" width="18" customWidth="1"/>
    <col min="11" max="12" width="14" customWidth="1"/>
    <col min="13" max="13" width="18" customWidth="1"/>
    <col min="14" max="14" width="17" customWidth="1"/>
    <col min="15" max="15" width="46" customWidth="1"/>
    <col min="16" max="16" width="35" customWidth="1"/>
    <col min="18" max="18" width="31" customWidth="1"/>
    <col min="19" max="19" width="12" customWidth="1"/>
  </cols>
  <sheetData>
    <row r="1" spans="1:19" ht="22.35" customHeight="1" x14ac:dyDescent="0.3">
      <c r="A1" s="8" t="s">
        <v>498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9" ht="38.4" customHeight="1" x14ac:dyDescent="0.3">
      <c r="A2" s="9" t="s">
        <v>499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1:19" ht="28.8" x14ac:dyDescent="0.3">
      <c r="A4" s="2" t="s">
        <v>80</v>
      </c>
      <c r="B4" s="2" t="s">
        <v>81</v>
      </c>
      <c r="C4" s="2" t="s">
        <v>500</v>
      </c>
      <c r="D4" s="2" t="s">
        <v>501</v>
      </c>
      <c r="E4" s="2" t="s">
        <v>502</v>
      </c>
      <c r="F4" s="2" t="s">
        <v>503</v>
      </c>
      <c r="G4" s="2" t="s">
        <v>504</v>
      </c>
      <c r="H4" s="2" t="s">
        <v>505</v>
      </c>
      <c r="I4" s="2" t="s">
        <v>506</v>
      </c>
      <c r="J4" s="2" t="s">
        <v>400</v>
      </c>
      <c r="K4" s="2" t="s">
        <v>507</v>
      </c>
      <c r="L4" s="2" t="s">
        <v>508</v>
      </c>
      <c r="M4" s="2" t="s">
        <v>87</v>
      </c>
      <c r="N4" s="2" t="s">
        <v>509</v>
      </c>
      <c r="O4" s="2" t="s">
        <v>510</v>
      </c>
      <c r="P4" s="2" t="s">
        <v>10</v>
      </c>
      <c r="R4" s="2" t="s">
        <v>511</v>
      </c>
      <c r="S4" s="2" t="s">
        <v>512</v>
      </c>
    </row>
    <row r="5" spans="1:19" x14ac:dyDescent="0.3">
      <c r="A5" s="3" t="s">
        <v>97</v>
      </c>
      <c r="B5" s="3" t="s">
        <v>98</v>
      </c>
      <c r="C5" s="3">
        <f>'01_Institucionalização'!G7</f>
        <v>15</v>
      </c>
      <c r="D5" s="3">
        <f>'02_Autonomia'!W7</f>
        <v>13.5</v>
      </c>
      <c r="E5" s="3">
        <f>'03_Imparcialidade'!K7</f>
        <v>11.5</v>
      </c>
      <c r="F5" s="3">
        <f>'04_Acessibilidade'!AA7</f>
        <v>13</v>
      </c>
      <c r="G5" s="3">
        <f>'05_Transparência'!K7</f>
        <v>10</v>
      </c>
      <c r="H5" s="3">
        <f>'06_Integração Tec'!AE7</f>
        <v>23</v>
      </c>
      <c r="I5" s="3">
        <f t="shared" ref="I5:I32" si="0">IF(M5&lt;&gt;"Instituída","",SUM(C5:H5))</f>
        <v>86</v>
      </c>
      <c r="J5" s="3">
        <f>IF(M5&lt;&gt;"Instituída","",'07_Maturidade'!X7)</f>
        <v>9</v>
      </c>
      <c r="K5" s="3">
        <f t="shared" ref="K5:K32" si="1">IF(M5&lt;&gt;"Instituída","",MIN(J5,MAX(0,100-I5)))</f>
        <v>9</v>
      </c>
      <c r="L5" s="3">
        <f t="shared" ref="L5:L32" si="2">IF(M5&lt;&gt;"Instituída","",MIN(100,I5+K5))</f>
        <v>95</v>
      </c>
      <c r="M5" s="3" t="str">
        <f>'01_Institucionalização'!H7</f>
        <v>Instituída</v>
      </c>
      <c r="N5" s="3" t="str">
        <f t="shared" ref="N5:N32" si="3">IF(M5&lt;&gt;"Instituída","",IF(OR(D5=0,E5=0,F5=0,G5=0,H5=0),"Sim","Não"))</f>
        <v>Não</v>
      </c>
      <c r="O5" s="3" t="str">
        <f t="shared" ref="O5:O32" si="4">IF(M5="Não instituída","Não instituída",IF(M5&lt;&gt;"Instituída","Sem evidência",IF(N5="Sim","Instituída — aderência insuficiente (dimensão essencial zerada)",IF(L5&lt;50,"Instituída — baixa aderência",IF(L5&lt;70,"Instituída — aderência parcial",IF(L5&lt;90,"Instituída — aderência satisfatória","Instituída — elevada aderência"))))))</f>
        <v>Instituída — elevada aderência</v>
      </c>
      <c r="P5" s="3" t="str">
        <f t="shared" ref="P5:P32" si="5">IF(M5&lt;&gt;"Instituída","",IF(K5=0,"Bônus não aplicado",IF(K5&lt;J5,"Bônus limitado ao necessário para atingir 100","Bônus integralmente aplicado")))</f>
        <v>Bônus integralmente aplicado</v>
      </c>
      <c r="R5" t="s">
        <v>513</v>
      </c>
      <c r="S5">
        <f>COUNTA(A5:A32)</f>
        <v>28</v>
      </c>
    </row>
    <row r="6" spans="1:19" x14ac:dyDescent="0.3">
      <c r="A6" s="3" t="s">
        <v>100</v>
      </c>
      <c r="B6" s="3" t="s">
        <v>101</v>
      </c>
      <c r="C6" s="3">
        <f>'01_Institucionalização'!G8</f>
        <v>15</v>
      </c>
      <c r="D6" s="3">
        <f>'02_Autonomia'!W8</f>
        <v>9</v>
      </c>
      <c r="E6" s="3">
        <f>'03_Imparcialidade'!K8</f>
        <v>8</v>
      </c>
      <c r="F6" s="3">
        <f>'04_Acessibilidade'!AA8</f>
        <v>12</v>
      </c>
      <c r="G6" s="3">
        <f>'05_Transparência'!K8</f>
        <v>10</v>
      </c>
      <c r="H6" s="3">
        <f>'06_Integração Tec'!AE8</f>
        <v>14.5</v>
      </c>
      <c r="I6" s="3">
        <f t="shared" si="0"/>
        <v>68.5</v>
      </c>
      <c r="J6" s="3">
        <f>IF(M6&lt;&gt;"Instituída","",'07_Maturidade'!X8)</f>
        <v>6</v>
      </c>
      <c r="K6" s="3">
        <f t="shared" si="1"/>
        <v>6</v>
      </c>
      <c r="L6" s="3">
        <f t="shared" si="2"/>
        <v>74.5</v>
      </c>
      <c r="M6" s="3" t="str">
        <f>'01_Institucionalização'!H8</f>
        <v>Instituída</v>
      </c>
      <c r="N6" s="3" t="str">
        <f t="shared" si="3"/>
        <v>Não</v>
      </c>
      <c r="O6" s="3" t="str">
        <f t="shared" si="4"/>
        <v>Instituída — aderência satisfatória</v>
      </c>
      <c r="P6" s="3" t="str">
        <f t="shared" si="5"/>
        <v>Bônus integralmente aplicado</v>
      </c>
      <c r="R6" t="s">
        <v>514</v>
      </c>
      <c r="S6">
        <f>COUNTIF(M5:M32,"Instituída")</f>
        <v>25</v>
      </c>
    </row>
    <row r="7" spans="1:19" x14ac:dyDescent="0.3">
      <c r="A7" s="3" t="s">
        <v>103</v>
      </c>
      <c r="B7" s="3" t="s">
        <v>104</v>
      </c>
      <c r="C7" s="3">
        <f>'01_Institucionalização'!G9</f>
        <v>15</v>
      </c>
      <c r="D7" s="3">
        <f>'02_Autonomia'!W9</f>
        <v>15</v>
      </c>
      <c r="E7" s="3">
        <f>'03_Imparcialidade'!K9</f>
        <v>15</v>
      </c>
      <c r="F7" s="3">
        <f>'04_Acessibilidade'!AA9</f>
        <v>13.5</v>
      </c>
      <c r="G7" s="3">
        <f>'05_Transparência'!K9</f>
        <v>10</v>
      </c>
      <c r="H7" s="3">
        <f>'06_Integração Tec'!AE9</f>
        <v>17</v>
      </c>
      <c r="I7" s="3">
        <f t="shared" si="0"/>
        <v>85.5</v>
      </c>
      <c r="J7" s="3">
        <f>IF(M7&lt;&gt;"Instituída","",'07_Maturidade'!X9)</f>
        <v>6</v>
      </c>
      <c r="K7" s="3">
        <f t="shared" si="1"/>
        <v>6</v>
      </c>
      <c r="L7" s="3">
        <f t="shared" si="2"/>
        <v>91.5</v>
      </c>
      <c r="M7" s="3" t="str">
        <f>'01_Institucionalização'!H9</f>
        <v>Instituída</v>
      </c>
      <c r="N7" s="3" t="str">
        <f t="shared" si="3"/>
        <v>Não</v>
      </c>
      <c r="O7" s="3" t="str">
        <f t="shared" si="4"/>
        <v>Instituída — elevada aderência</v>
      </c>
      <c r="P7" s="3" t="str">
        <f t="shared" si="5"/>
        <v>Bônus integralmente aplicado</v>
      </c>
      <c r="R7" t="s">
        <v>515</v>
      </c>
      <c r="S7">
        <f>COUNTIF(M5:M32,"Não instituída")</f>
        <v>3</v>
      </c>
    </row>
    <row r="8" spans="1:19" ht="28.8" x14ac:dyDescent="0.3">
      <c r="A8" s="3" t="s">
        <v>105</v>
      </c>
      <c r="B8" s="3" t="s">
        <v>106</v>
      </c>
      <c r="C8" s="3">
        <f>'01_Institucionalização'!G10</f>
        <v>15</v>
      </c>
      <c r="D8" s="3">
        <f>'02_Autonomia'!W10</f>
        <v>15</v>
      </c>
      <c r="E8" s="3">
        <f>'03_Imparcialidade'!K10</f>
        <v>15</v>
      </c>
      <c r="F8" s="3">
        <f>'04_Acessibilidade'!AA10</f>
        <v>11.5</v>
      </c>
      <c r="G8" s="3">
        <f>'05_Transparência'!K10</f>
        <v>15</v>
      </c>
      <c r="H8" s="3">
        <f>'06_Integração Tec'!AE10</f>
        <v>25</v>
      </c>
      <c r="I8" s="3">
        <f t="shared" si="0"/>
        <v>96.5</v>
      </c>
      <c r="J8" s="3">
        <f>IF(M8&lt;&gt;"Instituída","",'07_Maturidade'!X10)</f>
        <v>9</v>
      </c>
      <c r="K8" s="3">
        <f t="shared" si="1"/>
        <v>3.5</v>
      </c>
      <c r="L8" s="3">
        <f t="shared" si="2"/>
        <v>100</v>
      </c>
      <c r="M8" s="3" t="str">
        <f>'01_Institucionalização'!H10</f>
        <v>Instituída</v>
      </c>
      <c r="N8" s="3" t="str">
        <f t="shared" si="3"/>
        <v>Não</v>
      </c>
      <c r="O8" s="3" t="str">
        <f t="shared" si="4"/>
        <v>Instituída — elevada aderência</v>
      </c>
      <c r="P8" s="3" t="str">
        <f t="shared" si="5"/>
        <v>Bônus limitado ao necessário para atingir 100</v>
      </c>
      <c r="R8" t="s">
        <v>516</v>
      </c>
      <c r="S8">
        <f>COUNTIF(M5:M32,"Sem evidência")</f>
        <v>0</v>
      </c>
    </row>
    <row r="9" spans="1:19" x14ac:dyDescent="0.3">
      <c r="A9" s="3" t="s">
        <v>107</v>
      </c>
      <c r="B9" s="3" t="s">
        <v>108</v>
      </c>
      <c r="C9" s="3">
        <f>'01_Institucionalização'!G11</f>
        <v>15</v>
      </c>
      <c r="D9" s="3">
        <f>'02_Autonomia'!W11</f>
        <v>15</v>
      </c>
      <c r="E9" s="3">
        <f>'03_Imparcialidade'!K11</f>
        <v>15</v>
      </c>
      <c r="F9" s="3">
        <f>'04_Acessibilidade'!AA11</f>
        <v>11.5</v>
      </c>
      <c r="G9" s="3">
        <f>'05_Transparência'!K11</f>
        <v>15</v>
      </c>
      <c r="H9" s="3">
        <f>'06_Integração Tec'!AE11</f>
        <v>17</v>
      </c>
      <c r="I9" s="3">
        <f t="shared" si="0"/>
        <v>88.5</v>
      </c>
      <c r="J9" s="3">
        <f>IF(M9&lt;&gt;"Instituída","",'07_Maturidade'!X11)</f>
        <v>4</v>
      </c>
      <c r="K9" s="3">
        <f t="shared" si="1"/>
        <v>4</v>
      </c>
      <c r="L9" s="3">
        <f t="shared" si="2"/>
        <v>92.5</v>
      </c>
      <c r="M9" s="3" t="str">
        <f>'01_Institucionalização'!H11</f>
        <v>Instituída</v>
      </c>
      <c r="N9" s="3" t="str">
        <f t="shared" si="3"/>
        <v>Não</v>
      </c>
      <c r="O9" s="3" t="str">
        <f t="shared" si="4"/>
        <v>Instituída — elevada aderência</v>
      </c>
      <c r="P9" s="3" t="str">
        <f t="shared" si="5"/>
        <v>Bônus integralmente aplicado</v>
      </c>
      <c r="R9" t="s">
        <v>517</v>
      </c>
      <c r="S9">
        <f>COUNTIF(O5:O32,"*elevada*")</f>
        <v>17</v>
      </c>
    </row>
    <row r="10" spans="1:19" x14ac:dyDescent="0.3">
      <c r="A10" s="3" t="s">
        <v>109</v>
      </c>
      <c r="B10" s="3" t="s">
        <v>110</v>
      </c>
      <c r="C10" s="3">
        <f>'01_Institucionalização'!G12</f>
        <v>15</v>
      </c>
      <c r="D10" s="3">
        <f>'02_Autonomia'!W12</f>
        <v>15</v>
      </c>
      <c r="E10" s="3">
        <f>'03_Imparcialidade'!K12</f>
        <v>15</v>
      </c>
      <c r="F10" s="3">
        <f>'04_Acessibilidade'!AA12</f>
        <v>15</v>
      </c>
      <c r="G10" s="3">
        <f>'05_Transparência'!K12</f>
        <v>15</v>
      </c>
      <c r="H10" s="3">
        <f>'06_Integração Tec'!AE12</f>
        <v>25</v>
      </c>
      <c r="I10" s="3">
        <f t="shared" si="0"/>
        <v>100</v>
      </c>
      <c r="J10" s="3">
        <f>IF(M10&lt;&gt;"Instituída","",'07_Maturidade'!X12)</f>
        <v>5</v>
      </c>
      <c r="K10" s="3">
        <f t="shared" si="1"/>
        <v>0</v>
      </c>
      <c r="L10" s="3">
        <f t="shared" si="2"/>
        <v>100</v>
      </c>
      <c r="M10" s="3" t="str">
        <f>'01_Institucionalização'!H12</f>
        <v>Instituída</v>
      </c>
      <c r="N10" s="3" t="str">
        <f t="shared" si="3"/>
        <v>Não</v>
      </c>
      <c r="O10" s="3" t="str">
        <f t="shared" si="4"/>
        <v>Instituída — elevada aderência</v>
      </c>
      <c r="P10" s="3" t="str">
        <f t="shared" si="5"/>
        <v>Bônus não aplicado</v>
      </c>
      <c r="R10" t="s">
        <v>518</v>
      </c>
      <c r="S10">
        <f>COUNTIF(O5:O32,"*satisfatória*")</f>
        <v>7</v>
      </c>
    </row>
    <row r="11" spans="1:19" x14ac:dyDescent="0.3">
      <c r="A11" s="3" t="s">
        <v>111</v>
      </c>
      <c r="B11" s="3" t="s">
        <v>112</v>
      </c>
      <c r="C11" s="3">
        <f>'01_Institucionalização'!G13</f>
        <v>15</v>
      </c>
      <c r="D11" s="3">
        <f>'02_Autonomia'!W13</f>
        <v>12</v>
      </c>
      <c r="E11" s="3">
        <f>'03_Imparcialidade'!K13</f>
        <v>15</v>
      </c>
      <c r="F11" s="3">
        <f>'04_Acessibilidade'!AA13</f>
        <v>8.5</v>
      </c>
      <c r="G11" s="3">
        <f>'05_Transparência'!K13</f>
        <v>15</v>
      </c>
      <c r="H11" s="3">
        <f>'06_Integração Tec'!AE13</f>
        <v>25</v>
      </c>
      <c r="I11" s="3">
        <f t="shared" si="0"/>
        <v>90.5</v>
      </c>
      <c r="J11" s="3">
        <f>IF(M11&lt;&gt;"Instituída","",'07_Maturidade'!X13)</f>
        <v>3</v>
      </c>
      <c r="K11" s="3">
        <f t="shared" si="1"/>
        <v>3</v>
      </c>
      <c r="L11" s="3">
        <f t="shared" si="2"/>
        <v>93.5</v>
      </c>
      <c r="M11" s="3" t="str">
        <f>'01_Institucionalização'!H13</f>
        <v>Instituída</v>
      </c>
      <c r="N11" s="3" t="str">
        <f t="shared" si="3"/>
        <v>Não</v>
      </c>
      <c r="O11" s="3" t="str">
        <f t="shared" si="4"/>
        <v>Instituída — elevada aderência</v>
      </c>
      <c r="P11" s="3" t="str">
        <f t="shared" si="5"/>
        <v>Bônus integralmente aplicado</v>
      </c>
      <c r="R11" t="s">
        <v>519</v>
      </c>
      <c r="S11">
        <f>COUNTIF(O5:O32,"*parcial*")</f>
        <v>0</v>
      </c>
    </row>
    <row r="12" spans="1:19" x14ac:dyDescent="0.3">
      <c r="A12" s="3" t="s">
        <v>113</v>
      </c>
      <c r="B12" s="3" t="s">
        <v>114</v>
      </c>
      <c r="C12" s="3">
        <f>'01_Institucionalização'!G14</f>
        <v>15</v>
      </c>
      <c r="D12" s="3">
        <f>'02_Autonomia'!W14</f>
        <v>15</v>
      </c>
      <c r="E12" s="3">
        <f>'03_Imparcialidade'!K14</f>
        <v>15</v>
      </c>
      <c r="F12" s="3">
        <f>'04_Acessibilidade'!AA14</f>
        <v>15</v>
      </c>
      <c r="G12" s="3">
        <f>'05_Transparência'!K14</f>
        <v>15</v>
      </c>
      <c r="H12" s="3">
        <f>'06_Integração Tec'!AE14</f>
        <v>25</v>
      </c>
      <c r="I12" s="3">
        <f t="shared" si="0"/>
        <v>100</v>
      </c>
      <c r="J12" s="3">
        <f>IF(M12&lt;&gt;"Instituída","",'07_Maturidade'!X14)</f>
        <v>7</v>
      </c>
      <c r="K12" s="3">
        <f t="shared" si="1"/>
        <v>0</v>
      </c>
      <c r="L12" s="3">
        <f t="shared" si="2"/>
        <v>100</v>
      </c>
      <c r="M12" s="3" t="str">
        <f>'01_Institucionalização'!H14</f>
        <v>Instituída</v>
      </c>
      <c r="N12" s="3" t="str">
        <f t="shared" si="3"/>
        <v>Não</v>
      </c>
      <c r="O12" s="3" t="str">
        <f t="shared" si="4"/>
        <v>Instituída — elevada aderência</v>
      </c>
      <c r="P12" s="3" t="str">
        <f t="shared" si="5"/>
        <v>Bônus não aplicado</v>
      </c>
      <c r="R12" t="s">
        <v>520</v>
      </c>
      <c r="S12">
        <f>COUNTIF(O5:O32,"*baixa*")+COUNTIF(O5:O32,"*insuficiente*")</f>
        <v>1</v>
      </c>
    </row>
    <row r="13" spans="1:19" x14ac:dyDescent="0.3">
      <c r="A13" s="3" t="s">
        <v>113</v>
      </c>
      <c r="B13" s="3" t="s">
        <v>115</v>
      </c>
      <c r="C13" s="3">
        <f>'01_Institucionalização'!G15</f>
        <v>15</v>
      </c>
      <c r="D13" s="3">
        <f>'02_Autonomia'!W15</f>
        <v>15</v>
      </c>
      <c r="E13" s="3">
        <f>'03_Imparcialidade'!K15</f>
        <v>7.5</v>
      </c>
      <c r="F13" s="3">
        <f>'04_Acessibilidade'!AA15</f>
        <v>8</v>
      </c>
      <c r="G13" s="3">
        <f>'05_Transparência'!K15</f>
        <v>10</v>
      </c>
      <c r="H13" s="3">
        <f>'06_Integração Tec'!AE15</f>
        <v>25</v>
      </c>
      <c r="I13" s="3">
        <f t="shared" si="0"/>
        <v>80.5</v>
      </c>
      <c r="J13" s="3">
        <f>IF(M13&lt;&gt;"Instituída","",'07_Maturidade'!X15)</f>
        <v>4</v>
      </c>
      <c r="K13" s="3">
        <f t="shared" si="1"/>
        <v>4</v>
      </c>
      <c r="L13" s="3">
        <f t="shared" si="2"/>
        <v>84.5</v>
      </c>
      <c r="M13" s="3" t="str">
        <f>'01_Institucionalização'!H15</f>
        <v>Instituída</v>
      </c>
      <c r="N13" s="3" t="str">
        <f t="shared" si="3"/>
        <v>Não</v>
      </c>
      <c r="O13" s="3" t="str">
        <f t="shared" si="4"/>
        <v>Instituída — aderência satisfatória</v>
      </c>
      <c r="P13" s="3" t="str">
        <f t="shared" si="5"/>
        <v>Bônus integralmente aplicado</v>
      </c>
    </row>
    <row r="14" spans="1:19" x14ac:dyDescent="0.3">
      <c r="A14" s="3" t="s">
        <v>116</v>
      </c>
      <c r="B14" s="3" t="s">
        <v>117</v>
      </c>
      <c r="C14" s="3">
        <f>'01_Institucionalização'!G16</f>
        <v>15</v>
      </c>
      <c r="D14" s="3">
        <f>'02_Autonomia'!W16</f>
        <v>15</v>
      </c>
      <c r="E14" s="3">
        <f>'03_Imparcialidade'!K16</f>
        <v>15</v>
      </c>
      <c r="F14" s="3">
        <f>'04_Acessibilidade'!AA16</f>
        <v>15</v>
      </c>
      <c r="G14" s="3">
        <f>'05_Transparência'!K16</f>
        <v>15</v>
      </c>
      <c r="H14" s="3">
        <f>'06_Integração Tec'!AE16</f>
        <v>25</v>
      </c>
      <c r="I14" s="3">
        <f t="shared" si="0"/>
        <v>100</v>
      </c>
      <c r="J14" s="3">
        <f>IF(M14&lt;&gt;"Instituída","",'07_Maturidade'!X16)</f>
        <v>5</v>
      </c>
      <c r="K14" s="3">
        <f t="shared" si="1"/>
        <v>0</v>
      </c>
      <c r="L14" s="3">
        <f t="shared" si="2"/>
        <v>100</v>
      </c>
      <c r="M14" s="3" t="str">
        <f>'01_Institucionalização'!H16</f>
        <v>Instituída</v>
      </c>
      <c r="N14" s="3" t="str">
        <f t="shared" si="3"/>
        <v>Não</v>
      </c>
      <c r="O14" s="3" t="str">
        <f t="shared" si="4"/>
        <v>Instituída — elevada aderência</v>
      </c>
      <c r="P14" s="3" t="str">
        <f t="shared" si="5"/>
        <v>Bônus não aplicado</v>
      </c>
    </row>
    <row r="15" spans="1:19" x14ac:dyDescent="0.3">
      <c r="A15" s="3" t="s">
        <v>118</v>
      </c>
      <c r="B15" s="3" t="s">
        <v>119</v>
      </c>
      <c r="C15" s="3">
        <f>'01_Institucionalização'!G17</f>
        <v>15</v>
      </c>
      <c r="D15" s="3">
        <f>'02_Autonomia'!W17</f>
        <v>15</v>
      </c>
      <c r="E15" s="3">
        <f>'03_Imparcialidade'!K17</f>
        <v>15</v>
      </c>
      <c r="F15" s="3">
        <f>'04_Acessibilidade'!AA17</f>
        <v>13</v>
      </c>
      <c r="G15" s="3">
        <f>'05_Transparência'!K17</f>
        <v>5</v>
      </c>
      <c r="H15" s="3">
        <f>'06_Integração Tec'!AE17</f>
        <v>21</v>
      </c>
      <c r="I15" s="3">
        <f t="shared" si="0"/>
        <v>84</v>
      </c>
      <c r="J15" s="3">
        <f>IF(M15&lt;&gt;"Instituída","",'07_Maturidade'!X17)</f>
        <v>6</v>
      </c>
      <c r="K15" s="3">
        <f t="shared" si="1"/>
        <v>6</v>
      </c>
      <c r="L15" s="3">
        <f t="shared" si="2"/>
        <v>90</v>
      </c>
      <c r="M15" s="3" t="str">
        <f>'01_Institucionalização'!H17</f>
        <v>Instituída</v>
      </c>
      <c r="N15" s="3" t="str">
        <f t="shared" si="3"/>
        <v>Não</v>
      </c>
      <c r="O15" s="3" t="str">
        <f t="shared" si="4"/>
        <v>Instituída — elevada aderência</v>
      </c>
      <c r="P15" s="3" t="str">
        <f t="shared" si="5"/>
        <v>Bônus integralmente aplicado</v>
      </c>
    </row>
    <row r="16" spans="1:19" x14ac:dyDescent="0.3">
      <c r="A16" s="3" t="s">
        <v>120</v>
      </c>
      <c r="B16" s="3" t="s">
        <v>121</v>
      </c>
      <c r="C16" s="3">
        <f>'01_Institucionalização'!G18</f>
        <v>15</v>
      </c>
      <c r="D16" s="3">
        <f>'02_Autonomia'!W18</f>
        <v>15</v>
      </c>
      <c r="E16" s="3">
        <f>'03_Imparcialidade'!K18</f>
        <v>15</v>
      </c>
      <c r="F16" s="3">
        <f>'04_Acessibilidade'!AA18</f>
        <v>13</v>
      </c>
      <c r="G16" s="3">
        <f>'05_Transparência'!K18</f>
        <v>10</v>
      </c>
      <c r="H16" s="3">
        <f>'06_Integração Tec'!AE18</f>
        <v>19</v>
      </c>
      <c r="I16" s="3">
        <f t="shared" si="0"/>
        <v>87</v>
      </c>
      <c r="J16" s="3">
        <f>IF(M16&lt;&gt;"Instituída","",'07_Maturidade'!X18)</f>
        <v>10</v>
      </c>
      <c r="K16" s="3">
        <f t="shared" si="1"/>
        <v>10</v>
      </c>
      <c r="L16" s="3">
        <f t="shared" si="2"/>
        <v>97</v>
      </c>
      <c r="M16" s="3" t="str">
        <f>'01_Institucionalização'!H18</f>
        <v>Instituída</v>
      </c>
      <c r="N16" s="3" t="str">
        <f t="shared" si="3"/>
        <v>Não</v>
      </c>
      <c r="O16" s="3" t="str">
        <f t="shared" si="4"/>
        <v>Instituída — elevada aderência</v>
      </c>
      <c r="P16" s="3" t="str">
        <f t="shared" si="5"/>
        <v>Bônus integralmente aplicado</v>
      </c>
    </row>
    <row r="17" spans="1:16" x14ac:dyDescent="0.3">
      <c r="A17" s="3" t="s">
        <v>122</v>
      </c>
      <c r="B17" s="3" t="s">
        <v>123</v>
      </c>
      <c r="C17" s="3">
        <f>'01_Institucionalização'!G19</f>
        <v>15</v>
      </c>
      <c r="D17" s="3">
        <f>'02_Autonomia'!W19</f>
        <v>12</v>
      </c>
      <c r="E17" s="3">
        <f>'03_Imparcialidade'!K19</f>
        <v>8</v>
      </c>
      <c r="F17" s="3">
        <f>'04_Acessibilidade'!AA19</f>
        <v>10.5</v>
      </c>
      <c r="G17" s="3">
        <f>'05_Transparência'!K19</f>
        <v>10</v>
      </c>
      <c r="H17" s="3">
        <f>'06_Integração Tec'!AE19</f>
        <v>23</v>
      </c>
      <c r="I17" s="3">
        <f t="shared" si="0"/>
        <v>78.5</v>
      </c>
      <c r="J17" s="3">
        <f>IF(M17&lt;&gt;"Instituída","",'07_Maturidade'!X19)</f>
        <v>9</v>
      </c>
      <c r="K17" s="3">
        <f t="shared" si="1"/>
        <v>9</v>
      </c>
      <c r="L17" s="3">
        <f t="shared" si="2"/>
        <v>87.5</v>
      </c>
      <c r="M17" s="3" t="str">
        <f>'01_Institucionalização'!H19</f>
        <v>Instituída</v>
      </c>
      <c r="N17" s="3" t="str">
        <f t="shared" si="3"/>
        <v>Não</v>
      </c>
      <c r="O17" s="3" t="str">
        <f t="shared" si="4"/>
        <v>Instituída — aderência satisfatória</v>
      </c>
      <c r="P17" s="3" t="str">
        <f t="shared" si="5"/>
        <v>Bônus integralmente aplicado</v>
      </c>
    </row>
    <row r="18" spans="1:16" x14ac:dyDescent="0.3">
      <c r="A18" s="3" t="s">
        <v>125</v>
      </c>
      <c r="B18" s="3" t="s">
        <v>126</v>
      </c>
      <c r="C18" s="3">
        <f>'01_Institucionalização'!G20</f>
        <v>15</v>
      </c>
      <c r="D18" s="3">
        <f>'02_Autonomia'!W20</f>
        <v>15</v>
      </c>
      <c r="E18" s="3">
        <f>'03_Imparcialidade'!K20</f>
        <v>15</v>
      </c>
      <c r="F18" s="3">
        <f>'04_Acessibilidade'!AA20</f>
        <v>13.5</v>
      </c>
      <c r="G18" s="3">
        <f>'05_Transparência'!K20</f>
        <v>15</v>
      </c>
      <c r="H18" s="3">
        <f>'06_Integração Tec'!AE20</f>
        <v>17</v>
      </c>
      <c r="I18" s="3">
        <f t="shared" si="0"/>
        <v>90.5</v>
      </c>
      <c r="J18" s="3">
        <f>IF(M18&lt;&gt;"Instituída","",'07_Maturidade'!X20)</f>
        <v>5</v>
      </c>
      <c r="K18" s="3">
        <f t="shared" si="1"/>
        <v>5</v>
      </c>
      <c r="L18" s="3">
        <f t="shared" si="2"/>
        <v>95.5</v>
      </c>
      <c r="M18" s="3" t="str">
        <f>'01_Institucionalização'!H20</f>
        <v>Instituída</v>
      </c>
      <c r="N18" s="3" t="str">
        <f t="shared" si="3"/>
        <v>Não</v>
      </c>
      <c r="O18" s="3" t="str">
        <f t="shared" si="4"/>
        <v>Instituída — elevada aderência</v>
      </c>
      <c r="P18" s="3" t="str">
        <f t="shared" si="5"/>
        <v>Bônus integralmente aplicado</v>
      </c>
    </row>
    <row r="19" spans="1:16" x14ac:dyDescent="0.3">
      <c r="A19" s="3" t="s">
        <v>127</v>
      </c>
      <c r="B19" s="3" t="s">
        <v>128</v>
      </c>
      <c r="C19" s="3">
        <f>'01_Institucionalização'!G21</f>
        <v>0</v>
      </c>
      <c r="D19" s="3">
        <f>'02_Autonomia'!W21</f>
        <v>0</v>
      </c>
      <c r="E19" s="3">
        <f>'03_Imparcialidade'!K21</f>
        <v>0</v>
      </c>
      <c r="F19" s="3">
        <f>'04_Acessibilidade'!AA21</f>
        <v>0</v>
      </c>
      <c r="G19" s="3">
        <f>'05_Transparência'!K21</f>
        <v>0</v>
      </c>
      <c r="H19" s="3">
        <f>'06_Integração Tec'!AE21</f>
        <v>0</v>
      </c>
      <c r="I19" s="3" t="str">
        <f t="shared" si="0"/>
        <v/>
      </c>
      <c r="J19" s="3" t="str">
        <f>IF(M19&lt;&gt;"Instituída","",'07_Maturidade'!X21)</f>
        <v/>
      </c>
      <c r="K19" s="3" t="str">
        <f t="shared" si="1"/>
        <v/>
      </c>
      <c r="L19" s="3" t="str">
        <f t="shared" si="2"/>
        <v/>
      </c>
      <c r="M19" s="3" t="str">
        <f>'01_Institucionalização'!H21</f>
        <v>Não instituída</v>
      </c>
      <c r="N19" s="3" t="str">
        <f t="shared" si="3"/>
        <v/>
      </c>
      <c r="O19" s="3" t="str">
        <f t="shared" si="4"/>
        <v>Não instituída</v>
      </c>
      <c r="P19" s="3" t="str">
        <f t="shared" si="5"/>
        <v/>
      </c>
    </row>
    <row r="20" spans="1:16" x14ac:dyDescent="0.3">
      <c r="A20" s="3" t="s">
        <v>130</v>
      </c>
      <c r="B20" s="3" t="s">
        <v>131</v>
      </c>
      <c r="C20" s="3">
        <f>'01_Institucionalização'!G22</f>
        <v>15</v>
      </c>
      <c r="D20" s="3">
        <f>'02_Autonomia'!W22</f>
        <v>15</v>
      </c>
      <c r="E20" s="3">
        <f>'03_Imparcialidade'!K22</f>
        <v>8</v>
      </c>
      <c r="F20" s="3">
        <f>'04_Acessibilidade'!AA22</f>
        <v>15</v>
      </c>
      <c r="G20" s="3">
        <f>'05_Transparência'!K22</f>
        <v>5</v>
      </c>
      <c r="H20" s="3">
        <f>'06_Integração Tec'!AE22</f>
        <v>21</v>
      </c>
      <c r="I20" s="3">
        <f t="shared" si="0"/>
        <v>79</v>
      </c>
      <c r="J20" s="3">
        <f>IF(M20&lt;&gt;"Instituída","",'07_Maturidade'!X22)</f>
        <v>6</v>
      </c>
      <c r="K20" s="3">
        <f t="shared" si="1"/>
        <v>6</v>
      </c>
      <c r="L20" s="3">
        <f t="shared" si="2"/>
        <v>85</v>
      </c>
      <c r="M20" s="3" t="str">
        <f>'01_Institucionalização'!H22</f>
        <v>Instituída</v>
      </c>
      <c r="N20" s="3" t="str">
        <f t="shared" si="3"/>
        <v>Não</v>
      </c>
      <c r="O20" s="3" t="str">
        <f t="shared" si="4"/>
        <v>Instituída — aderência satisfatória</v>
      </c>
      <c r="P20" s="3" t="str">
        <f t="shared" si="5"/>
        <v>Bônus integralmente aplicado</v>
      </c>
    </row>
    <row r="21" spans="1:16" x14ac:dyDescent="0.3">
      <c r="A21" s="3" t="s">
        <v>132</v>
      </c>
      <c r="B21" s="3" t="s">
        <v>133</v>
      </c>
      <c r="C21" s="3">
        <f>'01_Institucionalização'!G23</f>
        <v>15</v>
      </c>
      <c r="D21" s="3">
        <f>'02_Autonomia'!W23</f>
        <v>12</v>
      </c>
      <c r="E21" s="3">
        <f>'03_Imparcialidade'!K23</f>
        <v>15</v>
      </c>
      <c r="F21" s="3">
        <f>'04_Acessibilidade'!AA23</f>
        <v>10.5</v>
      </c>
      <c r="G21" s="3">
        <f>'05_Transparência'!K23</f>
        <v>15</v>
      </c>
      <c r="H21" s="3">
        <f>'06_Integração Tec'!AE23</f>
        <v>25</v>
      </c>
      <c r="I21" s="3">
        <f t="shared" si="0"/>
        <v>92.5</v>
      </c>
      <c r="J21" s="3">
        <f>IF(M21&lt;&gt;"Instituída","",'07_Maturidade'!X23)</f>
        <v>6</v>
      </c>
      <c r="K21" s="3">
        <f t="shared" si="1"/>
        <v>6</v>
      </c>
      <c r="L21" s="3">
        <f t="shared" si="2"/>
        <v>98.5</v>
      </c>
      <c r="M21" s="3" t="str">
        <f>'01_Institucionalização'!H23</f>
        <v>Instituída</v>
      </c>
      <c r="N21" s="3" t="str">
        <f t="shared" si="3"/>
        <v>Não</v>
      </c>
      <c r="O21" s="3" t="str">
        <f t="shared" si="4"/>
        <v>Instituída — elevada aderência</v>
      </c>
      <c r="P21" s="3" t="str">
        <f t="shared" si="5"/>
        <v>Bônus integralmente aplicado</v>
      </c>
    </row>
    <row r="22" spans="1:16" x14ac:dyDescent="0.3">
      <c r="A22" s="3" t="s">
        <v>134</v>
      </c>
      <c r="B22" s="3" t="s">
        <v>135</v>
      </c>
      <c r="C22" s="3">
        <f>'01_Institucionalização'!G24</f>
        <v>15</v>
      </c>
      <c r="D22" s="3">
        <f>'02_Autonomia'!W24</f>
        <v>12</v>
      </c>
      <c r="E22" s="3">
        <f>'03_Imparcialidade'!K24</f>
        <v>15</v>
      </c>
      <c r="F22" s="3">
        <f>'04_Acessibilidade'!AA24</f>
        <v>10.5</v>
      </c>
      <c r="G22" s="3">
        <f>'05_Transparência'!K24</f>
        <v>10</v>
      </c>
      <c r="H22" s="3">
        <f>'06_Integração Tec'!AE24</f>
        <v>23</v>
      </c>
      <c r="I22" s="3">
        <f t="shared" si="0"/>
        <v>85.5</v>
      </c>
      <c r="J22" s="3">
        <f>IF(M22&lt;&gt;"Instituída","",'07_Maturidade'!X24)</f>
        <v>6</v>
      </c>
      <c r="K22" s="3">
        <f t="shared" si="1"/>
        <v>6</v>
      </c>
      <c r="L22" s="3">
        <f t="shared" si="2"/>
        <v>91.5</v>
      </c>
      <c r="M22" s="3" t="str">
        <f>'01_Institucionalização'!H24</f>
        <v>Instituída</v>
      </c>
      <c r="N22" s="3" t="str">
        <f t="shared" si="3"/>
        <v>Não</v>
      </c>
      <c r="O22" s="3" t="str">
        <f t="shared" si="4"/>
        <v>Instituída — elevada aderência</v>
      </c>
      <c r="P22" s="3" t="str">
        <f t="shared" si="5"/>
        <v>Bônus integralmente aplicado</v>
      </c>
    </row>
    <row r="23" spans="1:16" x14ac:dyDescent="0.3">
      <c r="A23" s="3" t="s">
        <v>136</v>
      </c>
      <c r="B23" s="3" t="s">
        <v>137</v>
      </c>
      <c r="C23" s="3">
        <f>'01_Institucionalização'!G25</f>
        <v>15</v>
      </c>
      <c r="D23" s="3">
        <f>'02_Autonomia'!W25</f>
        <v>15</v>
      </c>
      <c r="E23" s="3">
        <f>'03_Imparcialidade'!K25</f>
        <v>11.5</v>
      </c>
      <c r="F23" s="3">
        <f>'04_Acessibilidade'!AA25</f>
        <v>9.5</v>
      </c>
      <c r="G23" s="3">
        <f>'05_Transparência'!K25</f>
        <v>5</v>
      </c>
      <c r="H23" s="3">
        <f>'06_Integração Tec'!AE25</f>
        <v>17</v>
      </c>
      <c r="I23" s="3">
        <f t="shared" si="0"/>
        <v>73</v>
      </c>
      <c r="J23" s="3">
        <f>IF(M23&lt;&gt;"Instituída","",'07_Maturidade'!X25)</f>
        <v>7</v>
      </c>
      <c r="K23" s="3">
        <f t="shared" si="1"/>
        <v>7</v>
      </c>
      <c r="L23" s="3">
        <f t="shared" si="2"/>
        <v>80</v>
      </c>
      <c r="M23" s="3" t="str">
        <f>'01_Institucionalização'!H25</f>
        <v>Instituída</v>
      </c>
      <c r="N23" s="3" t="str">
        <f t="shared" si="3"/>
        <v>Não</v>
      </c>
      <c r="O23" s="3" t="str">
        <f t="shared" si="4"/>
        <v>Instituída — aderência satisfatória</v>
      </c>
      <c r="P23" s="3" t="str">
        <f t="shared" si="5"/>
        <v>Bônus integralmente aplicado</v>
      </c>
    </row>
    <row r="24" spans="1:16" x14ac:dyDescent="0.3">
      <c r="A24" s="3" t="s">
        <v>138</v>
      </c>
      <c r="B24" s="3" t="s">
        <v>139</v>
      </c>
      <c r="C24" s="3">
        <f>'01_Institucionalização'!G26</f>
        <v>15</v>
      </c>
      <c r="D24" s="3">
        <f>'02_Autonomia'!W26</f>
        <v>12</v>
      </c>
      <c r="E24" s="3">
        <f>'03_Imparcialidade'!K26</f>
        <v>15</v>
      </c>
      <c r="F24" s="3">
        <f>'04_Acessibilidade'!AA26</f>
        <v>15</v>
      </c>
      <c r="G24" s="3">
        <f>'05_Transparência'!K26</f>
        <v>15</v>
      </c>
      <c r="H24" s="3">
        <f>'06_Integração Tec'!AE26</f>
        <v>17</v>
      </c>
      <c r="I24" s="3">
        <f t="shared" si="0"/>
        <v>89</v>
      </c>
      <c r="J24" s="3">
        <f>IF(M24&lt;&gt;"Instituída","",'07_Maturidade'!X26)</f>
        <v>6</v>
      </c>
      <c r="K24" s="3">
        <f t="shared" si="1"/>
        <v>6</v>
      </c>
      <c r="L24" s="3">
        <f t="shared" si="2"/>
        <v>95</v>
      </c>
      <c r="M24" s="3" t="str">
        <f>'01_Institucionalização'!H26</f>
        <v>Instituída</v>
      </c>
      <c r="N24" s="3" t="str">
        <f t="shared" si="3"/>
        <v>Não</v>
      </c>
      <c r="O24" s="3" t="str">
        <f t="shared" si="4"/>
        <v>Instituída — elevada aderência</v>
      </c>
      <c r="P24" s="3" t="str">
        <f t="shared" si="5"/>
        <v>Bônus integralmente aplicado</v>
      </c>
    </row>
    <row r="25" spans="1:16" x14ac:dyDescent="0.3">
      <c r="A25" s="3" t="s">
        <v>140</v>
      </c>
      <c r="B25" s="3" t="s">
        <v>141</v>
      </c>
      <c r="C25" s="3">
        <f>'01_Institucionalização'!G27</f>
        <v>15</v>
      </c>
      <c r="D25" s="3">
        <f>'02_Autonomia'!W27</f>
        <v>15</v>
      </c>
      <c r="E25" s="3">
        <f>'03_Imparcialidade'!K27</f>
        <v>11.5</v>
      </c>
      <c r="F25" s="3">
        <f>'04_Acessibilidade'!AA27</f>
        <v>11.5</v>
      </c>
      <c r="G25" s="3">
        <f>'05_Transparência'!K27</f>
        <v>15</v>
      </c>
      <c r="H25" s="3">
        <f>'06_Integração Tec'!AE27</f>
        <v>17</v>
      </c>
      <c r="I25" s="3">
        <f t="shared" si="0"/>
        <v>85</v>
      </c>
      <c r="J25" s="3">
        <f>IF(M25&lt;&gt;"Instituída","",'07_Maturidade'!X27)</f>
        <v>10</v>
      </c>
      <c r="K25" s="3">
        <f t="shared" si="1"/>
        <v>10</v>
      </c>
      <c r="L25" s="3">
        <f t="shared" si="2"/>
        <v>95</v>
      </c>
      <c r="M25" s="3" t="str">
        <f>'01_Institucionalização'!H27</f>
        <v>Instituída</v>
      </c>
      <c r="N25" s="3" t="str">
        <f t="shared" si="3"/>
        <v>Não</v>
      </c>
      <c r="O25" s="3" t="str">
        <f t="shared" si="4"/>
        <v>Instituída — elevada aderência</v>
      </c>
      <c r="P25" s="3" t="str">
        <f t="shared" si="5"/>
        <v>Bônus integralmente aplicado</v>
      </c>
    </row>
    <row r="26" spans="1:16" x14ac:dyDescent="0.3">
      <c r="A26" s="3" t="s">
        <v>142</v>
      </c>
      <c r="B26" s="3" t="s">
        <v>143</v>
      </c>
      <c r="C26" s="3">
        <f>'01_Institucionalização'!G28</f>
        <v>15</v>
      </c>
      <c r="D26" s="3">
        <f>'02_Autonomia'!W28</f>
        <v>12</v>
      </c>
      <c r="E26" s="3">
        <f>'03_Imparcialidade'!K28</f>
        <v>11.5</v>
      </c>
      <c r="F26" s="3">
        <f>'04_Acessibilidade'!AA28</f>
        <v>13</v>
      </c>
      <c r="G26" s="3">
        <f>'05_Transparência'!K28</f>
        <v>15</v>
      </c>
      <c r="H26" s="3">
        <f>'06_Integração Tec'!AE28</f>
        <v>16.5</v>
      </c>
      <c r="I26" s="3">
        <f t="shared" si="0"/>
        <v>83</v>
      </c>
      <c r="J26" s="3">
        <f>IF(M26&lt;&gt;"Instituída","",'07_Maturidade'!X28)</f>
        <v>5</v>
      </c>
      <c r="K26" s="3">
        <f t="shared" si="1"/>
        <v>5</v>
      </c>
      <c r="L26" s="3">
        <f t="shared" si="2"/>
        <v>88</v>
      </c>
      <c r="M26" s="3" t="str">
        <f>'01_Institucionalização'!H28</f>
        <v>Instituída</v>
      </c>
      <c r="N26" s="3" t="str">
        <f t="shared" si="3"/>
        <v>Não</v>
      </c>
      <c r="O26" s="3" t="str">
        <f t="shared" si="4"/>
        <v>Instituída — aderência satisfatória</v>
      </c>
      <c r="P26" s="3" t="str">
        <f t="shared" si="5"/>
        <v>Bônus integralmente aplicado</v>
      </c>
    </row>
    <row r="27" spans="1:16" x14ac:dyDescent="0.3">
      <c r="A27" s="3" t="s">
        <v>144</v>
      </c>
      <c r="B27" s="3" t="s">
        <v>145</v>
      </c>
      <c r="C27" s="3">
        <f>'01_Institucionalização'!G29</f>
        <v>0</v>
      </c>
      <c r="D27" s="3">
        <f>'02_Autonomia'!W29</f>
        <v>0</v>
      </c>
      <c r="E27" s="3">
        <f>'03_Imparcialidade'!K29</f>
        <v>0</v>
      </c>
      <c r="F27" s="3">
        <f>'04_Acessibilidade'!AA29</f>
        <v>2</v>
      </c>
      <c r="G27" s="3">
        <f>'05_Transparência'!K29</f>
        <v>0</v>
      </c>
      <c r="H27" s="3">
        <f>'06_Integração Tec'!AE29</f>
        <v>0</v>
      </c>
      <c r="I27" s="3" t="str">
        <f t="shared" si="0"/>
        <v/>
      </c>
      <c r="J27" s="3" t="str">
        <f>IF(M27&lt;&gt;"Instituída","",'07_Maturidade'!X29)</f>
        <v/>
      </c>
      <c r="K27" s="3" t="str">
        <f t="shared" si="1"/>
        <v/>
      </c>
      <c r="L27" s="3" t="str">
        <f t="shared" si="2"/>
        <v/>
      </c>
      <c r="M27" s="3" t="str">
        <f>'01_Institucionalização'!H29</f>
        <v>Não instituída</v>
      </c>
      <c r="N27" s="3" t="str">
        <f t="shared" si="3"/>
        <v/>
      </c>
      <c r="O27" s="3" t="str">
        <f t="shared" si="4"/>
        <v>Não instituída</v>
      </c>
      <c r="P27" s="3" t="str">
        <f t="shared" si="5"/>
        <v/>
      </c>
    </row>
    <row r="28" spans="1:16" ht="28.8" x14ac:dyDescent="0.3">
      <c r="A28" s="3" t="s">
        <v>147</v>
      </c>
      <c r="B28" s="3" t="s">
        <v>148</v>
      </c>
      <c r="C28" s="3">
        <f>'01_Institucionalização'!G30</f>
        <v>15</v>
      </c>
      <c r="D28" s="3">
        <f>'02_Autonomia'!W30</f>
        <v>15</v>
      </c>
      <c r="E28" s="3">
        <f>'03_Imparcialidade'!K30</f>
        <v>11.5</v>
      </c>
      <c r="F28" s="3">
        <f>'04_Acessibilidade'!AA30</f>
        <v>13</v>
      </c>
      <c r="G28" s="3">
        <f>'05_Transparência'!K30</f>
        <v>15</v>
      </c>
      <c r="H28" s="3">
        <f>'06_Integração Tec'!AE30</f>
        <v>25</v>
      </c>
      <c r="I28" s="3">
        <f t="shared" si="0"/>
        <v>94.5</v>
      </c>
      <c r="J28" s="3">
        <f>IF(M28&lt;&gt;"Instituída","",'07_Maturidade'!X30)</f>
        <v>7</v>
      </c>
      <c r="K28" s="3">
        <f t="shared" si="1"/>
        <v>5.5</v>
      </c>
      <c r="L28" s="3">
        <f t="shared" si="2"/>
        <v>100</v>
      </c>
      <c r="M28" s="3" t="str">
        <f>'01_Institucionalização'!H30</f>
        <v>Instituída</v>
      </c>
      <c r="N28" s="3" t="str">
        <f t="shared" si="3"/>
        <v>Não</v>
      </c>
      <c r="O28" s="3" t="str">
        <f t="shared" si="4"/>
        <v>Instituída — elevada aderência</v>
      </c>
      <c r="P28" s="3" t="str">
        <f t="shared" si="5"/>
        <v>Bônus limitado ao necessário para atingir 100</v>
      </c>
    </row>
    <row r="29" spans="1:16" x14ac:dyDescent="0.3">
      <c r="A29" s="3" t="s">
        <v>149</v>
      </c>
      <c r="B29" s="3" t="s">
        <v>150</v>
      </c>
      <c r="C29" s="3">
        <f>'01_Institucionalização'!G31</f>
        <v>15</v>
      </c>
      <c r="D29" s="3">
        <f>'02_Autonomia'!W31</f>
        <v>15</v>
      </c>
      <c r="E29" s="3">
        <f>'03_Imparcialidade'!K31</f>
        <v>15</v>
      </c>
      <c r="F29" s="3">
        <f>'04_Acessibilidade'!AA31</f>
        <v>13.5</v>
      </c>
      <c r="G29" s="3">
        <f>'05_Transparência'!K31</f>
        <v>15</v>
      </c>
      <c r="H29" s="3">
        <f>'06_Integração Tec'!AE31</f>
        <v>4</v>
      </c>
      <c r="I29" s="3">
        <f t="shared" si="0"/>
        <v>77.5</v>
      </c>
      <c r="J29" s="3">
        <f>IF(M29&lt;&gt;"Instituída","",'07_Maturidade'!X31)</f>
        <v>5</v>
      </c>
      <c r="K29" s="3">
        <f t="shared" si="1"/>
        <v>5</v>
      </c>
      <c r="L29" s="3">
        <f t="shared" si="2"/>
        <v>82.5</v>
      </c>
      <c r="M29" s="3" t="str">
        <f>'01_Institucionalização'!H31</f>
        <v>Instituída</v>
      </c>
      <c r="N29" s="3" t="str">
        <f t="shared" si="3"/>
        <v>Não</v>
      </c>
      <c r="O29" s="3" t="str">
        <f t="shared" si="4"/>
        <v>Instituída — aderência satisfatória</v>
      </c>
      <c r="P29" s="3" t="str">
        <f t="shared" si="5"/>
        <v>Bônus integralmente aplicado</v>
      </c>
    </row>
    <row r="30" spans="1:16" ht="28.8" x14ac:dyDescent="0.3">
      <c r="A30" s="3" t="s">
        <v>151</v>
      </c>
      <c r="B30" s="3" t="s">
        <v>152</v>
      </c>
      <c r="C30" s="3">
        <f>'01_Institucionalização'!G32</f>
        <v>15</v>
      </c>
      <c r="D30" s="3">
        <f>'02_Autonomia'!W32</f>
        <v>15</v>
      </c>
      <c r="E30" s="3">
        <f>'03_Imparcialidade'!K32</f>
        <v>15</v>
      </c>
      <c r="F30" s="3">
        <f>'04_Acessibilidade'!AA32</f>
        <v>15</v>
      </c>
      <c r="G30" s="3">
        <f>'05_Transparência'!K32</f>
        <v>15</v>
      </c>
      <c r="H30" s="3">
        <f>'06_Integração Tec'!AE32</f>
        <v>21</v>
      </c>
      <c r="I30" s="3">
        <f t="shared" si="0"/>
        <v>96</v>
      </c>
      <c r="J30" s="3">
        <f>IF(M30&lt;&gt;"Instituída","",'07_Maturidade'!X32)</f>
        <v>7</v>
      </c>
      <c r="K30" s="3">
        <f t="shared" si="1"/>
        <v>4</v>
      </c>
      <c r="L30" s="3">
        <f t="shared" si="2"/>
        <v>100</v>
      </c>
      <c r="M30" s="3" t="str">
        <f>'01_Institucionalização'!H32</f>
        <v>Instituída</v>
      </c>
      <c r="N30" s="3" t="str">
        <f t="shared" si="3"/>
        <v>Não</v>
      </c>
      <c r="O30" s="3" t="str">
        <f t="shared" si="4"/>
        <v>Instituída — elevada aderência</v>
      </c>
      <c r="P30" s="3" t="str">
        <f t="shared" si="5"/>
        <v>Bônus limitado ao necessário para atingir 100</v>
      </c>
    </row>
    <row r="31" spans="1:16" ht="28.8" x14ac:dyDescent="0.3">
      <c r="A31" s="3" t="s">
        <v>153</v>
      </c>
      <c r="B31" s="3" t="s">
        <v>154</v>
      </c>
      <c r="C31" s="3">
        <f>'01_Institucionalização'!G33</f>
        <v>15</v>
      </c>
      <c r="D31" s="3">
        <f>'02_Autonomia'!W33</f>
        <v>0</v>
      </c>
      <c r="E31" s="3">
        <f>'03_Imparcialidade'!K33</f>
        <v>0</v>
      </c>
      <c r="F31" s="3">
        <f>'04_Acessibilidade'!AA33</f>
        <v>0</v>
      </c>
      <c r="G31" s="3">
        <f>'05_Transparência'!K33</f>
        <v>0</v>
      </c>
      <c r="H31" s="3">
        <f>'06_Integração Tec'!AE33</f>
        <v>0</v>
      </c>
      <c r="I31" s="3">
        <f t="shared" si="0"/>
        <v>15</v>
      </c>
      <c r="J31" s="3">
        <f>IF(M31&lt;&gt;"Instituída","",'07_Maturidade'!X33)</f>
        <v>0</v>
      </c>
      <c r="K31" s="3">
        <f t="shared" si="1"/>
        <v>0</v>
      </c>
      <c r="L31" s="3">
        <f t="shared" si="2"/>
        <v>15</v>
      </c>
      <c r="M31" s="3" t="str">
        <f>'01_Institucionalização'!H33</f>
        <v>Instituída</v>
      </c>
      <c r="N31" s="3" t="str">
        <f t="shared" si="3"/>
        <v>Sim</v>
      </c>
      <c r="O31" s="3" t="str">
        <f t="shared" si="4"/>
        <v>Instituída — aderência insuficiente (dimensão essencial zerada)</v>
      </c>
      <c r="P31" s="3" t="str">
        <f t="shared" si="5"/>
        <v>Bônus não aplicado</v>
      </c>
    </row>
    <row r="32" spans="1:16" x14ac:dyDescent="0.3">
      <c r="A32" s="3" t="s">
        <v>156</v>
      </c>
      <c r="B32" s="3" t="s">
        <v>157</v>
      </c>
      <c r="C32" s="3">
        <f>'01_Institucionalização'!G34</f>
        <v>0</v>
      </c>
      <c r="D32" s="3">
        <f>'02_Autonomia'!W34</f>
        <v>0</v>
      </c>
      <c r="E32" s="3">
        <f>'03_Imparcialidade'!K34</f>
        <v>0</v>
      </c>
      <c r="F32" s="3">
        <f>'04_Acessibilidade'!AA34</f>
        <v>0</v>
      </c>
      <c r="G32" s="3">
        <f>'05_Transparência'!K34</f>
        <v>0</v>
      </c>
      <c r="H32" s="3">
        <f>'06_Integração Tec'!AE34</f>
        <v>0</v>
      </c>
      <c r="I32" s="3" t="str">
        <f t="shared" si="0"/>
        <v/>
      </c>
      <c r="J32" s="3" t="str">
        <f>IF(M32&lt;&gt;"Instituída","",'07_Maturidade'!X34)</f>
        <v/>
      </c>
      <c r="K32" s="3" t="str">
        <f t="shared" si="1"/>
        <v/>
      </c>
      <c r="L32" s="3" t="str">
        <f t="shared" si="2"/>
        <v/>
      </c>
      <c r="M32" s="3" t="str">
        <f>'01_Institucionalização'!H34</f>
        <v>Não instituída</v>
      </c>
      <c r="N32" s="3" t="str">
        <f t="shared" si="3"/>
        <v/>
      </c>
      <c r="O32" s="3" t="str">
        <f t="shared" si="4"/>
        <v>Não instituída</v>
      </c>
      <c r="P32" s="3" t="str">
        <f t="shared" si="5"/>
        <v/>
      </c>
    </row>
  </sheetData>
  <mergeCells count="2">
    <mergeCell ref="A1:P1"/>
    <mergeCell ref="A2:P2"/>
  </mergeCells>
  <conditionalFormatting sqref="L5:L32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{7045C5C1-8864-A908-267A-398599FBFFB9}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5C5C1-8864-A908-267A-398599FBFFB9}">
            <x14:dataBar>
              <x14:cfvo type="min"/>
              <x14:cfvo type="max"/>
              <x14:negativeFillColor auto="1"/>
              <x14:axisColor auto="1"/>
            </x14:dataBar>
          </x14:cfRule>
          <xm:sqref>L5:L32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00_Metodologia</vt:lpstr>
      <vt:lpstr>01_Institucionalização</vt:lpstr>
      <vt:lpstr>02_Autonomia</vt:lpstr>
      <vt:lpstr>03_Imparcialidade</vt:lpstr>
      <vt:lpstr>04_Acessibilidade</vt:lpstr>
      <vt:lpstr>05_Transparência</vt:lpstr>
      <vt:lpstr>06_Integração Tec</vt:lpstr>
      <vt:lpstr>07_Maturidade</vt:lpstr>
      <vt:lpstr>08_Resumo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2026-09-22T21:47:02Z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2026-09-22T19:01:22Z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cea9dc23-cbfb-48a1-98bf-b6e356ea03b3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